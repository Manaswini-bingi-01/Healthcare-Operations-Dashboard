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bingi\Downloads\"/>
    </mc:Choice>
  </mc:AlternateContent>
  <xr:revisionPtr revIDLastSave="0" documentId="13_ncr:1_{F04A3FB6-1F15-4C84-8155-C63F6397DE05}" xr6:coauthVersionLast="47" xr6:coauthVersionMax="47" xr10:uidLastSave="{00000000-0000-0000-0000-000000000000}"/>
  <bookViews>
    <workbookView xWindow="28680" yWindow="-120" windowWidth="29040" windowHeight="15720" activeTab="4" xr2:uid="{00000000-000D-0000-FFFF-FFFF00000000}"/>
  </bookViews>
  <sheets>
    <sheet name="Raw_Data" sheetId="1" r:id="rId1"/>
    <sheet name="Data_Cleaning" sheetId="2" r:id="rId2"/>
    <sheet name="KPI_Analysis" sheetId="3" r:id="rId3"/>
    <sheet name="Pivot tables " sheetId="4" r:id="rId4"/>
    <sheet name="Healthcare_Dashboard" sheetId="5" r:id="rId5"/>
  </sheets>
  <definedNames>
    <definedName name="_xlcn.WorksheetConnection_Healthcare_Operations_Dashboard.xlsxHealthcare_Data1" hidden="1">Healthcare_Data[]</definedName>
    <definedName name="_xlcn.WorksheetConnection_KPI_AnalysisA1B71" hidden="1">KPI_Analysis!$A$1:$B$7</definedName>
    <definedName name="_xlcn.WorksheetConnection_Raw_DataA1T10011" hidden="1">Raw_Data!$A$1:$T$1001</definedName>
    <definedName name="Slicer_City">#N/A</definedName>
    <definedName name="Slicer_Department">#N/A</definedName>
    <definedName name="Slicer_Insurance_Type">#N/A</definedName>
    <definedName name="Slicer_Payment_Status">#N/A</definedName>
    <definedName name="Slicer_Visit_Type">#N/A</definedName>
  </definedNames>
  <calcPr calcId="191029"/>
  <pivotCaches>
    <pivotCache cacheId="1825" r:id="rId6"/>
    <pivotCache cacheId="1828" r:id="rId7"/>
    <pivotCache cacheId="1831" r:id="rId8"/>
    <pivotCache cacheId="1834" r:id="rId9"/>
    <pivotCache cacheId="1837" r:id="rId10"/>
    <pivotCache cacheId="1840" r:id="rId11"/>
    <pivotCache cacheId="1843" r:id="rId12"/>
    <pivotCache cacheId="1846" r:id="rId13"/>
    <pivotCache cacheId="1849" r:id="rId14"/>
  </pivotCaches>
  <extLst>
    <ext xmlns:x14="http://schemas.microsoft.com/office/spreadsheetml/2009/9/main" uri="{876F7934-8845-4945-9796-88D515C7AA90}">
      <x14:pivotCaches>
        <pivotCache cacheId="1425"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w_Data!$A$1:$T$1001"/>
          <x15:modelTable id="Healthcare_Data" name="Healthcare_Data" connection="WorksheetConnection_Healthcare_Operations_Dashboard.xlsx!Healthcare_Data"/>
          <x15:modelTable id="Range 1" name="Range 1" connection="WorksheetConnection_KPI_Analysis!$A$1:$B$7"/>
        </x15:modelTables>
        <x15:extLst>
          <ext xmlns:x16="http://schemas.microsoft.com/office/spreadsheetml/2014/11/main" uri="{9835A34E-60A6-4A7C-AAB8-D5F71C897F49}">
            <x16:modelTimeGroupings>
              <x16:modelTimeGrouping tableName="Range" columnName="Visit_Date" columnId="Visit_Date">
                <x16:calculatedTimeColumn columnName="Visit_Date (Month Index)" columnId="Visit_Date (Month Index)" contentType="monthsindex" isSelected="1"/>
                <x16:calculatedTimeColumn columnName="Visit_Date (Month)" columnId="Visi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3" i="3"/>
  <c r="B4" i="3"/>
  <c r="B5" i="3"/>
  <c r="B6" i="3"/>
  <c r="B7" i="3"/>
  <c r="T1001" i="2"/>
  <c r="T1000" i="2"/>
  <c r="T999" i="2"/>
  <c r="T998" i="2"/>
  <c r="T997" i="2"/>
  <c r="T996" i="2"/>
  <c r="T995" i="2"/>
  <c r="T994" i="2"/>
  <c r="T993" i="2"/>
  <c r="T992" i="2"/>
  <c r="T991" i="2"/>
  <c r="T990" i="2"/>
  <c r="T989" i="2"/>
  <c r="T988" i="2"/>
  <c r="T987" i="2"/>
  <c r="T986" i="2"/>
  <c r="T985" i="2"/>
  <c r="T984" i="2"/>
  <c r="T983" i="2"/>
  <c r="T982" i="2"/>
  <c r="T981" i="2"/>
  <c r="T980" i="2"/>
  <c r="T979" i="2"/>
  <c r="T978" i="2"/>
  <c r="T977" i="2"/>
  <c r="T976" i="2"/>
  <c r="T975" i="2"/>
  <c r="T974" i="2"/>
  <c r="T973" i="2"/>
  <c r="T972" i="2"/>
  <c r="T971" i="2"/>
  <c r="T970" i="2"/>
  <c r="T969" i="2"/>
  <c r="T968" i="2"/>
  <c r="T967" i="2"/>
  <c r="T966" i="2"/>
  <c r="T965" i="2"/>
  <c r="T964" i="2"/>
  <c r="T963" i="2"/>
  <c r="T962" i="2"/>
  <c r="T961" i="2"/>
  <c r="T960" i="2"/>
  <c r="T959" i="2"/>
  <c r="T958" i="2"/>
  <c r="T957" i="2"/>
  <c r="T956" i="2"/>
  <c r="T955" i="2"/>
  <c r="T954" i="2"/>
  <c r="T953" i="2"/>
  <c r="T952" i="2"/>
  <c r="T951" i="2"/>
  <c r="T950" i="2"/>
  <c r="T949" i="2"/>
  <c r="T948" i="2"/>
  <c r="T947" i="2"/>
  <c r="T946" i="2"/>
  <c r="T945" i="2"/>
  <c r="T944" i="2"/>
  <c r="T943" i="2"/>
  <c r="T942" i="2"/>
  <c r="T941" i="2"/>
  <c r="T940" i="2"/>
  <c r="T939" i="2"/>
  <c r="T938" i="2"/>
  <c r="T937" i="2"/>
  <c r="T936" i="2"/>
  <c r="T935" i="2"/>
  <c r="T934" i="2"/>
  <c r="T933" i="2"/>
  <c r="T932" i="2"/>
  <c r="T931" i="2"/>
  <c r="T930" i="2"/>
  <c r="T929" i="2"/>
  <c r="T928" i="2"/>
  <c r="T927" i="2"/>
  <c r="T926" i="2"/>
  <c r="T925" i="2"/>
  <c r="T924" i="2"/>
  <c r="T923" i="2"/>
  <c r="T922" i="2"/>
  <c r="T921" i="2"/>
  <c r="T920" i="2"/>
  <c r="T919" i="2"/>
  <c r="T918" i="2"/>
  <c r="T917" i="2"/>
  <c r="T916" i="2"/>
  <c r="T915" i="2"/>
  <c r="T914" i="2"/>
  <c r="T913" i="2"/>
  <c r="T912" i="2"/>
  <c r="T911" i="2"/>
  <c r="T910" i="2"/>
  <c r="T909" i="2"/>
  <c r="T908" i="2"/>
  <c r="T907" i="2"/>
  <c r="T906" i="2"/>
  <c r="T905" i="2"/>
  <c r="T904" i="2"/>
  <c r="T903" i="2"/>
  <c r="T902" i="2"/>
  <c r="T901" i="2"/>
  <c r="T900" i="2"/>
  <c r="T899" i="2"/>
  <c r="T898" i="2"/>
  <c r="T897" i="2"/>
  <c r="T896" i="2"/>
  <c r="T895" i="2"/>
  <c r="T894" i="2"/>
  <c r="T893" i="2"/>
  <c r="T892" i="2"/>
  <c r="T891" i="2"/>
  <c r="T890" i="2"/>
  <c r="T889" i="2"/>
  <c r="T888" i="2"/>
  <c r="T887" i="2"/>
  <c r="T886" i="2"/>
  <c r="T885" i="2"/>
  <c r="T884" i="2"/>
  <c r="T883" i="2"/>
  <c r="T882" i="2"/>
  <c r="T881" i="2"/>
  <c r="T880" i="2"/>
  <c r="T879" i="2"/>
  <c r="T878" i="2"/>
  <c r="T877" i="2"/>
  <c r="T876" i="2"/>
  <c r="T875" i="2"/>
  <c r="T874" i="2"/>
  <c r="T873" i="2"/>
  <c r="T872" i="2"/>
  <c r="T871" i="2"/>
  <c r="T870" i="2"/>
  <c r="T869" i="2"/>
  <c r="T868" i="2"/>
  <c r="T867" i="2"/>
  <c r="T866" i="2"/>
  <c r="T865" i="2"/>
  <c r="T864" i="2"/>
  <c r="T863" i="2"/>
  <c r="T862" i="2"/>
  <c r="T861" i="2"/>
  <c r="T860" i="2"/>
  <c r="T859" i="2"/>
  <c r="T858" i="2"/>
  <c r="T857" i="2"/>
  <c r="T856" i="2"/>
  <c r="T855" i="2"/>
  <c r="T854" i="2"/>
  <c r="T853" i="2"/>
  <c r="T852" i="2"/>
  <c r="T851" i="2"/>
  <c r="T850" i="2"/>
  <c r="T849" i="2"/>
  <c r="T848" i="2"/>
  <c r="T847" i="2"/>
  <c r="T846" i="2"/>
  <c r="T845" i="2"/>
  <c r="T844" i="2"/>
  <c r="T843" i="2"/>
  <c r="T842" i="2"/>
  <c r="T841" i="2"/>
  <c r="T840" i="2"/>
  <c r="T839" i="2"/>
  <c r="T838" i="2"/>
  <c r="T837" i="2"/>
  <c r="T836" i="2"/>
  <c r="T835" i="2"/>
  <c r="T834" i="2"/>
  <c r="T833" i="2"/>
  <c r="T832" i="2"/>
  <c r="T831" i="2"/>
  <c r="T830" i="2"/>
  <c r="T829" i="2"/>
  <c r="T828" i="2"/>
  <c r="T827" i="2"/>
  <c r="T826" i="2"/>
  <c r="T825" i="2"/>
  <c r="T824" i="2"/>
  <c r="T823" i="2"/>
  <c r="T822" i="2"/>
  <c r="T821" i="2"/>
  <c r="T820" i="2"/>
  <c r="T819" i="2"/>
  <c r="T818" i="2"/>
  <c r="T817" i="2"/>
  <c r="T816" i="2"/>
  <c r="T815" i="2"/>
  <c r="T814" i="2"/>
  <c r="T813" i="2"/>
  <c r="T812" i="2"/>
  <c r="T811" i="2"/>
  <c r="T810" i="2"/>
  <c r="T809" i="2"/>
  <c r="T808" i="2"/>
  <c r="T807" i="2"/>
  <c r="T806" i="2"/>
  <c r="T805" i="2"/>
  <c r="T804" i="2"/>
  <c r="T803" i="2"/>
  <c r="T802" i="2"/>
  <c r="T801" i="2"/>
  <c r="T800" i="2"/>
  <c r="T799" i="2"/>
  <c r="T798" i="2"/>
  <c r="T797" i="2"/>
  <c r="T796" i="2"/>
  <c r="T795" i="2"/>
  <c r="T794" i="2"/>
  <c r="T793" i="2"/>
  <c r="T792" i="2"/>
  <c r="T791" i="2"/>
  <c r="T790" i="2"/>
  <c r="T789" i="2"/>
  <c r="T788" i="2"/>
  <c r="T787" i="2"/>
  <c r="T786" i="2"/>
  <c r="T785" i="2"/>
  <c r="T784" i="2"/>
  <c r="T783" i="2"/>
  <c r="T782" i="2"/>
  <c r="T781" i="2"/>
  <c r="T780" i="2"/>
  <c r="T779" i="2"/>
  <c r="T778" i="2"/>
  <c r="T777" i="2"/>
  <c r="T776" i="2"/>
  <c r="T775" i="2"/>
  <c r="T774" i="2"/>
  <c r="T773" i="2"/>
  <c r="T772" i="2"/>
  <c r="T771" i="2"/>
  <c r="T770" i="2"/>
  <c r="T769" i="2"/>
  <c r="T768" i="2"/>
  <c r="T767" i="2"/>
  <c r="T766" i="2"/>
  <c r="T765" i="2"/>
  <c r="T764" i="2"/>
  <c r="T763" i="2"/>
  <c r="T762" i="2"/>
  <c r="T761" i="2"/>
  <c r="T760" i="2"/>
  <c r="T759" i="2"/>
  <c r="T758" i="2"/>
  <c r="T757" i="2"/>
  <c r="T756" i="2"/>
  <c r="T755" i="2"/>
  <c r="T754" i="2"/>
  <c r="T753" i="2"/>
  <c r="T752" i="2"/>
  <c r="T751" i="2"/>
  <c r="T750" i="2"/>
  <c r="T749" i="2"/>
  <c r="T748" i="2"/>
  <c r="T747" i="2"/>
  <c r="T746" i="2"/>
  <c r="T745" i="2"/>
  <c r="T744" i="2"/>
  <c r="T743" i="2"/>
  <c r="T742" i="2"/>
  <c r="T741" i="2"/>
  <c r="T740" i="2"/>
  <c r="T739" i="2"/>
  <c r="T738" i="2"/>
  <c r="T737" i="2"/>
  <c r="T736" i="2"/>
  <c r="T735" i="2"/>
  <c r="T734" i="2"/>
  <c r="T733" i="2"/>
  <c r="T732" i="2"/>
  <c r="T731" i="2"/>
  <c r="T730" i="2"/>
  <c r="T729" i="2"/>
  <c r="T728" i="2"/>
  <c r="T727" i="2"/>
  <c r="T726" i="2"/>
  <c r="T725" i="2"/>
  <c r="T724" i="2"/>
  <c r="T723" i="2"/>
  <c r="T722" i="2"/>
  <c r="T721" i="2"/>
  <c r="T720" i="2"/>
  <c r="T719" i="2"/>
  <c r="T718" i="2"/>
  <c r="T717" i="2"/>
  <c r="T716" i="2"/>
  <c r="T715" i="2"/>
  <c r="T714" i="2"/>
  <c r="T713" i="2"/>
  <c r="T712" i="2"/>
  <c r="T711" i="2"/>
  <c r="T710" i="2"/>
  <c r="T709" i="2"/>
  <c r="T708" i="2"/>
  <c r="T707" i="2"/>
  <c r="T706" i="2"/>
  <c r="T705" i="2"/>
  <c r="T704" i="2"/>
  <c r="T703" i="2"/>
  <c r="T702" i="2"/>
  <c r="T701" i="2"/>
  <c r="T700" i="2"/>
  <c r="T699" i="2"/>
  <c r="T698" i="2"/>
  <c r="T697" i="2"/>
  <c r="T696" i="2"/>
  <c r="T695" i="2"/>
  <c r="T694" i="2"/>
  <c r="T693" i="2"/>
  <c r="T692" i="2"/>
  <c r="T691" i="2"/>
  <c r="T690" i="2"/>
  <c r="T689" i="2"/>
  <c r="T688" i="2"/>
  <c r="T687" i="2"/>
  <c r="T686" i="2"/>
  <c r="T685" i="2"/>
  <c r="T684" i="2"/>
  <c r="T683" i="2"/>
  <c r="T682" i="2"/>
  <c r="T681" i="2"/>
  <c r="T680" i="2"/>
  <c r="T679" i="2"/>
  <c r="T678" i="2"/>
  <c r="T677" i="2"/>
  <c r="T676" i="2"/>
  <c r="T675" i="2"/>
  <c r="T674" i="2"/>
  <c r="T673" i="2"/>
  <c r="T672" i="2"/>
  <c r="T671" i="2"/>
  <c r="T670" i="2"/>
  <c r="T669" i="2"/>
  <c r="T668" i="2"/>
  <c r="T667" i="2"/>
  <c r="T666" i="2"/>
  <c r="T665" i="2"/>
  <c r="T664" i="2"/>
  <c r="T663" i="2"/>
  <c r="T662" i="2"/>
  <c r="T661" i="2"/>
  <c r="T660" i="2"/>
  <c r="T659" i="2"/>
  <c r="T658" i="2"/>
  <c r="T657" i="2"/>
  <c r="T656" i="2"/>
  <c r="T655" i="2"/>
  <c r="T654" i="2"/>
  <c r="T653" i="2"/>
  <c r="T652" i="2"/>
  <c r="T651" i="2"/>
  <c r="T650" i="2"/>
  <c r="T649" i="2"/>
  <c r="T648" i="2"/>
  <c r="T647" i="2"/>
  <c r="T646" i="2"/>
  <c r="T645" i="2"/>
  <c r="T644" i="2"/>
  <c r="T643" i="2"/>
  <c r="T642" i="2"/>
  <c r="T641" i="2"/>
  <c r="T640" i="2"/>
  <c r="T639" i="2"/>
  <c r="T638" i="2"/>
  <c r="T637" i="2"/>
  <c r="T636" i="2"/>
  <c r="T635" i="2"/>
  <c r="T634" i="2"/>
  <c r="T633" i="2"/>
  <c r="T632" i="2"/>
  <c r="T631" i="2"/>
  <c r="T630" i="2"/>
  <c r="T629" i="2"/>
  <c r="T628" i="2"/>
  <c r="T627" i="2"/>
  <c r="T626" i="2"/>
  <c r="T625" i="2"/>
  <c r="T624" i="2"/>
  <c r="T623" i="2"/>
  <c r="T622" i="2"/>
  <c r="T621" i="2"/>
  <c r="T620" i="2"/>
  <c r="T619" i="2"/>
  <c r="T618" i="2"/>
  <c r="T617" i="2"/>
  <c r="T616" i="2"/>
  <c r="T615" i="2"/>
  <c r="T614" i="2"/>
  <c r="T613" i="2"/>
  <c r="T612" i="2"/>
  <c r="T611" i="2"/>
  <c r="T610" i="2"/>
  <c r="T609" i="2"/>
  <c r="T608" i="2"/>
  <c r="T607" i="2"/>
  <c r="T606" i="2"/>
  <c r="T605" i="2"/>
  <c r="T604" i="2"/>
  <c r="T603" i="2"/>
  <c r="T602" i="2"/>
  <c r="T601" i="2"/>
  <c r="T600" i="2"/>
  <c r="T599" i="2"/>
  <c r="T598" i="2"/>
  <c r="T597" i="2"/>
  <c r="T596" i="2"/>
  <c r="T595" i="2"/>
  <c r="T594" i="2"/>
  <c r="T593" i="2"/>
  <c r="T592" i="2"/>
  <c r="T591" i="2"/>
  <c r="T590" i="2"/>
  <c r="T589" i="2"/>
  <c r="T588" i="2"/>
  <c r="T587" i="2"/>
  <c r="T586" i="2"/>
  <c r="T585" i="2"/>
  <c r="T584" i="2"/>
  <c r="T583" i="2"/>
  <c r="T582" i="2"/>
  <c r="T581" i="2"/>
  <c r="T580" i="2"/>
  <c r="T579" i="2"/>
  <c r="T578" i="2"/>
  <c r="T577" i="2"/>
  <c r="T576" i="2"/>
  <c r="T575" i="2"/>
  <c r="T574" i="2"/>
  <c r="T573" i="2"/>
  <c r="T572" i="2"/>
  <c r="T571" i="2"/>
  <c r="T570" i="2"/>
  <c r="T569" i="2"/>
  <c r="T568" i="2"/>
  <c r="T567" i="2"/>
  <c r="T566" i="2"/>
  <c r="T565" i="2"/>
  <c r="T564" i="2"/>
  <c r="T563" i="2"/>
  <c r="T562" i="2"/>
  <c r="T561" i="2"/>
  <c r="T560" i="2"/>
  <c r="T559" i="2"/>
  <c r="T558" i="2"/>
  <c r="T557" i="2"/>
  <c r="T556" i="2"/>
  <c r="T555" i="2"/>
  <c r="T554" i="2"/>
  <c r="T553" i="2"/>
  <c r="T552" i="2"/>
  <c r="T551" i="2"/>
  <c r="T550" i="2"/>
  <c r="T549" i="2"/>
  <c r="T548" i="2"/>
  <c r="T547" i="2"/>
  <c r="T546" i="2"/>
  <c r="T545" i="2"/>
  <c r="T544" i="2"/>
  <c r="T543" i="2"/>
  <c r="T542" i="2"/>
  <c r="T541" i="2"/>
  <c r="T540" i="2"/>
  <c r="T539" i="2"/>
  <c r="T538" i="2"/>
  <c r="T537" i="2"/>
  <c r="T536" i="2"/>
  <c r="T535" i="2"/>
  <c r="T534" i="2"/>
  <c r="T533" i="2"/>
  <c r="T532" i="2"/>
  <c r="T531" i="2"/>
  <c r="T530" i="2"/>
  <c r="T529" i="2"/>
  <c r="T528" i="2"/>
  <c r="T527" i="2"/>
  <c r="T526" i="2"/>
  <c r="T525" i="2"/>
  <c r="T524" i="2"/>
  <c r="T523" i="2"/>
  <c r="T522" i="2"/>
  <c r="T521" i="2"/>
  <c r="T520" i="2"/>
  <c r="T519" i="2"/>
  <c r="T518" i="2"/>
  <c r="T517" i="2"/>
  <c r="T516" i="2"/>
  <c r="T515" i="2"/>
  <c r="T514" i="2"/>
  <c r="T513" i="2"/>
  <c r="T512" i="2"/>
  <c r="T511" i="2"/>
  <c r="T510" i="2"/>
  <c r="T509" i="2"/>
  <c r="T508" i="2"/>
  <c r="T507" i="2"/>
  <c r="T506" i="2"/>
  <c r="T505" i="2"/>
  <c r="T504" i="2"/>
  <c r="T503" i="2"/>
  <c r="T502" i="2"/>
  <c r="T501" i="2"/>
  <c r="T500" i="2"/>
  <c r="T499" i="2"/>
  <c r="T498" i="2"/>
  <c r="T497" i="2"/>
  <c r="T496" i="2"/>
  <c r="T495" i="2"/>
  <c r="T494" i="2"/>
  <c r="T493" i="2"/>
  <c r="T492" i="2"/>
  <c r="T491" i="2"/>
  <c r="T490" i="2"/>
  <c r="T489" i="2"/>
  <c r="T488" i="2"/>
  <c r="T487" i="2"/>
  <c r="T486" i="2"/>
  <c r="T485" i="2"/>
  <c r="T484" i="2"/>
  <c r="T483" i="2"/>
  <c r="T482" i="2"/>
  <c r="T481" i="2"/>
  <c r="T480" i="2"/>
  <c r="T479" i="2"/>
  <c r="T478" i="2"/>
  <c r="T477" i="2"/>
  <c r="T476" i="2"/>
  <c r="T475" i="2"/>
  <c r="T474" i="2"/>
  <c r="T473" i="2"/>
  <c r="T472" i="2"/>
  <c r="T471" i="2"/>
  <c r="T470" i="2"/>
  <c r="T469" i="2"/>
  <c r="T468" i="2"/>
  <c r="T467" i="2"/>
  <c r="T466" i="2"/>
  <c r="T465" i="2"/>
  <c r="T464" i="2"/>
  <c r="T463" i="2"/>
  <c r="T462" i="2"/>
  <c r="T461" i="2"/>
  <c r="T460" i="2"/>
  <c r="T459" i="2"/>
  <c r="T458" i="2"/>
  <c r="T457" i="2"/>
  <c r="T456" i="2"/>
  <c r="T455" i="2"/>
  <c r="T454" i="2"/>
  <c r="T453" i="2"/>
  <c r="T452" i="2"/>
  <c r="T451" i="2"/>
  <c r="T450" i="2"/>
  <c r="T449" i="2"/>
  <c r="T448" i="2"/>
  <c r="T447" i="2"/>
  <c r="T446" i="2"/>
  <c r="T445" i="2"/>
  <c r="T444" i="2"/>
  <c r="T443" i="2"/>
  <c r="T442" i="2"/>
  <c r="T441" i="2"/>
  <c r="T440" i="2"/>
  <c r="T439" i="2"/>
  <c r="T438" i="2"/>
  <c r="T437" i="2"/>
  <c r="T436" i="2"/>
  <c r="T435" i="2"/>
  <c r="T434" i="2"/>
  <c r="T433" i="2"/>
  <c r="T432" i="2"/>
  <c r="T431" i="2"/>
  <c r="T430" i="2"/>
  <c r="T429" i="2"/>
  <c r="T428" i="2"/>
  <c r="T427" i="2"/>
  <c r="T426" i="2"/>
  <c r="T425" i="2"/>
  <c r="T424" i="2"/>
  <c r="T423" i="2"/>
  <c r="T422" i="2"/>
  <c r="T421" i="2"/>
  <c r="T420" i="2"/>
  <c r="T419" i="2"/>
  <c r="T418" i="2"/>
  <c r="T417" i="2"/>
  <c r="T416" i="2"/>
  <c r="T415" i="2"/>
  <c r="T414" i="2"/>
  <c r="T413" i="2"/>
  <c r="T412" i="2"/>
  <c r="T411" i="2"/>
  <c r="T410" i="2"/>
  <c r="T409" i="2"/>
  <c r="T408" i="2"/>
  <c r="T407" i="2"/>
  <c r="T406" i="2"/>
  <c r="T405" i="2"/>
  <c r="T404" i="2"/>
  <c r="T403" i="2"/>
  <c r="T402" i="2"/>
  <c r="T401" i="2"/>
  <c r="T400" i="2"/>
  <c r="T399" i="2"/>
  <c r="T398" i="2"/>
  <c r="T397" i="2"/>
  <c r="T396" i="2"/>
  <c r="T395" i="2"/>
  <c r="T394" i="2"/>
  <c r="T393" i="2"/>
  <c r="T392" i="2"/>
  <c r="T391" i="2"/>
  <c r="T390" i="2"/>
  <c r="T389" i="2"/>
  <c r="T388" i="2"/>
  <c r="T387" i="2"/>
  <c r="T386" i="2"/>
  <c r="T385" i="2"/>
  <c r="T384" i="2"/>
  <c r="T383" i="2"/>
  <c r="T382" i="2"/>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T2" i="2"/>
  <c r="T1001" i="1"/>
  <c r="T1000" i="1"/>
  <c r="T999" i="1"/>
  <c r="T998" i="1"/>
  <c r="T997" i="1"/>
  <c r="T996" i="1"/>
  <c r="T995" i="1"/>
  <c r="T994" i="1"/>
  <c r="T993" i="1"/>
  <c r="T992" i="1"/>
  <c r="T991"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3" i="1"/>
  <c r="R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54EA74-5E03-4264-A894-5694168E49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1134A8-BE01-4E41-AAD0-138C35A1662A}" name="WorksheetConnection_Healthcare_Operations_Dashboard.xlsx!Healthcare_Data" type="102" refreshedVersion="8" minRefreshableVersion="5">
    <extLst>
      <ext xmlns:x15="http://schemas.microsoft.com/office/spreadsheetml/2010/11/main" uri="{DE250136-89BD-433C-8126-D09CA5730AF9}">
        <x15:connection id="Healthcare_Data">
          <x15:rangePr sourceName="_xlcn.WorksheetConnection_Healthcare_Operations_Dashboard.xlsxHealthcare_Data1"/>
        </x15:connection>
      </ext>
    </extLst>
  </connection>
  <connection id="3" xr16:uid="{BA2D7B3C-E403-4AA4-924A-4ED61B77CC46}" name="WorksheetConnection_KPI_Analysis!$A$1:$B$7" type="102" refreshedVersion="8" minRefreshableVersion="5">
    <extLst>
      <ext xmlns:x15="http://schemas.microsoft.com/office/spreadsheetml/2010/11/main" uri="{DE250136-89BD-433C-8126-D09CA5730AF9}">
        <x15:connection id="Range 1" autoDelete="1">
          <x15:rangePr sourceName="_xlcn.WorksheetConnection_KPI_AnalysisA1B71"/>
        </x15:connection>
      </ext>
    </extLst>
  </connection>
  <connection id="4" xr16:uid="{3DA91FC5-A410-48F4-81B6-D9BFFB08EFD6}" name="WorksheetConnection_Raw_Data!$A$1:$T$1001" type="102" refreshedVersion="8" minRefreshableVersion="5">
    <extLst>
      <ext xmlns:x15="http://schemas.microsoft.com/office/spreadsheetml/2010/11/main" uri="{DE250136-89BD-433C-8126-D09CA5730AF9}">
        <x15:connection id="Range" autoDelete="1">
          <x15:rangePr sourceName="_xlcn.WorksheetConnection_Raw_DataA1T10011"/>
        </x15:connection>
      </ext>
    </extLst>
  </connection>
</connections>
</file>

<file path=xl/sharedStrings.xml><?xml version="1.0" encoding="utf-8"?>
<sst xmlns="http://schemas.openxmlformats.org/spreadsheetml/2006/main" count="19154" uniqueCount="1089">
  <si>
    <t>Patient_ID</t>
  </si>
  <si>
    <t>Visit_Date</t>
  </si>
  <si>
    <t>Department</t>
  </si>
  <si>
    <t>City</t>
  </si>
  <si>
    <t>Visit_Type</t>
  </si>
  <si>
    <t>Gender</t>
  </si>
  <si>
    <t>Age</t>
  </si>
  <si>
    <t>Diagnosis</t>
  </si>
  <si>
    <t>Doctor</t>
  </si>
  <si>
    <t>Insurance_Type</t>
  </si>
  <si>
    <t>Length_of_Stay_Days</t>
  </si>
  <si>
    <t>Treatment_Cost</t>
  </si>
  <si>
    <t>Discount</t>
  </si>
  <si>
    <t>Final_Bill</t>
  </si>
  <si>
    <t>Payment_Status</t>
  </si>
  <si>
    <t>Patient_Satisfaction</t>
  </si>
  <si>
    <t>Wait_Time_Minutes</t>
  </si>
  <si>
    <t>P10849</t>
  </si>
  <si>
    <t>Dermatology</t>
  </si>
  <si>
    <t>Pune</t>
  </si>
  <si>
    <t>OPD</t>
  </si>
  <si>
    <t>Male</t>
  </si>
  <si>
    <t>Heart Disease</t>
  </si>
  <si>
    <t>Dr. Iyer</t>
  </si>
  <si>
    <t>Private Insurance</t>
  </si>
  <si>
    <t>Paid</t>
  </si>
  <si>
    <t>P10678</t>
  </si>
  <si>
    <t>Oncology</t>
  </si>
  <si>
    <t>Bangalore</t>
  </si>
  <si>
    <t>Hypertension</t>
  </si>
  <si>
    <t>Dr. Reddy</t>
  </si>
  <si>
    <t>Self Pay</t>
  </si>
  <si>
    <t>Pending</t>
  </si>
  <si>
    <t>P10649</t>
  </si>
  <si>
    <t>Mumbai</t>
  </si>
  <si>
    <t>Respiratory Infection</t>
  </si>
  <si>
    <t>Corporate Insurance</t>
  </si>
  <si>
    <t>P10756</t>
  </si>
  <si>
    <t>Pediatrics</t>
  </si>
  <si>
    <t>Hyderabad</t>
  </si>
  <si>
    <t>Female</t>
  </si>
  <si>
    <t>Migraine</t>
  </si>
  <si>
    <t>Dr. Singh</t>
  </si>
  <si>
    <t>P10992</t>
  </si>
  <si>
    <t>General Medicine</t>
  </si>
  <si>
    <t>P10447</t>
  </si>
  <si>
    <t>Cancer</t>
  </si>
  <si>
    <t>P10207</t>
  </si>
  <si>
    <t>Cardiology</t>
  </si>
  <si>
    <t>P10264</t>
  </si>
  <si>
    <t>Orthopedics</t>
  </si>
  <si>
    <t>Chennai</t>
  </si>
  <si>
    <t>IPD</t>
  </si>
  <si>
    <t>P10064</t>
  </si>
  <si>
    <t>Emergency</t>
  </si>
  <si>
    <t>P10896</t>
  </si>
  <si>
    <t>Fracture</t>
  </si>
  <si>
    <t>Dr. Sharma</t>
  </si>
  <si>
    <t>Government Insurance</t>
  </si>
  <si>
    <t>Partially Paid</t>
  </si>
  <si>
    <t>P10949</t>
  </si>
  <si>
    <t>Dr. Patel</t>
  </si>
  <si>
    <t>P10497</t>
  </si>
  <si>
    <t>Dr. Khan</t>
  </si>
  <si>
    <t>P10326</t>
  </si>
  <si>
    <t>Diabetes</t>
  </si>
  <si>
    <t>P10969</t>
  </si>
  <si>
    <t>Neurology</t>
  </si>
  <si>
    <t>P10614</t>
  </si>
  <si>
    <t>Dr. Mehta</t>
  </si>
  <si>
    <t>P10416</t>
  </si>
  <si>
    <t>P10721</t>
  </si>
  <si>
    <t>Dr. Rao</t>
  </si>
  <si>
    <t>P10129</t>
  </si>
  <si>
    <t>P10843</t>
  </si>
  <si>
    <t>P10965</t>
  </si>
  <si>
    <t>P10742</t>
  </si>
  <si>
    <t>P10335</t>
  </si>
  <si>
    <t>P10935</t>
  </si>
  <si>
    <t>P10895</t>
  </si>
  <si>
    <t>P10606</t>
  </si>
  <si>
    <t>P10829</t>
  </si>
  <si>
    <t>P10688</t>
  </si>
  <si>
    <t>P10876</t>
  </si>
  <si>
    <t>P10098</t>
  </si>
  <si>
    <t>P10270</t>
  </si>
  <si>
    <t>P10602</t>
  </si>
  <si>
    <t>P10715</t>
  </si>
  <si>
    <t>P10485</t>
  </si>
  <si>
    <t>P10852</t>
  </si>
  <si>
    <t>P10682</t>
  </si>
  <si>
    <t>P10519</t>
  </si>
  <si>
    <t>P10917</t>
  </si>
  <si>
    <t>P10379</t>
  </si>
  <si>
    <t>P10152</t>
  </si>
  <si>
    <t>P10555</t>
  </si>
  <si>
    <t>P10051</t>
  </si>
  <si>
    <t>P10676</t>
  </si>
  <si>
    <t>P10886</t>
  </si>
  <si>
    <t>P10892</t>
  </si>
  <si>
    <t>P10135</t>
  </si>
  <si>
    <t>P10093</t>
  </si>
  <si>
    <t>P10904</t>
  </si>
  <si>
    <t>P10498</t>
  </si>
  <si>
    <t>P10330</t>
  </si>
  <si>
    <t>P10353</t>
  </si>
  <si>
    <t>P10567</t>
  </si>
  <si>
    <t>P10637</t>
  </si>
  <si>
    <t>P10384</t>
  </si>
  <si>
    <t>P10672</t>
  </si>
  <si>
    <t>P10988</t>
  </si>
  <si>
    <t>P10045</t>
  </si>
  <si>
    <t>P10007</t>
  </si>
  <si>
    <t>P10847</t>
  </si>
  <si>
    <t>P10308</t>
  </si>
  <si>
    <t>Skin Infection</t>
  </si>
  <si>
    <t>P10026</t>
  </si>
  <si>
    <t>P10748</t>
  </si>
  <si>
    <t>P10483</t>
  </si>
  <si>
    <t>P10581</t>
  </si>
  <si>
    <t>P10919</t>
  </si>
  <si>
    <t>P10915</t>
  </si>
  <si>
    <t>P10978</t>
  </si>
  <si>
    <t>P10873</t>
  </si>
  <si>
    <t>P10376</t>
  </si>
  <si>
    <t>P10317</t>
  </si>
  <si>
    <t>P10110</t>
  </si>
  <si>
    <t>P10165</t>
  </si>
  <si>
    <t>P10907</t>
  </si>
  <si>
    <t>P10697</t>
  </si>
  <si>
    <t>P10887</t>
  </si>
  <si>
    <t>P10150</t>
  </si>
  <si>
    <t>P10615</t>
  </si>
  <si>
    <t>P10802</t>
  </si>
  <si>
    <t>P10960</t>
  </si>
  <si>
    <t>P10115</t>
  </si>
  <si>
    <t>P10508</t>
  </si>
  <si>
    <t>P10306</t>
  </si>
  <si>
    <t>P10815</t>
  </si>
  <si>
    <t>P10855</t>
  </si>
  <si>
    <t>P10762</t>
  </si>
  <si>
    <t>P10928</t>
  </si>
  <si>
    <t>P10124</t>
  </si>
  <si>
    <t>P10524</t>
  </si>
  <si>
    <t>P10059</t>
  </si>
  <si>
    <t>P10327</t>
  </si>
  <si>
    <t>P10709</t>
  </si>
  <si>
    <t>P10963</t>
  </si>
  <si>
    <t>P10382</t>
  </si>
  <si>
    <t>P10151</t>
  </si>
  <si>
    <t>P10546</t>
  </si>
  <si>
    <t>P10338</t>
  </si>
  <si>
    <t>P10552</t>
  </si>
  <si>
    <t>P10268</t>
  </si>
  <si>
    <t>P10311</t>
  </si>
  <si>
    <t>P10996</t>
  </si>
  <si>
    <t>P10250</t>
  </si>
  <si>
    <t>P10909</t>
  </si>
  <si>
    <t>P10477</t>
  </si>
  <si>
    <t>P10373</t>
  </si>
  <si>
    <t>P10638</t>
  </si>
  <si>
    <t>P10766</t>
  </si>
  <si>
    <t>P10586</t>
  </si>
  <si>
    <t>P10961</t>
  </si>
  <si>
    <t>P10091</t>
  </si>
  <si>
    <t>P10109</t>
  </si>
  <si>
    <t>P10700</t>
  </si>
  <si>
    <t>P10137</t>
  </si>
  <si>
    <t>P10589</t>
  </si>
  <si>
    <t>P10933</t>
  </si>
  <si>
    <t>P10821</t>
  </si>
  <si>
    <t>P10516</t>
  </si>
  <si>
    <t>P10167</t>
  </si>
  <si>
    <t>P10657</t>
  </si>
  <si>
    <t>P10517</t>
  </si>
  <si>
    <t>P10071</t>
  </si>
  <si>
    <t>P10161</t>
  </si>
  <si>
    <t>P10708</t>
  </si>
  <si>
    <t>P10854</t>
  </si>
  <si>
    <t>P10334</t>
  </si>
  <si>
    <t>P10862</t>
  </si>
  <si>
    <t>P10471</t>
  </si>
  <si>
    <t>P10422</t>
  </si>
  <si>
    <t>P10991</t>
  </si>
  <si>
    <t>P10673</t>
  </si>
  <si>
    <t>P10453</t>
  </si>
  <si>
    <t>P10870</t>
  </si>
  <si>
    <t>P10116</t>
  </si>
  <si>
    <t>P10329</t>
  </si>
  <si>
    <t>P10030</t>
  </si>
  <si>
    <t>P10062</t>
  </si>
  <si>
    <t>P10395</t>
  </si>
  <si>
    <t>P10805</t>
  </si>
  <si>
    <t>P10841</t>
  </si>
  <si>
    <t>P10314</t>
  </si>
  <si>
    <t>P10037</t>
  </si>
  <si>
    <t>P10757</t>
  </si>
  <si>
    <t>P10198</t>
  </si>
  <si>
    <t>P10143</t>
  </si>
  <si>
    <t>P10576</t>
  </si>
  <si>
    <t>P10749</t>
  </si>
  <si>
    <t>P10413</t>
  </si>
  <si>
    <t>P10216</t>
  </si>
  <si>
    <t>P10582</t>
  </si>
  <si>
    <t>P10817</t>
  </si>
  <si>
    <t>P10086</t>
  </si>
  <si>
    <t>P10055</t>
  </si>
  <si>
    <t>P10410</t>
  </si>
  <si>
    <t>P10210</t>
  </si>
  <si>
    <t>P10774</t>
  </si>
  <si>
    <t>P10679</t>
  </si>
  <si>
    <t>P10356</t>
  </si>
  <si>
    <t>P10065</t>
  </si>
  <si>
    <t>P10278</t>
  </si>
  <si>
    <t>P10039</t>
  </si>
  <si>
    <t>P10884</t>
  </si>
  <si>
    <t>P10866</t>
  </si>
  <si>
    <t>P10585</t>
  </si>
  <si>
    <t>P10645</t>
  </si>
  <si>
    <t>P10357</t>
  </si>
  <si>
    <t>P10403</t>
  </si>
  <si>
    <t>P10656</t>
  </si>
  <si>
    <t>P10445</t>
  </si>
  <si>
    <t>P10437</t>
  </si>
  <si>
    <t>P10031</t>
  </si>
  <si>
    <t>P10414</t>
  </si>
  <si>
    <t>P10263</t>
  </si>
  <si>
    <t>P10871</t>
  </si>
  <si>
    <t>P10839</t>
  </si>
  <si>
    <t>P10162</t>
  </si>
  <si>
    <t>P10562</t>
  </si>
  <si>
    <t>P10974</t>
  </si>
  <si>
    <t>P10117</t>
  </si>
  <si>
    <t>P10102</t>
  </si>
  <si>
    <t>P10398</t>
  </si>
  <si>
    <t>P10732</t>
  </si>
  <si>
    <t>P10139</t>
  </si>
  <si>
    <t>P10513</t>
  </si>
  <si>
    <t>P10095</t>
  </si>
  <si>
    <t>P10724</t>
  </si>
  <si>
    <t>P10159</t>
  </si>
  <si>
    <t>P10785</t>
  </si>
  <si>
    <t>P10921</t>
  </si>
  <si>
    <t>P10299</t>
  </si>
  <si>
    <t>P10920</t>
  </si>
  <si>
    <t>P10470</t>
  </si>
  <si>
    <t>P10579</t>
  </si>
  <si>
    <t>P10459</t>
  </si>
  <si>
    <t>P10814</t>
  </si>
  <si>
    <t>P10628</t>
  </si>
  <si>
    <t>P10947</t>
  </si>
  <si>
    <t>P10765</t>
  </si>
  <si>
    <t>P10005</t>
  </si>
  <si>
    <t>P10859</t>
  </si>
  <si>
    <t>P10603</t>
  </si>
  <si>
    <t>P10282</t>
  </si>
  <si>
    <t>P10786</t>
  </si>
  <si>
    <t>P10536</t>
  </si>
  <si>
    <t>P10968</t>
  </si>
  <si>
    <t>P10601</t>
  </si>
  <si>
    <t>P10463</t>
  </si>
  <si>
    <t>P10571</t>
  </si>
  <si>
    <t>P10856</t>
  </si>
  <si>
    <t>P10755</t>
  </si>
  <si>
    <t>P10888</t>
  </si>
  <si>
    <t>P10664</t>
  </si>
  <si>
    <t>P10061</t>
  </si>
  <si>
    <t>P10104</t>
  </si>
  <si>
    <t>P10806</t>
  </si>
  <si>
    <t>P10204</t>
  </si>
  <si>
    <t>P10711</t>
  </si>
  <si>
    <t>P10932</t>
  </si>
  <si>
    <t>P10752</t>
  </si>
  <si>
    <t>P10563</t>
  </si>
  <si>
    <t>P10754</t>
  </si>
  <si>
    <t>P10466</t>
  </si>
  <si>
    <t>P10157</t>
  </si>
  <si>
    <t>P10912</t>
  </si>
  <si>
    <t>P10012</t>
  </si>
  <si>
    <t>P10454</t>
  </si>
  <si>
    <t>P10049</t>
  </si>
  <si>
    <t>P10692</t>
  </si>
  <si>
    <t>P10527</t>
  </si>
  <si>
    <t>P10993</t>
  </si>
  <si>
    <t>P10530</t>
  </si>
  <si>
    <t>P10634</t>
  </si>
  <si>
    <t>P10844</t>
  </si>
  <si>
    <t>P10389</t>
  </si>
  <si>
    <t>P10436</t>
  </si>
  <si>
    <t>P10057</t>
  </si>
  <si>
    <t>P10529</t>
  </si>
  <si>
    <t>P10837</t>
  </si>
  <si>
    <t>P10973</t>
  </si>
  <si>
    <t>P10472</t>
  </si>
  <si>
    <t>P10954</t>
  </si>
  <si>
    <t>P10343</t>
  </si>
  <si>
    <t>P10828</t>
  </si>
  <si>
    <t>P10520</t>
  </si>
  <si>
    <t>P10764</t>
  </si>
  <si>
    <t>P10193</t>
  </si>
  <si>
    <t>P10494</t>
  </si>
  <si>
    <t>P10547</t>
  </si>
  <si>
    <t>P10144</t>
  </si>
  <si>
    <t>P10450</t>
  </si>
  <si>
    <t>P10234</t>
  </si>
  <si>
    <t>P10321</t>
  </si>
  <si>
    <t>P10230</t>
  </si>
  <si>
    <t>P10793</t>
  </si>
  <si>
    <t>P10738</t>
  </si>
  <si>
    <t>P10336</t>
  </si>
  <si>
    <t>P10289</t>
  </si>
  <si>
    <t>P10344</t>
  </si>
  <si>
    <t>P10257</t>
  </si>
  <si>
    <t>P10545</t>
  </si>
  <si>
    <t>P10272</t>
  </si>
  <si>
    <t>P10120</t>
  </si>
  <si>
    <t>P10740</t>
  </si>
  <si>
    <t>P10580</t>
  </si>
  <si>
    <t>P10478</t>
  </si>
  <si>
    <t>P10488</t>
  </si>
  <si>
    <t>P10013</t>
  </si>
  <si>
    <t>P10569</t>
  </si>
  <si>
    <t>P10510</t>
  </si>
  <si>
    <t>P10202</t>
  </si>
  <si>
    <t>P10934</t>
  </si>
  <si>
    <t>P10126</t>
  </si>
  <si>
    <t>P10411</t>
  </si>
  <si>
    <t>P10417</t>
  </si>
  <si>
    <t>P10787</t>
  </si>
  <si>
    <t>P10008</t>
  </si>
  <si>
    <t>P10001</t>
  </si>
  <si>
    <t>P10369</t>
  </si>
  <si>
    <t>P10284</t>
  </si>
  <si>
    <t>P10532</t>
  </si>
  <si>
    <t>P10739</t>
  </si>
  <si>
    <t>P10066</t>
  </si>
  <si>
    <t>P10429</t>
  </si>
  <si>
    <t>P10804</t>
  </si>
  <si>
    <t>P10868</t>
  </si>
  <si>
    <t>P10004</t>
  </si>
  <si>
    <t>P10166</t>
  </si>
  <si>
    <t>P10415</t>
  </si>
  <si>
    <t>P10587</t>
  </si>
  <si>
    <t>P10923</t>
  </si>
  <si>
    <t>P10925</t>
  </si>
  <si>
    <t>P10823</t>
  </si>
  <si>
    <t>P10927</t>
  </si>
  <si>
    <t>P10897</t>
  </si>
  <si>
    <t>P10929</t>
  </si>
  <si>
    <t>P10288</t>
  </si>
  <si>
    <t>P10779</t>
  </si>
  <si>
    <t>P10948</t>
  </si>
  <si>
    <t>P10262</t>
  </si>
  <si>
    <t>P10203</t>
  </si>
  <si>
    <t>P10877</t>
  </si>
  <si>
    <t>P10201</t>
  </si>
  <si>
    <t>P10283</t>
  </si>
  <si>
    <t>P10206</t>
  </si>
  <si>
    <t>P10989</t>
  </si>
  <si>
    <t>P10196</t>
  </si>
  <si>
    <t>P10535</t>
  </si>
  <si>
    <t>P10362</t>
  </si>
  <si>
    <t>P10531</t>
  </si>
  <si>
    <t>P10346</t>
  </si>
  <si>
    <t>P10281</t>
  </si>
  <si>
    <t>P10178</t>
  </si>
  <si>
    <t>P10654</t>
  </si>
  <si>
    <t>P10440</t>
  </si>
  <si>
    <t>P10770</t>
  </si>
  <si>
    <t>P10983</t>
  </si>
  <si>
    <t>P10972</t>
  </si>
  <si>
    <t>P10452</t>
  </si>
  <si>
    <t>P10906</t>
  </si>
  <si>
    <t>P10722</t>
  </si>
  <si>
    <t>P10279</t>
  </si>
  <si>
    <t>P10433</t>
  </si>
  <si>
    <t>P10177</t>
  </si>
  <si>
    <t>P10863</t>
  </si>
  <si>
    <t>P10592</t>
  </si>
  <si>
    <t>P10446</t>
  </si>
  <si>
    <t>P10689</t>
  </si>
  <si>
    <t>P10009</t>
  </si>
  <si>
    <t>P10840</t>
  </si>
  <si>
    <t>P10612</t>
  </si>
  <si>
    <t>P10225</t>
  </si>
  <si>
    <t>P10236</t>
  </si>
  <si>
    <t>P10428</t>
  </si>
  <si>
    <t>P10400</t>
  </si>
  <si>
    <t>P10644</t>
  </si>
  <si>
    <t>P10913</t>
  </si>
  <si>
    <t>P10451</t>
  </si>
  <si>
    <t>P10214</t>
  </si>
  <si>
    <t>P10639</t>
  </si>
  <si>
    <t>P10819</t>
  </si>
  <si>
    <t>P10366</t>
  </si>
  <si>
    <t>P10443</t>
  </si>
  <si>
    <t>P10883</t>
  </si>
  <si>
    <t>P10352</t>
  </si>
  <si>
    <t>P10249</t>
  </si>
  <si>
    <t>P10305</t>
  </si>
  <si>
    <t>P10171</t>
  </si>
  <si>
    <t>P10253</t>
  </si>
  <si>
    <t>P10100</t>
  </si>
  <si>
    <t>P10444</t>
  </si>
  <si>
    <t>P10208</t>
  </si>
  <si>
    <t>P10215</t>
  </si>
  <si>
    <t>P10276</t>
  </si>
  <si>
    <t>P10016</t>
  </si>
  <si>
    <t>P10042</t>
  </si>
  <si>
    <t>P10127</t>
  </si>
  <si>
    <t>P10626</t>
  </si>
  <si>
    <t>P10807</t>
  </si>
  <si>
    <t>P10745</t>
  </si>
  <si>
    <t>P10593</t>
  </si>
  <si>
    <t>P10850</t>
  </si>
  <si>
    <t>P10981</t>
  </si>
  <si>
    <t>P10655</t>
  </si>
  <si>
    <t>P10971</t>
  </si>
  <si>
    <t>P10163</t>
  </si>
  <si>
    <t>P10111</t>
  </si>
  <si>
    <t>P10303</t>
  </si>
  <si>
    <t>P10044</t>
  </si>
  <si>
    <t>P10618</t>
  </si>
  <si>
    <t>P10693</t>
  </si>
  <si>
    <t>P10101</t>
  </si>
  <si>
    <t>P10957</t>
  </si>
  <si>
    <t>P10183</t>
  </si>
  <si>
    <t>P10809</t>
  </si>
  <si>
    <t>P10103</t>
  </si>
  <si>
    <t>P10998</t>
  </si>
  <si>
    <t>P10267</t>
  </si>
  <si>
    <t>P10990</t>
  </si>
  <si>
    <t>P10641</t>
  </si>
  <si>
    <t>P10608</t>
  </si>
  <si>
    <t>P10994</t>
  </si>
  <si>
    <t>P10387</t>
  </si>
  <si>
    <t>P10388</t>
  </si>
  <si>
    <t>P10677</t>
  </si>
  <si>
    <t>P10148</t>
  </si>
  <si>
    <t>P10681</t>
  </si>
  <si>
    <t>P10426</t>
  </si>
  <si>
    <t>P10578</t>
  </si>
  <si>
    <t>P10584</t>
  </si>
  <si>
    <t>P10260</t>
  </si>
  <si>
    <t>P10465</t>
  </si>
  <si>
    <t>P10233</t>
  </si>
  <si>
    <t>P10432</t>
  </si>
  <si>
    <t>P10703</t>
  </si>
  <si>
    <t>P10753</t>
  </si>
  <si>
    <t>P10916</t>
  </si>
  <si>
    <t>P10622</t>
  </si>
  <si>
    <t>P10599</t>
  </si>
  <si>
    <t>P10924</t>
  </si>
  <si>
    <t>P10725</t>
  </si>
  <si>
    <t>P10431</t>
  </si>
  <si>
    <t>P10273</t>
  </si>
  <si>
    <t>P10493</t>
  </si>
  <si>
    <t>P10244</t>
  </si>
  <si>
    <t>P10671</t>
  </si>
  <si>
    <t>P10325</t>
  </si>
  <si>
    <t>P10245</t>
  </si>
  <si>
    <t>P10241</t>
  </si>
  <si>
    <t>P10646</t>
  </si>
  <si>
    <t>P10663</t>
  </si>
  <si>
    <t>P10401</t>
  </si>
  <si>
    <t>P10944</t>
  </si>
  <si>
    <t>P10017</t>
  </si>
  <si>
    <t>P10255</t>
  </si>
  <si>
    <t>P10365</t>
  </si>
  <si>
    <t>P10549</t>
  </si>
  <si>
    <t>P10825</t>
  </si>
  <si>
    <t>P10583</t>
  </si>
  <si>
    <t>P10548</t>
  </si>
  <si>
    <t>P10190</t>
  </si>
  <si>
    <t>P10505</t>
  </si>
  <si>
    <t>P10015</t>
  </si>
  <si>
    <t>P10955</t>
  </si>
  <si>
    <t>P10277</t>
  </si>
  <si>
    <t>P10290</t>
  </si>
  <si>
    <t>P10396</t>
  </si>
  <si>
    <t>P10767</t>
  </si>
  <si>
    <t>P10891</t>
  </si>
  <si>
    <t>P10464</t>
  </si>
  <si>
    <t>P10367</t>
  </si>
  <si>
    <t>P10836</t>
  </si>
  <si>
    <t>P10687</t>
  </si>
  <si>
    <t>P10092</t>
  </si>
  <si>
    <t>P10310</t>
  </si>
  <si>
    <t>P10430</t>
  </si>
  <si>
    <t>P10333</t>
  </si>
  <si>
    <t>P10659</t>
  </si>
  <si>
    <t>P10192</t>
  </si>
  <si>
    <t>P10269</t>
  </si>
  <si>
    <t>P10838</t>
  </si>
  <si>
    <t>P10503</t>
  </si>
  <si>
    <t>P10153</t>
  </si>
  <si>
    <t>P10219</t>
  </si>
  <si>
    <t>P10349</t>
  </si>
  <si>
    <t>P10298</t>
  </si>
  <si>
    <t>P10280</t>
  </si>
  <si>
    <t>P10024</t>
  </si>
  <si>
    <t>P10769</t>
  </si>
  <si>
    <t>P10072</t>
  </si>
  <si>
    <t>P10295</t>
  </si>
  <si>
    <t>P10594</t>
  </si>
  <si>
    <t>P10507</t>
  </si>
  <si>
    <t>P10105</t>
  </si>
  <si>
    <t>P10540</t>
  </si>
  <si>
    <t>P10691</t>
  </si>
  <si>
    <t>P10669</t>
  </si>
  <si>
    <t>P10750</t>
  </si>
  <si>
    <t>P10616</t>
  </si>
  <si>
    <t>P10185</t>
  </si>
  <si>
    <t>P10800</t>
  </si>
  <si>
    <t>P10047</t>
  </si>
  <si>
    <t>P10633</t>
  </si>
  <si>
    <t>P10609</t>
  </si>
  <si>
    <t>P10514</t>
  </si>
  <si>
    <t>P10297</t>
  </si>
  <si>
    <t>P10407</t>
  </si>
  <si>
    <t>P10160</t>
  </si>
  <si>
    <t>P10845</t>
  </si>
  <si>
    <t>P10032</t>
  </si>
  <si>
    <t>P10374</t>
  </si>
  <si>
    <t>P10610</t>
  </si>
  <si>
    <t>P10149</t>
  </si>
  <si>
    <t>P10189</t>
  </si>
  <si>
    <t>P10217</t>
  </si>
  <si>
    <t>P10121</t>
  </si>
  <si>
    <t>P10331</t>
  </si>
  <si>
    <t>P10658</t>
  </si>
  <si>
    <t>P10383</t>
  </si>
  <si>
    <t>P10758</t>
  </si>
  <si>
    <t>P10640</t>
  </si>
  <si>
    <t>P10979</t>
  </si>
  <si>
    <t>P10660</t>
  </si>
  <si>
    <t>P10607</t>
  </si>
  <si>
    <t>P10360</t>
  </si>
  <si>
    <t>P10036</t>
  </si>
  <si>
    <t>P10307</t>
  </si>
  <si>
    <t>P10372</t>
  </si>
  <si>
    <t>P10728</t>
  </si>
  <si>
    <t>P10737</t>
  </si>
  <si>
    <t>P10544</t>
  </si>
  <si>
    <t>P10568</t>
  </si>
  <si>
    <t>P10506</t>
  </si>
  <si>
    <t>P10696</t>
  </si>
  <si>
    <t>P10138</t>
  </si>
  <si>
    <t>P10509</t>
  </si>
  <si>
    <t>P10880</t>
  </si>
  <si>
    <t>P10490</t>
  </si>
  <si>
    <t>P10936</t>
  </si>
  <si>
    <t>P10195</t>
  </si>
  <si>
    <t>P10406</t>
  </si>
  <si>
    <t>P10342</t>
  </si>
  <si>
    <t>P10588</t>
  </si>
  <si>
    <t>P10632</t>
  </si>
  <si>
    <t>P10554</t>
  </si>
  <si>
    <t>P10826</t>
  </si>
  <si>
    <t>P10831</t>
  </si>
  <si>
    <t>P10224</t>
  </si>
  <si>
    <t>P10810</t>
  </si>
  <si>
    <t>P10467</t>
  </si>
  <si>
    <t>P10694</t>
  </si>
  <si>
    <t>P10397</t>
  </si>
  <si>
    <t>P10590</t>
  </si>
  <si>
    <t>P10155</t>
  </si>
  <si>
    <t>P10566</t>
  </si>
  <si>
    <t>P10205</t>
  </si>
  <si>
    <t>P10237</t>
  </si>
  <si>
    <t>P10893</t>
  </si>
  <si>
    <t>P10345</t>
  </si>
  <si>
    <t>P10090</t>
  </si>
  <si>
    <t>P10033</t>
  </si>
  <si>
    <t>P10457</t>
  </si>
  <si>
    <t>P10006</t>
  </si>
  <si>
    <t>P10550</t>
  </si>
  <si>
    <t>P10080</t>
  </si>
  <si>
    <t>P10399</t>
  </si>
  <si>
    <t>P10651</t>
  </si>
  <si>
    <t>P10174</t>
  </si>
  <si>
    <t>P10035</t>
  </si>
  <si>
    <t>P10069</t>
  </si>
  <si>
    <t>P10347</t>
  </si>
  <si>
    <t>P10652</t>
  </si>
  <si>
    <t>P10905</t>
  </si>
  <si>
    <t>P10022</t>
  </si>
  <si>
    <t>P10542</t>
  </si>
  <si>
    <t>P10458</t>
  </si>
  <si>
    <t>P10702</t>
  </si>
  <si>
    <t>P10328</t>
  </si>
  <si>
    <t>P10788</t>
  </si>
  <si>
    <t>P10293</t>
  </si>
  <si>
    <t>P10975</t>
  </si>
  <si>
    <t>P10613</t>
  </si>
  <si>
    <t>P10833</t>
  </si>
  <si>
    <t>P10835</t>
  </si>
  <si>
    <t>P10304</t>
  </si>
  <si>
    <t>P10418</t>
  </si>
  <si>
    <t>P10533</t>
  </si>
  <si>
    <t>P10743</t>
  </si>
  <si>
    <t>P10713</t>
  </si>
  <si>
    <t>P10231</t>
  </si>
  <si>
    <t>P10220</t>
  </si>
  <si>
    <t>P10946</t>
  </si>
  <si>
    <t>P10182</t>
  </si>
  <si>
    <t>P10247</t>
  </si>
  <si>
    <t>P10112</t>
  </si>
  <si>
    <t>P10704</t>
  </si>
  <si>
    <t>P10235</t>
  </si>
  <si>
    <t>P10073</t>
  </si>
  <si>
    <t>P10751</t>
  </si>
  <si>
    <t>P10635</t>
  </si>
  <si>
    <t>P10908</t>
  </si>
  <si>
    <t>P10223</t>
  </si>
  <si>
    <t>P10977</t>
  </si>
  <si>
    <t>P10666</t>
  </si>
  <si>
    <t>P10474</t>
  </si>
  <si>
    <t>P10759</t>
  </si>
  <si>
    <t>P10818</t>
  </si>
  <si>
    <t>P10574</t>
  </si>
  <si>
    <t>P10060</t>
  </si>
  <si>
    <t>P10881</t>
  </si>
  <si>
    <t>P10782</t>
  </si>
  <si>
    <t>P10134</t>
  </si>
  <si>
    <t>P10296</t>
  </si>
  <si>
    <t>P10083</t>
  </si>
  <si>
    <t>P10275</t>
  </si>
  <si>
    <t>P10705</t>
  </si>
  <si>
    <t>P10918</t>
  </si>
  <si>
    <t>P10986</t>
  </si>
  <si>
    <t>P10665</t>
  </si>
  <si>
    <t>P10082</t>
  </si>
  <si>
    <t>P10123</t>
  </si>
  <si>
    <t>P10885</t>
  </si>
  <si>
    <t>P10864</t>
  </si>
  <si>
    <t>P10525</t>
  </si>
  <si>
    <t>P10078</t>
  </si>
  <si>
    <t>P10010</t>
  </si>
  <si>
    <t>P10393</t>
  </si>
  <si>
    <t>P10595</t>
  </si>
  <si>
    <t>P10889</t>
  </si>
  <si>
    <t>P10118</t>
  </si>
  <si>
    <t>P10624</t>
  </si>
  <si>
    <t>P10733</t>
  </si>
  <si>
    <t>P10088</t>
  </si>
  <si>
    <t>P10557</t>
  </si>
  <si>
    <t>P10564</t>
  </si>
  <si>
    <t>P10537</t>
  </si>
  <si>
    <t>P10475</t>
  </si>
  <si>
    <t>P10218</t>
  </si>
  <si>
    <t>P10130</t>
  </si>
  <si>
    <t>P10070</t>
  </si>
  <si>
    <t>P10857</t>
  </si>
  <si>
    <t>P10643</t>
  </si>
  <si>
    <t>P10698</t>
  </si>
  <si>
    <t>P10332</t>
  </si>
  <si>
    <t>P10209</t>
  </si>
  <si>
    <t>P10967</t>
  </si>
  <si>
    <t>P10706</t>
  </si>
  <si>
    <t>P10469</t>
  </si>
  <si>
    <t>P10596</t>
  </si>
  <si>
    <t>P10776</t>
  </si>
  <si>
    <t>P10481</t>
  </si>
  <si>
    <t>P10145</t>
  </si>
  <si>
    <t>P10575</t>
  </si>
  <si>
    <t>P10355</t>
  </si>
  <si>
    <t>P10964</t>
  </si>
  <si>
    <t>P10591</t>
  </si>
  <si>
    <t>P10491</t>
  </si>
  <si>
    <t>P10726</t>
  </si>
  <si>
    <t>P10212</t>
  </si>
  <si>
    <t>P10551</t>
  </si>
  <si>
    <t>P10684</t>
  </si>
  <si>
    <t>P10987</t>
  </si>
  <si>
    <t>P10186</t>
  </si>
  <si>
    <t>P10175</t>
  </si>
  <si>
    <t>P10213</t>
  </si>
  <si>
    <t>P10939</t>
  </si>
  <si>
    <t>P10790</t>
  </si>
  <si>
    <t>P10318</t>
  </si>
  <si>
    <t>P10903</t>
  </si>
  <si>
    <t>P10670</t>
  </si>
  <si>
    <t>P10125</t>
  </si>
  <si>
    <t>P10287</t>
  </si>
  <si>
    <t>P10543</t>
  </si>
  <si>
    <t>P10701</t>
  </si>
  <si>
    <t>P10926</t>
  </si>
  <si>
    <t>P10962</t>
  </si>
  <si>
    <t>P10439</t>
  </si>
  <si>
    <t>P10942</t>
  </si>
  <si>
    <t>P10668</t>
  </si>
  <si>
    <t>P10783</t>
  </si>
  <si>
    <t>P10312</t>
  </si>
  <si>
    <t>P10605</t>
  </si>
  <si>
    <t>P10173</t>
  </si>
  <si>
    <t>P10141</t>
  </si>
  <si>
    <t>P10108</t>
  </si>
  <si>
    <t>P10146</t>
  </si>
  <si>
    <t>P10911</t>
  </si>
  <si>
    <t>P10337</t>
  </si>
  <si>
    <t>P10271</t>
  </si>
  <si>
    <t>P10674</t>
  </si>
  <si>
    <t>P10851</t>
  </si>
  <si>
    <t>P10179</t>
  </si>
  <si>
    <t>P10570</t>
  </si>
  <si>
    <t>P10194</t>
  </si>
  <si>
    <t>P10922</t>
  </si>
  <si>
    <t>P10188</t>
  </si>
  <si>
    <t>P10597</t>
  </si>
  <si>
    <t>P10820</t>
  </si>
  <si>
    <t>P10931</t>
  </si>
  <si>
    <t>P10775</t>
  </si>
  <si>
    <t>P10028</t>
  </si>
  <si>
    <t>P10455</t>
  </si>
  <si>
    <t>P10084</t>
  </si>
  <si>
    <t>P10147</t>
  </si>
  <si>
    <t>P10898</t>
  </si>
  <si>
    <t>P10473</t>
  </si>
  <si>
    <t>P10309</t>
  </si>
  <si>
    <t>P10600</t>
  </si>
  <si>
    <t>P10900</t>
  </si>
  <si>
    <t>P10865</t>
  </si>
  <si>
    <t>P10727</t>
  </si>
  <si>
    <t>P10448</t>
  </si>
  <si>
    <t>P10232</t>
  </si>
  <si>
    <t>P10707</t>
  </si>
  <si>
    <t>P10822</t>
  </si>
  <si>
    <t>P10142</t>
  </si>
  <si>
    <t>P10718</t>
  </si>
  <si>
    <t>P10523</t>
  </si>
  <si>
    <t>P10052</t>
  </si>
  <si>
    <t>P10642</t>
  </si>
  <si>
    <t>P10156</t>
  </si>
  <si>
    <t>P10959</t>
  </si>
  <si>
    <t>P10040</t>
  </si>
  <si>
    <t>P10371</t>
  </si>
  <si>
    <t>P10486</t>
  </si>
  <si>
    <t>P10221</t>
  </si>
  <si>
    <t>P10501</t>
  </si>
  <si>
    <t>P10375</t>
  </si>
  <si>
    <t>P10803</t>
  </si>
  <si>
    <t>P10462</t>
  </si>
  <si>
    <t>P10958</t>
  </si>
  <si>
    <t>P10539</t>
  </si>
  <si>
    <t>P10824</t>
  </si>
  <si>
    <t>P10799</t>
  </si>
  <si>
    <t>P10861</t>
  </si>
  <si>
    <t>P10768</t>
  </si>
  <si>
    <t>P10484</t>
  </si>
  <si>
    <t>P10492</t>
  </si>
  <si>
    <t>P10719</t>
  </si>
  <si>
    <t>P10777</t>
  </si>
  <si>
    <t>P10079</t>
  </si>
  <si>
    <t>P10089</t>
  </si>
  <si>
    <t>P10629</t>
  </si>
  <si>
    <t>P10667</t>
  </si>
  <si>
    <t>P10259</t>
  </si>
  <si>
    <t>P10242</t>
  </si>
  <si>
    <t>P10789</t>
  </si>
  <si>
    <t>P10604</t>
  </si>
  <si>
    <t>P10027</t>
  </si>
  <si>
    <t>P10879</t>
  </si>
  <si>
    <t>P10522</t>
  </si>
  <si>
    <t>P10710</t>
  </si>
  <si>
    <t>P10348</t>
  </si>
  <si>
    <t>P10286</t>
  </si>
  <si>
    <t>P10266</t>
  </si>
  <si>
    <t>P10480</t>
  </si>
  <si>
    <t>P10226</t>
  </si>
  <si>
    <t>P10131</t>
  </si>
  <si>
    <t>P10780</t>
  </si>
  <si>
    <t>P10350</t>
  </si>
  <si>
    <t>P10712</t>
  </si>
  <si>
    <t>P10875</t>
  </si>
  <si>
    <t>P10128</t>
  </si>
  <si>
    <t>P10495</t>
  </si>
  <si>
    <t>P10502</t>
  </si>
  <si>
    <t>P10019</t>
  </si>
  <si>
    <t>P10240</t>
  </si>
  <si>
    <t>P10180</t>
  </si>
  <si>
    <t>P10771</t>
  </si>
  <si>
    <t>P10680</t>
  </si>
  <si>
    <t>P10747</t>
  </si>
  <si>
    <t>P10760</t>
  </si>
  <si>
    <t>P10067</t>
  </si>
  <si>
    <t>P10107</t>
  </si>
  <si>
    <t>P10419</t>
  </si>
  <si>
    <t>P10816</t>
  </si>
  <si>
    <t>P10258</t>
  </si>
  <si>
    <t>P10528</t>
  </si>
  <si>
    <t>P10930</t>
  </si>
  <si>
    <t>P10315</t>
  </si>
  <si>
    <t>P10058</t>
  </si>
  <si>
    <t>P10412</t>
  </si>
  <si>
    <t>P10386</t>
  </si>
  <si>
    <t>P10572</t>
  </si>
  <si>
    <t>P10053</t>
  </si>
  <si>
    <t>P10729</t>
  </si>
  <si>
    <t>P10254</t>
  </si>
  <si>
    <t>P10773</t>
  </si>
  <si>
    <t>P10114</t>
  </si>
  <si>
    <t>P10199</t>
  </si>
  <si>
    <t>P10511</t>
  </si>
  <si>
    <t>P10553</t>
  </si>
  <si>
    <t>P10427</t>
  </si>
  <si>
    <t>P10074</t>
  </si>
  <si>
    <t>P10077</t>
  </si>
  <si>
    <t>P10409</t>
  </si>
  <si>
    <t>P10003</t>
  </si>
  <si>
    <t>P10034</t>
  </si>
  <si>
    <t>P10685</t>
  </si>
  <si>
    <t>P10456</t>
  </si>
  <si>
    <t>P10812</t>
  </si>
  <si>
    <t>P10368</t>
  </si>
  <si>
    <t>P10910</t>
  </si>
  <si>
    <t>P10561</t>
  </si>
  <si>
    <t>P10048</t>
  </si>
  <si>
    <t>P10901</t>
  </si>
  <si>
    <t>P10435</t>
  </si>
  <si>
    <t>P10985</t>
  </si>
  <si>
    <t>P10630</t>
  </si>
  <si>
    <t>P10945</t>
  </si>
  <si>
    <t>P10538</t>
  </si>
  <si>
    <t>P10023</t>
  </si>
  <si>
    <t>P10301</t>
  </si>
  <si>
    <t>P10319</t>
  </si>
  <si>
    <t>P10842</t>
  </si>
  <si>
    <t>P10460</t>
  </si>
  <si>
    <t>P10556</t>
  </si>
  <si>
    <t>P10442</t>
  </si>
  <si>
    <t>P10499</t>
  </si>
  <si>
    <t>P10339</t>
  </si>
  <si>
    <t>P10228</t>
  </si>
  <si>
    <t>P10087</t>
  </si>
  <si>
    <t>P10361</t>
  </si>
  <si>
    <t>P10354</t>
  </si>
  <si>
    <t>P10832</t>
  </si>
  <si>
    <t>P10860</t>
  </si>
  <si>
    <t>P10937</t>
  </si>
  <si>
    <t>P10731</t>
  </si>
  <si>
    <t>P10611</t>
  </si>
  <si>
    <t>P10133</t>
  </si>
  <si>
    <t>P10176</t>
  </si>
  <si>
    <t>P10736</t>
  </si>
  <si>
    <t>P10316</t>
  </si>
  <si>
    <t>P10322</t>
  </si>
  <si>
    <t>P10164</t>
  </si>
  <si>
    <t>P10573</t>
  </si>
  <si>
    <t>P10158</t>
  </si>
  <si>
    <t>P10468</t>
  </si>
  <si>
    <t>P10808</t>
  </si>
  <si>
    <t>P10518</t>
  </si>
  <si>
    <t>P10560</t>
  </si>
  <si>
    <t>P10717</t>
  </si>
  <si>
    <t>P10169</t>
  </si>
  <si>
    <t>P10795</t>
  </si>
  <si>
    <t>P10320</t>
  </si>
  <si>
    <t>P10761</t>
  </si>
  <si>
    <t>P10363</t>
  </si>
  <si>
    <t>P10392</t>
  </si>
  <si>
    <t>P10106</t>
  </si>
  <si>
    <t>P10943</t>
  </si>
  <si>
    <t>P10300</t>
  </si>
  <si>
    <t>P10723</t>
  </si>
  <si>
    <t>P10479</t>
  </si>
  <si>
    <t>P10449</t>
  </si>
  <si>
    <t>P10489</t>
  </si>
  <si>
    <t>P10627</t>
  </si>
  <si>
    <t>P10874</t>
  </si>
  <si>
    <t>P10997</t>
  </si>
  <si>
    <t>P10119</t>
  </si>
  <si>
    <t>P10227</t>
  </si>
  <si>
    <t>P10902</t>
  </si>
  <si>
    <t>P10021</t>
  </si>
  <si>
    <t>P10791</t>
  </si>
  <si>
    <t>P10200</t>
  </si>
  <si>
    <t>P10081</t>
  </si>
  <si>
    <t>P10256</t>
  </si>
  <si>
    <t>P10370</t>
  </si>
  <si>
    <t>P10914</t>
  </si>
  <si>
    <t>P10980</t>
  </si>
  <si>
    <t>P10858</t>
  </si>
  <si>
    <t>P10625</t>
  </si>
  <si>
    <t>P10094</t>
  </si>
  <si>
    <t>P10341</t>
  </si>
  <si>
    <t>P10521</t>
  </si>
  <si>
    <t>P10781</t>
  </si>
  <si>
    <t>P10662</t>
  </si>
  <si>
    <t>P10714</t>
  </si>
  <si>
    <t>P10882</t>
  </si>
  <si>
    <t>P10302</t>
  </si>
  <si>
    <t>P10274</t>
  </si>
  <si>
    <t>P10076</t>
  </si>
  <si>
    <t>P10324</t>
  </si>
  <si>
    <t>P10265</t>
  </si>
  <si>
    <t>P10405</t>
  </si>
  <si>
    <t>P10675</t>
  </si>
  <si>
    <t>P10772</t>
  </si>
  <si>
    <t>P10378</t>
  </si>
  <si>
    <t>P10792</t>
  </si>
  <si>
    <t>P10187</t>
  </si>
  <si>
    <t>P10043</t>
  </si>
  <si>
    <t>P10248</t>
  </si>
  <si>
    <t>P10798</t>
  </si>
  <si>
    <t>P10425</t>
  </si>
  <si>
    <t>P10018</t>
  </si>
  <si>
    <t>P10068</t>
  </si>
  <si>
    <t>P10294</t>
  </si>
  <si>
    <t>P10956</t>
  </si>
  <si>
    <t>P10424</t>
  </si>
  <si>
    <t>P10741</t>
  </si>
  <si>
    <t>P10716</t>
  </si>
  <si>
    <t>P10653</t>
  </si>
  <si>
    <t>P10894</t>
  </si>
  <si>
    <t>P10778</t>
  </si>
  <si>
    <t>P10381</t>
  </si>
  <si>
    <t>P10402</t>
  </si>
  <si>
    <t>P10025</t>
  </si>
  <si>
    <t>P10534</t>
  </si>
  <si>
    <t>P10191</t>
  </si>
  <si>
    <t>P10735</t>
  </si>
  <si>
    <t>P10940</t>
  </si>
  <si>
    <t>P10380</t>
  </si>
  <si>
    <t>P10695</t>
  </si>
  <si>
    <t>P10050</t>
  </si>
  <si>
    <t>P10647</t>
  </si>
  <si>
    <t>P10661</t>
  </si>
  <si>
    <t>P10846</t>
  </si>
  <si>
    <t>P10323</t>
  </si>
  <si>
    <t>P10952</t>
  </si>
  <si>
    <t>P10441</t>
  </si>
  <si>
    <t>P10184</t>
  </si>
  <si>
    <t>P10197</t>
  </si>
  <si>
    <t>P10434</t>
  </si>
  <si>
    <t>P10869</t>
  </si>
  <si>
    <t>P10938</t>
  </si>
  <si>
    <t>P10995</t>
  </si>
  <si>
    <t>P10041</t>
  </si>
  <si>
    <t>P10620</t>
  </si>
  <si>
    <t>P10385</t>
  </si>
  <si>
    <t>P10391</t>
  </si>
  <si>
    <t>P10966</t>
  </si>
  <si>
    <t>P10358</t>
  </si>
  <si>
    <t>P10512</t>
  </si>
  <si>
    <t>P10351</t>
  </si>
  <si>
    <t>P10984</t>
  </si>
  <si>
    <t>P10222</t>
  </si>
  <si>
    <t>P10487</t>
  </si>
  <si>
    <t>P10496</t>
  </si>
  <si>
    <t>P10229</t>
  </si>
  <si>
    <t>P10982</t>
  </si>
  <si>
    <t>P10848</t>
  </si>
  <si>
    <t>P10238</t>
  </si>
  <si>
    <t>P10408</t>
  </si>
  <si>
    <t>P10097</t>
  </si>
  <si>
    <t>P10623</t>
  </si>
  <si>
    <t>P10154</t>
  </si>
  <si>
    <t>P10113</t>
  </si>
  <si>
    <t>P10046</t>
  </si>
  <si>
    <t>P10811</t>
  </si>
  <si>
    <t>P10683</t>
  </si>
  <si>
    <t>P10515</t>
  </si>
  <si>
    <t>P10011</t>
  </si>
  <si>
    <t>P10951</t>
  </si>
  <si>
    <t>P10598</t>
  </si>
  <si>
    <t>P10170</t>
  </si>
  <si>
    <t>P11000</t>
  </si>
  <si>
    <t>P10970</t>
  </si>
  <si>
    <t>P10976</t>
  </si>
  <si>
    <t>P10796</t>
  </si>
  <si>
    <t>P10801</t>
  </si>
  <si>
    <t>P10500</t>
  </si>
  <si>
    <t>P10827</t>
  </si>
  <si>
    <t>P10526</t>
  </si>
  <si>
    <t>P10872</t>
  </si>
  <si>
    <t>P10292</t>
  </si>
  <si>
    <t>P10794</t>
  </si>
  <si>
    <t>P10251</t>
  </si>
  <si>
    <t>P10085</t>
  </si>
  <si>
    <t>P10577</t>
  </si>
  <si>
    <t>P10617</t>
  </si>
  <si>
    <t>P10285</t>
  </si>
  <si>
    <t>P10504</t>
  </si>
  <si>
    <t>P10056</t>
  </si>
  <si>
    <t>P10813</t>
  </si>
  <si>
    <t>P10168</t>
  </si>
  <si>
    <t>P10730</t>
  </si>
  <si>
    <t>P10476</t>
  </si>
  <si>
    <t>P10784</t>
  </si>
  <si>
    <t>P10404</t>
  </si>
  <si>
    <t>P10565</t>
  </si>
  <si>
    <t>P10394</t>
  </si>
  <si>
    <t>P10364</t>
  </si>
  <si>
    <t>P10621</t>
  </si>
  <si>
    <t>P10734</t>
  </si>
  <si>
    <t>P10211</t>
  </si>
  <si>
    <t>P10099</t>
  </si>
  <si>
    <t>P10020</t>
  </si>
  <si>
    <t>P10029</t>
  </si>
  <si>
    <t>P10096</t>
  </si>
  <si>
    <t>P10261</t>
  </si>
  <si>
    <t>P10054</t>
  </si>
  <si>
    <t>P10243</t>
  </si>
  <si>
    <t>P10136</t>
  </si>
  <si>
    <t>P10438</t>
  </si>
  <si>
    <t>P10853</t>
  </si>
  <si>
    <t>P10636</t>
  </si>
  <si>
    <t>P10797</t>
  </si>
  <si>
    <t>P10650</t>
  </si>
  <si>
    <t>P10690</t>
  </si>
  <si>
    <t>P10172</t>
  </si>
  <si>
    <t>P10763</t>
  </si>
  <si>
    <t>P10340</t>
  </si>
  <si>
    <t>P10239</t>
  </si>
  <si>
    <t>P10291</t>
  </si>
  <si>
    <t>P10461</t>
  </si>
  <si>
    <t>P10002</t>
  </si>
  <si>
    <t>P10953</t>
  </si>
  <si>
    <t>P10867</t>
  </si>
  <si>
    <t>P10421</t>
  </si>
  <si>
    <t>P10950</t>
  </si>
  <si>
    <t>P10075</t>
  </si>
  <si>
    <t>P10744</t>
  </si>
  <si>
    <t>P10140</t>
  </si>
  <si>
    <t>P10834</t>
  </si>
  <si>
    <t>P10246</t>
  </si>
  <si>
    <t>P10390</t>
  </si>
  <si>
    <t>P10558</t>
  </si>
  <si>
    <t>P10878</t>
  </si>
  <si>
    <t>P10423</t>
  </si>
  <si>
    <t>P10377</t>
  </si>
  <si>
    <t>P10999</t>
  </si>
  <si>
    <t>P10541</t>
  </si>
  <si>
    <t>P10699</t>
  </si>
  <si>
    <t>P10482</t>
  </si>
  <si>
    <t>P10686</t>
  </si>
  <si>
    <t>P10746</t>
  </si>
  <si>
    <t>P10132</t>
  </si>
  <si>
    <t>P10181</t>
  </si>
  <si>
    <t>P10359</t>
  </si>
  <si>
    <t>P10252</t>
  </si>
  <si>
    <t>P10122</t>
  </si>
  <si>
    <t>P10063</t>
  </si>
  <si>
    <t>P10014</t>
  </si>
  <si>
    <t>P10830</t>
  </si>
  <si>
    <t>P10648</t>
  </si>
  <si>
    <t>P10559</t>
  </si>
  <si>
    <t>P10899</t>
  </si>
  <si>
    <t>P10631</t>
  </si>
  <si>
    <t>P10038</t>
  </si>
  <si>
    <t>P10941</t>
  </si>
  <si>
    <t>P10720</t>
  </si>
  <si>
    <t>P10619</t>
  </si>
  <si>
    <t>P10313</t>
  </si>
  <si>
    <t>P10420</t>
  </si>
  <si>
    <t>P10890</t>
  </si>
  <si>
    <t>Unknown</t>
  </si>
  <si>
    <t>Month</t>
  </si>
  <si>
    <t>Month Number</t>
  </si>
  <si>
    <t>Revenue Category</t>
  </si>
  <si>
    <t>KPI</t>
  </si>
  <si>
    <t>Total Patients</t>
  </si>
  <si>
    <t>Total Revenue</t>
  </si>
  <si>
    <t>Average Bill</t>
  </si>
  <si>
    <t>Average Wait Time</t>
  </si>
  <si>
    <t>Average Satisfaction</t>
  </si>
  <si>
    <t>Emergency Visits</t>
  </si>
  <si>
    <t>Jan</t>
  </si>
  <si>
    <t>Feb</t>
  </si>
  <si>
    <t>Mar</t>
  </si>
  <si>
    <t>Apr</t>
  </si>
  <si>
    <t>May</t>
  </si>
  <si>
    <t>Jun</t>
  </si>
  <si>
    <t>Jul</t>
  </si>
  <si>
    <t>Aug</t>
  </si>
  <si>
    <t>Sep</t>
  </si>
  <si>
    <t>Oct</t>
  </si>
  <si>
    <t>Nov</t>
  </si>
  <si>
    <t>Dec</t>
  </si>
  <si>
    <t>Value</t>
  </si>
  <si>
    <t>Row Labels</t>
  </si>
  <si>
    <t>Grand Total</t>
  </si>
  <si>
    <t>Sum of Final_Bill</t>
  </si>
  <si>
    <t>Count of Patient_ID</t>
  </si>
  <si>
    <t>Healthcare Operations Dashboard</t>
  </si>
  <si>
    <t>Average of Wait_Time_Minutes</t>
  </si>
  <si>
    <t>Average of Patient_Satisfaction</t>
  </si>
  <si>
    <t>Average of Final_Bill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</si>
</sst>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4" x14ac:knownFonts="1">
    <font>
      <sz val="11"/>
      <color theme="1"/>
      <name val="Calibri"/>
      <family val="2"/>
      <scheme val="minor"/>
    </font>
    <font>
      <b/>
      <sz val="11"/>
      <name val="Calibri"/>
    </font>
    <font>
      <sz val="24"/>
      <color theme="1"/>
      <name val="Abadi"/>
      <family val="2"/>
    </font>
    <font>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4F6F8"/>
        <bgColor indexed="64"/>
      </patternFill>
    </fill>
  </fills>
  <borders count="3">
    <border>
      <left/>
      <right/>
      <top/>
      <bottom/>
      <diagonal/>
    </border>
    <border>
      <left style="thin">
        <color auto="1"/>
      </left>
      <right style="thin">
        <color auto="1"/>
      </right>
      <top/>
      <bottom style="thin">
        <color auto="1"/>
      </bottom>
      <diagonal/>
    </border>
    <border>
      <left style="thin">
        <color indexed="64"/>
      </left>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4" fontId="0" fillId="0" borderId="0" xfId="0" applyNumberFormat="1"/>
    <xf numFmtId="0" fontId="1" fillId="0" borderId="0" xfId="0" applyFont="1" applyAlignment="1">
      <alignment horizontal="center" vertical="top"/>
    </xf>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0" fontId="0" fillId="2" borderId="0" xfId="0" applyFill="1"/>
    <xf numFmtId="0" fontId="2" fillId="3" borderId="2" xfId="0" applyFont="1" applyFill="1" applyBorder="1" applyAlignment="1">
      <alignment horizontal="center" vertical="center"/>
    </xf>
    <xf numFmtId="0" fontId="2" fillId="3" borderId="0" xfId="0" applyFont="1" applyFill="1" applyAlignment="1">
      <alignment horizontal="center" vertical="center"/>
    </xf>
    <xf numFmtId="0" fontId="0" fillId="0" borderId="0" xfId="0" applyNumberFormat="1"/>
  </cellXfs>
  <cellStyles count="1">
    <cellStyle name="Normal" xfId="0" builtinId="0"/>
  </cellStyles>
  <dxfs count="144">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4" formatCode="&quot;₹&quot;\ #,##0.00"/>
    </dxf>
    <dxf>
      <numFmt numFmtId="164" formatCode="&quot;₹&quot;\ #,##0.00"/>
    </dxf>
    <dxf>
      <numFmt numFmtId="165" formatCode="0.0"/>
    </dxf>
    <dxf>
      <numFmt numFmtId="1" formatCode="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5" formatCode="0.0"/>
    </dxf>
    <dxf>
      <numFmt numFmtId="1" formatCode="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5" formatCode="0.0"/>
    </dxf>
    <dxf>
      <numFmt numFmtId="1" formatCode="0"/>
    </dxf>
    <dxf>
      <numFmt numFmtId="164" formatCode="&quot;₹&quot;\ #,##0.00"/>
    </dxf>
    <dxf>
      <numFmt numFmtId="164" formatCode="&quot;₹&quot;\ #,##0.00"/>
    </dxf>
    <dxf>
      <numFmt numFmtId="165" formatCode="0.0"/>
    </dxf>
    <dxf>
      <numFmt numFmtId="1" formatCode="0"/>
    </dxf>
    <dxf>
      <numFmt numFmtId="2" formatCode="0.00"/>
    </dxf>
    <dxf>
      <numFmt numFmtId="1" formatCode="0"/>
    </dxf>
    <dxf>
      <numFmt numFmtId="165" formatCode="0.0"/>
    </dxf>
    <dxf>
      <numFmt numFmtId="165"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5" formatCode="0.0"/>
    </dxf>
    <dxf>
      <numFmt numFmtId="1" formatCode="0"/>
    </dxf>
    <dxf>
      <numFmt numFmtId="164" formatCode="&quot;₹&quot;\ #,##0.00"/>
    </dxf>
    <dxf>
      <numFmt numFmtId="164" formatCode="&quot;₹&quot;\ #,##0.00"/>
    </dxf>
    <dxf>
      <numFmt numFmtId="164" formatCode="&quot;₹&quot;\ #,##0.00"/>
    </dxf>
    <dxf>
      <numFmt numFmtId="164" formatCode="&quot;₹&quot;\ #,##0.00"/>
    </dxf>
    <dxf>
      <numFmt numFmtId="1" formatCode="0"/>
    </dxf>
    <dxf>
      <numFmt numFmtId="165" formatCode="0.0"/>
    </dxf>
    <dxf>
      <numFmt numFmtId="164" formatCode="&quot;₹&quot;\ #,##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4F6F8"/>
      <color rgb="FF2F7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4.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[Healthcare_Operations_Dashboard.xlsx]Raw_Data!Pivot_Department</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Raw_Data!$C$1005</c:f>
              <c:strCache>
                <c:ptCount val="1"/>
                <c:pt idx="0">
                  <c:v>Total</c:v>
                </c:pt>
              </c:strCache>
            </c:strRef>
          </c:tx>
          <c:spPr>
            <a:solidFill>
              <a:schemeClr val="accent1"/>
            </a:solidFill>
            <a:ln>
              <a:noFill/>
            </a:ln>
            <a:effectLst/>
          </c:spPr>
          <c:invertIfNegative val="0"/>
          <c:cat>
            <c:strRef>
              <c:f>Raw_Data!$B$1006:$B$1014</c:f>
              <c:strCache>
                <c:ptCount val="8"/>
                <c:pt idx="0">
                  <c:v>Cardiology</c:v>
                </c:pt>
                <c:pt idx="1">
                  <c:v>Dermatology</c:v>
                </c:pt>
                <c:pt idx="2">
                  <c:v>Emergency</c:v>
                </c:pt>
                <c:pt idx="3">
                  <c:v>General Medicine</c:v>
                </c:pt>
                <c:pt idx="4">
                  <c:v>Neurology</c:v>
                </c:pt>
                <c:pt idx="5">
                  <c:v>Oncology</c:v>
                </c:pt>
                <c:pt idx="6">
                  <c:v>Orthopedics</c:v>
                </c:pt>
                <c:pt idx="7">
                  <c:v>Pediatrics</c:v>
                </c:pt>
              </c:strCache>
            </c:strRef>
          </c:cat>
          <c:val>
            <c:numRef>
              <c:f>Raw_Data!$C$1006:$C$1014</c:f>
              <c:numCache>
                <c:formatCode>General</c:formatCode>
                <c:ptCount val="8"/>
                <c:pt idx="0">
                  <c:v>2965140</c:v>
                </c:pt>
                <c:pt idx="1">
                  <c:v>2535811</c:v>
                </c:pt>
                <c:pt idx="2">
                  <c:v>2785734</c:v>
                </c:pt>
                <c:pt idx="3">
                  <c:v>2632535</c:v>
                </c:pt>
                <c:pt idx="4">
                  <c:v>3124249</c:v>
                </c:pt>
                <c:pt idx="5">
                  <c:v>2377138</c:v>
                </c:pt>
                <c:pt idx="6">
                  <c:v>3298291</c:v>
                </c:pt>
                <c:pt idx="7">
                  <c:v>2222132</c:v>
                </c:pt>
              </c:numCache>
            </c:numRef>
          </c:val>
          <c:extLst>
            <c:ext xmlns:c16="http://schemas.microsoft.com/office/drawing/2014/chart" uri="{C3380CC4-5D6E-409C-BE32-E72D297353CC}">
              <c16:uniqueId val="{00000000-2060-4939-B64D-BD5C309E87DF}"/>
            </c:ext>
          </c:extLst>
        </c:ser>
        <c:dLbls>
          <c:showLegendKey val="0"/>
          <c:showVal val="0"/>
          <c:showCatName val="0"/>
          <c:showSerName val="0"/>
          <c:showPercent val="0"/>
          <c:showBubbleSize val="0"/>
        </c:dLbls>
        <c:gapWidth val="219"/>
        <c:overlap val="-27"/>
        <c:axId val="1976267312"/>
        <c:axId val="964472016"/>
      </c:barChart>
      <c:catAx>
        <c:axId val="197626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472016"/>
        <c:crosses val="autoZero"/>
        <c:auto val="1"/>
        <c:lblAlgn val="ctr"/>
        <c:lblOffset val="100"/>
        <c:noMultiLvlLbl val="0"/>
      </c:catAx>
      <c:valAx>
        <c:axId val="96447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26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[Healthcare_Operations_Dashboard.xlsx]Pivot tables !Pivot_Monthly</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'!$B$1</c:f>
              <c:strCache>
                <c:ptCount val="1"/>
                <c:pt idx="0">
                  <c:v>Total</c:v>
                </c:pt>
              </c:strCache>
            </c:strRef>
          </c:tx>
          <c:spPr>
            <a:ln w="28575" cap="rnd">
              <a:solidFill>
                <a:schemeClr val="accent1"/>
              </a:solidFill>
              <a:round/>
            </a:ln>
            <a:effectLst/>
          </c:spPr>
          <c:marker>
            <c:symbol val="none"/>
          </c:marker>
          <c:cat>
            <c:multiLvlStrRef>
              <c:f>'Pivot tables '!$A$2:$A$26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'Pivot tables '!$B$2:$B$26</c:f>
              <c:numCache>
                <c:formatCode>General</c:formatCode>
                <c:ptCount val="12"/>
                <c:pt idx="0">
                  <c:v>1586640</c:v>
                </c:pt>
                <c:pt idx="1">
                  <c:v>2082497</c:v>
                </c:pt>
                <c:pt idx="2">
                  <c:v>1135555</c:v>
                </c:pt>
                <c:pt idx="3">
                  <c:v>2014882</c:v>
                </c:pt>
                <c:pt idx="4">
                  <c:v>2216201</c:v>
                </c:pt>
                <c:pt idx="5">
                  <c:v>1897447</c:v>
                </c:pt>
                <c:pt idx="6">
                  <c:v>1734567</c:v>
                </c:pt>
                <c:pt idx="7">
                  <c:v>2342970</c:v>
                </c:pt>
                <c:pt idx="8">
                  <c:v>1855057</c:v>
                </c:pt>
                <c:pt idx="9">
                  <c:v>1689058</c:v>
                </c:pt>
                <c:pt idx="10">
                  <c:v>1297601</c:v>
                </c:pt>
                <c:pt idx="11">
                  <c:v>2088555</c:v>
                </c:pt>
              </c:numCache>
            </c:numRef>
          </c:val>
          <c:smooth val="0"/>
          <c:extLst>
            <c:ext xmlns:c16="http://schemas.microsoft.com/office/drawing/2014/chart" uri="{C3380CC4-5D6E-409C-BE32-E72D297353CC}">
              <c16:uniqueId val="{00000000-BE58-4E81-A3BA-7D595D681089}"/>
            </c:ext>
          </c:extLst>
        </c:ser>
        <c:dLbls>
          <c:showLegendKey val="0"/>
          <c:showVal val="0"/>
          <c:showCatName val="0"/>
          <c:showSerName val="0"/>
          <c:showPercent val="0"/>
          <c:showBubbleSize val="0"/>
        </c:dLbls>
        <c:smooth val="0"/>
        <c:axId val="1789833136"/>
        <c:axId val="964561296"/>
      </c:lineChart>
      <c:catAx>
        <c:axId val="178983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61296"/>
        <c:crosses val="autoZero"/>
        <c:auto val="1"/>
        <c:lblAlgn val="ctr"/>
        <c:lblOffset val="100"/>
        <c:noMultiLvlLbl val="0"/>
      </c:catAx>
      <c:valAx>
        <c:axId val="96456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3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[Healthcare_Operations_Dashboard.xlsx]Pivot tables !Pivot_VisitType</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 '!$E$1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AD-4478-BAB4-9EF19AEC8E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AD-4478-BAB4-9EF19AEC8E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AD-4478-BAB4-9EF19AEC8E1C}"/>
              </c:ext>
            </c:extLst>
          </c:dPt>
          <c:cat>
            <c:strRef>
              <c:f>'Pivot tables '!$D$2:$D$5</c:f>
              <c:strCache>
                <c:ptCount val="3"/>
                <c:pt idx="0">
                  <c:v>Emergency</c:v>
                </c:pt>
                <c:pt idx="1">
                  <c:v>IPD</c:v>
                </c:pt>
                <c:pt idx="2">
                  <c:v>OPD</c:v>
                </c:pt>
              </c:strCache>
            </c:strRef>
          </c:cat>
          <c:val>
            <c:numRef>
              <c:f>'Pivot tables '!$E$2:$E$5</c:f>
              <c:numCache>
                <c:formatCode>General</c:formatCode>
                <c:ptCount val="3"/>
                <c:pt idx="0">
                  <c:v>150</c:v>
                </c:pt>
                <c:pt idx="1">
                  <c:v>254</c:v>
                </c:pt>
                <c:pt idx="2">
                  <c:v>596</c:v>
                </c:pt>
              </c:numCache>
            </c:numRef>
          </c:val>
          <c:extLst>
            <c:ext xmlns:c16="http://schemas.microsoft.com/office/drawing/2014/chart" uri="{C3380CC4-5D6E-409C-BE32-E72D297353CC}">
              <c16:uniqueId val="{00000000-67A0-4296-8D8C-82239CBC52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[Healthcare_Operations_Dashboard.xlsx]Pivot tables !Pivot_WaitTime</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'!$J$13</c:f>
              <c:strCache>
                <c:ptCount val="1"/>
                <c:pt idx="0">
                  <c:v>Total</c:v>
                </c:pt>
              </c:strCache>
            </c:strRef>
          </c:tx>
          <c:spPr>
            <a:solidFill>
              <a:schemeClr val="accent1"/>
            </a:solidFill>
            <a:ln>
              <a:noFill/>
            </a:ln>
            <a:effectLst/>
            <a:sp3d/>
          </c:spPr>
          <c:invertIfNegative val="0"/>
          <c:cat>
            <c:strRef>
              <c:f>'Pivot tables '!$I$14:$I$22</c:f>
              <c:strCache>
                <c:ptCount val="8"/>
                <c:pt idx="0">
                  <c:v>Cardiology</c:v>
                </c:pt>
                <c:pt idx="1">
                  <c:v>Dermatology</c:v>
                </c:pt>
                <c:pt idx="2">
                  <c:v>Emergency</c:v>
                </c:pt>
                <c:pt idx="3">
                  <c:v>General Medicine</c:v>
                </c:pt>
                <c:pt idx="4">
                  <c:v>Neurology</c:v>
                </c:pt>
                <c:pt idx="5">
                  <c:v>Oncology</c:v>
                </c:pt>
                <c:pt idx="6">
                  <c:v>Orthopedics</c:v>
                </c:pt>
                <c:pt idx="7">
                  <c:v>Pediatrics</c:v>
                </c:pt>
              </c:strCache>
            </c:strRef>
          </c:cat>
          <c:val>
            <c:numRef>
              <c:f>'Pivot tables '!$J$14:$J$22</c:f>
              <c:numCache>
                <c:formatCode>General</c:formatCode>
                <c:ptCount val="8"/>
                <c:pt idx="0">
                  <c:v>66.038461538461533</c:v>
                </c:pt>
                <c:pt idx="1">
                  <c:v>60.7</c:v>
                </c:pt>
                <c:pt idx="2">
                  <c:v>55.840909090909093</c:v>
                </c:pt>
                <c:pt idx="3">
                  <c:v>59.32231404958678</c:v>
                </c:pt>
                <c:pt idx="4">
                  <c:v>60.835820895522389</c:v>
                </c:pt>
                <c:pt idx="5">
                  <c:v>66.918032786885249</c:v>
                </c:pt>
                <c:pt idx="6">
                  <c:v>60.940298507462686</c:v>
                </c:pt>
                <c:pt idx="7">
                  <c:v>59.411214953271028</c:v>
                </c:pt>
              </c:numCache>
            </c:numRef>
          </c:val>
          <c:extLst>
            <c:ext xmlns:c16="http://schemas.microsoft.com/office/drawing/2014/chart" uri="{C3380CC4-5D6E-409C-BE32-E72D297353CC}">
              <c16:uniqueId val="{00000000-2380-4BF9-B3A9-2F703745DB59}"/>
            </c:ext>
          </c:extLst>
        </c:ser>
        <c:dLbls>
          <c:showLegendKey val="0"/>
          <c:showVal val="0"/>
          <c:showCatName val="0"/>
          <c:showSerName val="0"/>
          <c:showPercent val="0"/>
          <c:showBubbleSize val="0"/>
        </c:dLbls>
        <c:gapWidth val="150"/>
        <c:shape val="box"/>
        <c:axId val="1789844736"/>
        <c:axId val="964527216"/>
        <c:axId val="0"/>
      </c:bar3DChart>
      <c:catAx>
        <c:axId val="178984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27216"/>
        <c:crosses val="autoZero"/>
        <c:auto val="1"/>
        <c:lblAlgn val="ctr"/>
        <c:lblOffset val="100"/>
        <c:noMultiLvlLbl val="0"/>
      </c:catAx>
      <c:valAx>
        <c:axId val="96452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4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[Healthcare_Operations_Dashboard.xlsx]Raw_Data!Pivot_Department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Times New Roman" panose="02020603050405020304" pitchFamily="18" charset="0"/>
                <a:cs typeface="Times New Roman" panose="02020603050405020304" pitchFamily="18" charset="0"/>
              </a:rPr>
              <a:t>Revenue by Department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Raw_Data!$C$1005</c:f>
              <c:strCache>
                <c:ptCount val="1"/>
                <c:pt idx="0">
                  <c:v>Total</c:v>
                </c:pt>
              </c:strCache>
            </c:strRef>
          </c:tx>
          <c:spPr>
            <a:solidFill>
              <a:schemeClr val="accent1"/>
            </a:solidFill>
            <a:ln>
              <a:noFill/>
            </a:ln>
            <a:effectLst/>
          </c:spPr>
          <c:invertIfNegative val="0"/>
          <c:cat>
            <c:strRef>
              <c:f>Raw_Data!$B$1006:$B$1014</c:f>
              <c:strCache>
                <c:ptCount val="8"/>
                <c:pt idx="0">
                  <c:v>Cardiology</c:v>
                </c:pt>
                <c:pt idx="1">
                  <c:v>Dermatology</c:v>
                </c:pt>
                <c:pt idx="2">
                  <c:v>Emergency</c:v>
                </c:pt>
                <c:pt idx="3">
                  <c:v>General Medicine</c:v>
                </c:pt>
                <c:pt idx="4">
                  <c:v>Neurology</c:v>
                </c:pt>
                <c:pt idx="5">
                  <c:v>Oncology</c:v>
                </c:pt>
                <c:pt idx="6">
                  <c:v>Orthopedics</c:v>
                </c:pt>
                <c:pt idx="7">
                  <c:v>Pediatrics</c:v>
                </c:pt>
              </c:strCache>
            </c:strRef>
          </c:cat>
          <c:val>
            <c:numRef>
              <c:f>Raw_Data!$C$1006:$C$1014</c:f>
              <c:numCache>
                <c:formatCode>General</c:formatCode>
                <c:ptCount val="8"/>
                <c:pt idx="0">
                  <c:v>2965140</c:v>
                </c:pt>
                <c:pt idx="1">
                  <c:v>2535811</c:v>
                </c:pt>
                <c:pt idx="2">
                  <c:v>2785734</c:v>
                </c:pt>
                <c:pt idx="3">
                  <c:v>2632535</c:v>
                </c:pt>
                <c:pt idx="4">
                  <c:v>3124249</c:v>
                </c:pt>
                <c:pt idx="5">
                  <c:v>2377138</c:v>
                </c:pt>
                <c:pt idx="6">
                  <c:v>3298291</c:v>
                </c:pt>
                <c:pt idx="7">
                  <c:v>2222132</c:v>
                </c:pt>
              </c:numCache>
            </c:numRef>
          </c:val>
          <c:extLst>
            <c:ext xmlns:c16="http://schemas.microsoft.com/office/drawing/2014/chart" uri="{C3380CC4-5D6E-409C-BE32-E72D297353CC}">
              <c16:uniqueId val="{00000000-4A57-4CDE-AF4C-86F7C5288738}"/>
            </c:ext>
          </c:extLst>
        </c:ser>
        <c:dLbls>
          <c:showLegendKey val="0"/>
          <c:showVal val="0"/>
          <c:showCatName val="0"/>
          <c:showSerName val="0"/>
          <c:showPercent val="0"/>
          <c:showBubbleSize val="0"/>
        </c:dLbls>
        <c:gapWidth val="219"/>
        <c:overlap val="-27"/>
        <c:axId val="1976267312"/>
        <c:axId val="964472016"/>
      </c:barChart>
      <c:catAx>
        <c:axId val="197626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472016"/>
        <c:crosses val="autoZero"/>
        <c:auto val="1"/>
        <c:lblAlgn val="ctr"/>
        <c:lblOffset val="100"/>
        <c:noMultiLvlLbl val="0"/>
      </c:catAx>
      <c:valAx>
        <c:axId val="96447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26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[Healthcare_Operations_Dashboard.xlsx]Pivot tables !Pivot_Monthly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Times New Roman" panose="02020603050405020304" pitchFamily="18" charset="0"/>
                <a:cs typeface="Times New Roman" panose="02020603050405020304" pitchFamily="18" charset="0"/>
              </a:rPr>
              <a:t>Monthly Revenue Trend</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'!$B$1</c:f>
              <c:strCache>
                <c:ptCount val="1"/>
                <c:pt idx="0">
                  <c:v>Total</c:v>
                </c:pt>
              </c:strCache>
            </c:strRef>
          </c:tx>
          <c:spPr>
            <a:ln w="28575" cap="rnd">
              <a:solidFill>
                <a:schemeClr val="accent1"/>
              </a:solidFill>
              <a:round/>
            </a:ln>
            <a:effectLst/>
          </c:spPr>
          <c:marker>
            <c:symbol val="none"/>
          </c:marker>
          <c:cat>
            <c:multiLvlStrRef>
              <c:f>'Pivot tables '!$A$2:$A$26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c:v>
                  </c:pt>
                  <c:pt idx="1">
                    <c:v>2</c:v>
                  </c:pt>
                  <c:pt idx="2">
                    <c:v>3</c:v>
                  </c:pt>
                  <c:pt idx="3">
                    <c:v>4</c:v>
                  </c:pt>
                  <c:pt idx="4">
                    <c:v>5</c:v>
                  </c:pt>
                  <c:pt idx="5">
                    <c:v>6</c:v>
                  </c:pt>
                  <c:pt idx="6">
                    <c:v>7</c:v>
                  </c:pt>
                  <c:pt idx="7">
                    <c:v>8</c:v>
                  </c:pt>
                  <c:pt idx="8">
                    <c:v>9</c:v>
                  </c:pt>
                  <c:pt idx="9">
                    <c:v>10</c:v>
                  </c:pt>
                  <c:pt idx="10">
                    <c:v>11</c:v>
                  </c:pt>
                  <c:pt idx="11">
                    <c:v>12</c:v>
                  </c:pt>
                </c:lvl>
              </c:multiLvlStrCache>
            </c:multiLvlStrRef>
          </c:cat>
          <c:val>
            <c:numRef>
              <c:f>'Pivot tables '!$B$2:$B$26</c:f>
              <c:numCache>
                <c:formatCode>General</c:formatCode>
                <c:ptCount val="12"/>
                <c:pt idx="0">
                  <c:v>1586640</c:v>
                </c:pt>
                <c:pt idx="1">
                  <c:v>2082497</c:v>
                </c:pt>
                <c:pt idx="2">
                  <c:v>1135555</c:v>
                </c:pt>
                <c:pt idx="3">
                  <c:v>2014882</c:v>
                </c:pt>
                <c:pt idx="4">
                  <c:v>2216201</c:v>
                </c:pt>
                <c:pt idx="5">
                  <c:v>1897447</c:v>
                </c:pt>
                <c:pt idx="6">
                  <c:v>1734567</c:v>
                </c:pt>
                <c:pt idx="7">
                  <c:v>2342970</c:v>
                </c:pt>
                <c:pt idx="8">
                  <c:v>1855057</c:v>
                </c:pt>
                <c:pt idx="9">
                  <c:v>1689058</c:v>
                </c:pt>
                <c:pt idx="10">
                  <c:v>1297601</c:v>
                </c:pt>
                <c:pt idx="11">
                  <c:v>2088555</c:v>
                </c:pt>
              </c:numCache>
            </c:numRef>
          </c:val>
          <c:smooth val="0"/>
          <c:extLst>
            <c:ext xmlns:c16="http://schemas.microsoft.com/office/drawing/2014/chart" uri="{C3380CC4-5D6E-409C-BE32-E72D297353CC}">
              <c16:uniqueId val="{00000000-4436-42F9-9BCA-B88F6EE3E8E1}"/>
            </c:ext>
          </c:extLst>
        </c:ser>
        <c:dLbls>
          <c:showLegendKey val="0"/>
          <c:showVal val="0"/>
          <c:showCatName val="0"/>
          <c:showSerName val="0"/>
          <c:showPercent val="0"/>
          <c:showBubbleSize val="0"/>
        </c:dLbls>
        <c:smooth val="0"/>
        <c:axId val="1789833136"/>
        <c:axId val="964561296"/>
      </c:lineChart>
      <c:catAx>
        <c:axId val="178983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61296"/>
        <c:crosses val="autoZero"/>
        <c:auto val="1"/>
        <c:lblAlgn val="ctr"/>
        <c:lblOffset val="100"/>
        <c:noMultiLvlLbl val="0"/>
      </c:catAx>
      <c:valAx>
        <c:axId val="96456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3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[Healthcare_Operations_Dashboard.xlsx]Pivot tables !Pivot_VisitType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Visit By visit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 '!$E$1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A1-42CB-B231-2BA6FC068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A1-42CB-B231-2BA6FC0682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A1-42CB-B231-2BA6FC068258}"/>
              </c:ext>
            </c:extLst>
          </c:dPt>
          <c:cat>
            <c:strRef>
              <c:f>'Pivot tables '!$D$2:$D$5</c:f>
              <c:strCache>
                <c:ptCount val="3"/>
                <c:pt idx="0">
                  <c:v>Emergency</c:v>
                </c:pt>
                <c:pt idx="1">
                  <c:v>IPD</c:v>
                </c:pt>
                <c:pt idx="2">
                  <c:v>OPD</c:v>
                </c:pt>
              </c:strCache>
            </c:strRef>
          </c:cat>
          <c:val>
            <c:numRef>
              <c:f>'Pivot tables '!$E$2:$E$5</c:f>
              <c:numCache>
                <c:formatCode>General</c:formatCode>
                <c:ptCount val="3"/>
                <c:pt idx="0">
                  <c:v>150</c:v>
                </c:pt>
                <c:pt idx="1">
                  <c:v>254</c:v>
                </c:pt>
                <c:pt idx="2">
                  <c:v>596</c:v>
                </c:pt>
              </c:numCache>
            </c:numRef>
          </c:val>
          <c:extLst>
            <c:ext xmlns:c16="http://schemas.microsoft.com/office/drawing/2014/chart" uri="{C3380CC4-5D6E-409C-BE32-E72D297353CC}">
              <c16:uniqueId val="{00000006-45A1-42CB-B231-2BA6FC0682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[Healthcare_Operations_Dashboard.xlsx]Pivot tables !Pivot_WaitTime</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Times New Roman" panose="02020603050405020304" pitchFamily="18" charset="0"/>
                <a:cs typeface="Times New Roman" panose="02020603050405020304" pitchFamily="18" charset="0"/>
              </a:rPr>
              <a:t>Average Wait Time by Department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'!$J$13</c:f>
              <c:strCache>
                <c:ptCount val="1"/>
                <c:pt idx="0">
                  <c:v>Total</c:v>
                </c:pt>
              </c:strCache>
            </c:strRef>
          </c:tx>
          <c:spPr>
            <a:solidFill>
              <a:schemeClr val="accent1"/>
            </a:solidFill>
            <a:ln>
              <a:noFill/>
            </a:ln>
            <a:effectLst/>
            <a:sp3d/>
          </c:spPr>
          <c:invertIfNegative val="0"/>
          <c:cat>
            <c:strRef>
              <c:f>'Pivot tables '!$I$14:$I$22</c:f>
              <c:strCache>
                <c:ptCount val="8"/>
                <c:pt idx="0">
                  <c:v>Cardiology</c:v>
                </c:pt>
                <c:pt idx="1">
                  <c:v>Dermatology</c:v>
                </c:pt>
                <c:pt idx="2">
                  <c:v>Emergency</c:v>
                </c:pt>
                <c:pt idx="3">
                  <c:v>General Medicine</c:v>
                </c:pt>
                <c:pt idx="4">
                  <c:v>Neurology</c:v>
                </c:pt>
                <c:pt idx="5">
                  <c:v>Oncology</c:v>
                </c:pt>
                <c:pt idx="6">
                  <c:v>Orthopedics</c:v>
                </c:pt>
                <c:pt idx="7">
                  <c:v>Pediatrics</c:v>
                </c:pt>
              </c:strCache>
            </c:strRef>
          </c:cat>
          <c:val>
            <c:numRef>
              <c:f>'Pivot tables '!$J$14:$J$22</c:f>
              <c:numCache>
                <c:formatCode>General</c:formatCode>
                <c:ptCount val="8"/>
                <c:pt idx="0">
                  <c:v>66.038461538461533</c:v>
                </c:pt>
                <c:pt idx="1">
                  <c:v>60.7</c:v>
                </c:pt>
                <c:pt idx="2">
                  <c:v>55.840909090909093</c:v>
                </c:pt>
                <c:pt idx="3">
                  <c:v>59.32231404958678</c:v>
                </c:pt>
                <c:pt idx="4">
                  <c:v>60.835820895522389</c:v>
                </c:pt>
                <c:pt idx="5">
                  <c:v>66.918032786885249</c:v>
                </c:pt>
                <c:pt idx="6">
                  <c:v>60.940298507462686</c:v>
                </c:pt>
                <c:pt idx="7">
                  <c:v>59.411214953271028</c:v>
                </c:pt>
              </c:numCache>
            </c:numRef>
          </c:val>
          <c:extLst>
            <c:ext xmlns:c16="http://schemas.microsoft.com/office/drawing/2014/chart" uri="{C3380CC4-5D6E-409C-BE32-E72D297353CC}">
              <c16:uniqueId val="{00000000-3283-4533-977E-BC3A622C4B59}"/>
            </c:ext>
          </c:extLst>
        </c:ser>
        <c:dLbls>
          <c:showLegendKey val="0"/>
          <c:showVal val="0"/>
          <c:showCatName val="0"/>
          <c:showSerName val="0"/>
          <c:showPercent val="0"/>
          <c:showBubbleSize val="0"/>
        </c:dLbls>
        <c:gapWidth val="150"/>
        <c:shape val="box"/>
        <c:axId val="1789844736"/>
        <c:axId val="964527216"/>
        <c:axId val="0"/>
      </c:bar3DChart>
      <c:catAx>
        <c:axId val="1789844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527216"/>
        <c:crosses val="autoZero"/>
        <c:auto val="1"/>
        <c:lblAlgn val="ctr"/>
        <c:lblOffset val="100"/>
        <c:noMultiLvlLbl val="0"/>
      </c:catAx>
      <c:valAx>
        <c:axId val="96452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140017</xdr:colOff>
      <xdr:row>1004</xdr:row>
      <xdr:rowOff>82867</xdr:rowOff>
    </xdr:from>
    <xdr:to>
      <xdr:col>7</xdr:col>
      <xdr:colOff>559117</xdr:colOff>
      <xdr:row>1019</xdr:row>
      <xdr:rowOff>111442</xdr:rowOff>
    </xdr:to>
    <xdr:graphicFrame macro="">
      <xdr:nvGraphicFramePr>
        <xdr:cNvPr id="2" name="Chart 1">
          <a:extLst>
            <a:ext uri="{FF2B5EF4-FFF2-40B4-BE49-F238E27FC236}">
              <a16:creationId xmlns:a16="http://schemas.microsoft.com/office/drawing/2014/main" id="{7A66FA4A-F3CC-28F8-F6B8-409C502C0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954405</xdr:colOff>
      <xdr:row>1003</xdr:row>
      <xdr:rowOff>114300</xdr:rowOff>
    </xdr:from>
    <xdr:to>
      <xdr:col>14</xdr:col>
      <xdr:colOff>55245</xdr:colOff>
      <xdr:row>1017</xdr:row>
      <xdr:rowOff>53340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157D49CC-73C7-3A35-8241-F1EACCCE0AC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0004405" y="181632225"/>
              <a:ext cx="1828800"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710565</xdr:colOff>
      <xdr:row>1006</xdr:row>
      <xdr:rowOff>83820</xdr:rowOff>
    </xdr:from>
    <xdr:to>
      <xdr:col>4</xdr:col>
      <xdr:colOff>1503045</xdr:colOff>
      <xdr:row>1020</xdr:row>
      <xdr:rowOff>19050</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BCC92BC8-FEF7-77FF-F3EB-D7B6B5E91BC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078605" y="182146575"/>
              <a:ext cx="182499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1325880</xdr:colOff>
      <xdr:row>1006</xdr:row>
      <xdr:rowOff>154305</xdr:rowOff>
    </xdr:from>
    <xdr:to>
      <xdr:col>10</xdr:col>
      <xdr:colOff>1388745</xdr:colOff>
      <xdr:row>1020</xdr:row>
      <xdr:rowOff>91440</xdr:rowOff>
    </xdr:to>
    <mc:AlternateContent xmlns:mc="http://schemas.openxmlformats.org/markup-compatibility/2006" xmlns:a14="http://schemas.microsoft.com/office/drawing/2010/main">
      <mc:Choice Requires="a14">
        <xdr:graphicFrame macro="">
          <xdr:nvGraphicFramePr>
            <xdr:cNvPr id="5" name="Payment_Status">
              <a:extLst>
                <a:ext uri="{FF2B5EF4-FFF2-40B4-BE49-F238E27FC236}">
                  <a16:creationId xmlns:a16="http://schemas.microsoft.com/office/drawing/2014/main" id="{9C1ADC09-1816-7891-A7D5-73ED35478680}"/>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15459075" y="182215155"/>
              <a:ext cx="1817370" cy="2470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859155</xdr:colOff>
      <xdr:row>1006</xdr:row>
      <xdr:rowOff>142875</xdr:rowOff>
    </xdr:from>
    <xdr:to>
      <xdr:col>8</xdr:col>
      <xdr:colOff>762000</xdr:colOff>
      <xdr:row>1020</xdr:row>
      <xdr:rowOff>76200</xdr:rowOff>
    </xdr:to>
    <mc:AlternateContent xmlns:mc="http://schemas.openxmlformats.org/markup-compatibility/2006" xmlns:a14="http://schemas.microsoft.com/office/drawing/2010/main">
      <mc:Choice Requires="a14">
        <xdr:graphicFrame macro="">
          <xdr:nvGraphicFramePr>
            <xdr:cNvPr id="6" name="Visit_Type">
              <a:extLst>
                <a:ext uri="{FF2B5EF4-FFF2-40B4-BE49-F238E27FC236}">
                  <a16:creationId xmlns:a16="http://schemas.microsoft.com/office/drawing/2014/main" id="{8C9A99F0-3CD6-BADB-6556-B153EAFFE893}"/>
                </a:ext>
              </a:extLst>
            </xdr:cNvPr>
            <xdr:cNvGraphicFramePr/>
          </xdr:nvGraphicFramePr>
          <xdr:xfrm>
            <a:off x="0" y="0"/>
            <a:ext cx="0" cy="0"/>
          </xdr:xfrm>
          <a:graphic>
            <a:graphicData uri="http://schemas.microsoft.com/office/drawing/2010/slicer">
              <sle:slicer xmlns:sle="http://schemas.microsoft.com/office/drawing/2010/slicer" name="Visit_Type"/>
            </a:graphicData>
          </a:graphic>
        </xdr:graphicFrame>
      </mc:Choice>
      <mc:Fallback xmlns="">
        <xdr:sp macro="" textlink="">
          <xdr:nvSpPr>
            <xdr:cNvPr id="0" name=""/>
            <xdr:cNvSpPr>
              <a:spLocks noTextEdit="1"/>
            </xdr:cNvSpPr>
          </xdr:nvSpPr>
          <xdr:spPr>
            <a:xfrm>
              <a:off x="11180445" y="182201820"/>
              <a:ext cx="1830705" cy="246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1152525</xdr:colOff>
      <xdr:row>1006</xdr:row>
      <xdr:rowOff>129540</xdr:rowOff>
    </xdr:from>
    <xdr:to>
      <xdr:col>9</xdr:col>
      <xdr:colOff>1083945</xdr:colOff>
      <xdr:row>1020</xdr:row>
      <xdr:rowOff>55245</xdr:rowOff>
    </xdr:to>
    <mc:AlternateContent xmlns:mc="http://schemas.openxmlformats.org/markup-compatibility/2006" xmlns:a14="http://schemas.microsoft.com/office/drawing/2010/main">
      <mc:Choice Requires="a14">
        <xdr:graphicFrame macro="">
          <xdr:nvGraphicFramePr>
            <xdr:cNvPr id="7" name="Insurance_Type">
              <a:extLst>
                <a:ext uri="{FF2B5EF4-FFF2-40B4-BE49-F238E27FC236}">
                  <a16:creationId xmlns:a16="http://schemas.microsoft.com/office/drawing/2014/main" id="{6C7A1AEA-5383-8EEC-FCC2-665D497DB9BA}"/>
                </a:ext>
              </a:extLst>
            </xdr:cNvPr>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mlns="">
        <xdr:sp macro="" textlink="">
          <xdr:nvSpPr>
            <xdr:cNvPr id="0" name=""/>
            <xdr:cNvSpPr>
              <a:spLocks noTextEdit="1"/>
            </xdr:cNvSpPr>
          </xdr:nvSpPr>
          <xdr:spPr>
            <a:xfrm>
              <a:off x="13403580" y="182194200"/>
              <a:ext cx="1815465" cy="2455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723900</xdr:colOff>
      <xdr:row>21</xdr:row>
      <xdr:rowOff>54292</xdr:rowOff>
    </xdr:from>
    <xdr:to>
      <xdr:col>7</xdr:col>
      <xdr:colOff>687705</xdr:colOff>
      <xdr:row>36</xdr:row>
      <xdr:rowOff>82867</xdr:rowOff>
    </xdr:to>
    <xdr:graphicFrame macro="">
      <xdr:nvGraphicFramePr>
        <xdr:cNvPr id="2" name="Chart 1">
          <a:extLst>
            <a:ext uri="{FF2B5EF4-FFF2-40B4-BE49-F238E27FC236}">
              <a16:creationId xmlns:a16="http://schemas.microsoft.com/office/drawing/2014/main" id="{EA266813-CD93-9595-CC2C-F48DD0705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24</xdr:row>
      <xdr:rowOff>120967</xdr:rowOff>
    </xdr:from>
    <xdr:to>
      <xdr:col>12</xdr:col>
      <xdr:colOff>87630</xdr:colOff>
      <xdr:row>39</xdr:row>
      <xdr:rowOff>149542</xdr:rowOff>
    </xdr:to>
    <xdr:graphicFrame macro="">
      <xdr:nvGraphicFramePr>
        <xdr:cNvPr id="3" name="Chart 2">
          <a:extLst>
            <a:ext uri="{FF2B5EF4-FFF2-40B4-BE49-F238E27FC236}">
              <a16:creationId xmlns:a16="http://schemas.microsoft.com/office/drawing/2014/main" id="{2D3B3308-8137-9C58-DBED-B969185DC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323850</xdr:colOff>
      <xdr:row>8</xdr:row>
      <xdr:rowOff>54292</xdr:rowOff>
    </xdr:from>
    <xdr:to>
      <xdr:col>17</xdr:col>
      <xdr:colOff>144780</xdr:colOff>
      <xdr:row>23</xdr:row>
      <xdr:rowOff>82867</xdr:rowOff>
    </xdr:to>
    <xdr:graphicFrame macro="">
      <xdr:nvGraphicFramePr>
        <xdr:cNvPr id="4" name="Chart 3">
          <a:extLst>
            <a:ext uri="{FF2B5EF4-FFF2-40B4-BE49-F238E27FC236}">
              <a16:creationId xmlns:a16="http://schemas.microsoft.com/office/drawing/2014/main" id="{0D922000-E0EA-8F7A-6731-99E437B15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27</xdr:col>
      <xdr:colOff>300990</xdr:colOff>
      <xdr:row>2</xdr:row>
      <xdr:rowOff>163012</xdr:rowOff>
    </xdr:from>
    <xdr:to>
      <xdr:col>32</xdr:col>
      <xdr:colOff>419916</xdr:colOff>
      <xdr:row>9</xdr:row>
      <xdr:rowOff>161652</xdr:rowOff>
    </xdr:to>
    <xdr:sp macro="" textlink="'Pivot tables '!B42">
      <xdr:nvSpPr>
        <xdr:cNvPr id="16" name="Rectangle: Rounded Corners 15">
          <a:extLst>
            <a:ext uri="{FF2B5EF4-FFF2-40B4-BE49-F238E27FC236}">
              <a16:creationId xmlns:a16="http://schemas.microsoft.com/office/drawing/2014/main" id="{B303B179-FC46-421D-87D3-5833FBC8F1EE}"/>
            </a:ext>
          </a:extLst>
        </xdr:cNvPr>
        <xdr:cNvSpPr/>
      </xdr:nvSpPr>
      <xdr:spPr>
        <a:xfrm>
          <a:off x="16833669" y="516798"/>
          <a:ext cx="3180533" cy="12368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8DF250F-26FB-4B39-9AA0-9C0BBEB6A635}" type="TxLink">
            <a:rPr lang="en-US" sz="3200" b="0" i="0" u="none" strike="noStrike">
              <a:solidFill>
                <a:schemeClr val="bg1"/>
              </a:solidFill>
              <a:latin typeface="Times New Roman" panose="02020603050405020304" pitchFamily="18" charset="0"/>
              <a:ea typeface="Calibri"/>
              <a:cs typeface="Times New Roman" panose="02020603050405020304" pitchFamily="18" charset="0"/>
            </a:rPr>
            <a:t>150</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27215</xdr:colOff>
      <xdr:row>2</xdr:row>
      <xdr:rowOff>137975</xdr:rowOff>
    </xdr:from>
    <xdr:to>
      <xdr:col>27</xdr:col>
      <xdr:colOff>153760</xdr:colOff>
      <xdr:row>9</xdr:row>
      <xdr:rowOff>153760</xdr:rowOff>
    </xdr:to>
    <xdr:sp macro="" textlink="'Pivot tables '!F45">
      <xdr:nvSpPr>
        <xdr:cNvPr id="12" name="Rectangle: Rounded Corners 11">
          <a:extLst>
            <a:ext uri="{FF2B5EF4-FFF2-40B4-BE49-F238E27FC236}">
              <a16:creationId xmlns:a16="http://schemas.microsoft.com/office/drawing/2014/main" id="{7D9D78A7-7F43-4A56-A82F-77405E7C618B}"/>
            </a:ext>
          </a:extLst>
        </xdr:cNvPr>
        <xdr:cNvSpPr/>
      </xdr:nvSpPr>
      <xdr:spPr>
        <a:xfrm>
          <a:off x="13498286" y="491761"/>
          <a:ext cx="3188153" cy="12540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2A33BCF-09B2-4457-A1B9-1D8FF92083E9}" type="TxLink">
            <a:rPr lang="en-US" sz="3200" b="0" i="0" u="none" strike="noStrike">
              <a:solidFill>
                <a:schemeClr val="bg1"/>
              </a:solidFill>
              <a:latin typeface="Times New Roman" panose="02020603050405020304" pitchFamily="18" charset="0"/>
              <a:ea typeface="Calibri"/>
              <a:cs typeface="Times New Roman" panose="02020603050405020304" pitchFamily="18" charset="0"/>
            </a:rPr>
            <a:t>3.8</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353512</xdr:colOff>
      <xdr:row>2</xdr:row>
      <xdr:rowOff>161107</xdr:rowOff>
    </xdr:from>
    <xdr:to>
      <xdr:col>21</xdr:col>
      <xdr:colOff>480058</xdr:colOff>
      <xdr:row>9</xdr:row>
      <xdr:rowOff>159747</xdr:rowOff>
    </xdr:to>
    <xdr:sp macro="" textlink="'Pivot tables '!E45">
      <xdr:nvSpPr>
        <xdr:cNvPr id="13" name="Rectangle: Rounded Corners 12">
          <a:extLst>
            <a:ext uri="{FF2B5EF4-FFF2-40B4-BE49-F238E27FC236}">
              <a16:creationId xmlns:a16="http://schemas.microsoft.com/office/drawing/2014/main" id="{3C521869-6C6A-4D7B-A2EB-EEDE610FEEBD}"/>
            </a:ext>
          </a:extLst>
        </xdr:cNvPr>
        <xdr:cNvSpPr/>
      </xdr:nvSpPr>
      <xdr:spPr>
        <a:xfrm>
          <a:off x="10150655" y="514893"/>
          <a:ext cx="3188153" cy="12368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0B8B0DB-FEFF-4280-BEAE-2692B20C1DCF}" type="TxLink">
            <a:rPr lang="en-US" sz="3200" b="0" i="0" u="none" strike="noStrike">
              <a:solidFill>
                <a:schemeClr val="bg1"/>
              </a:solidFill>
              <a:latin typeface="Times New Roman" panose="02020603050405020304" pitchFamily="18" charset="0"/>
              <a:ea typeface="Calibri"/>
              <a:cs typeface="Times New Roman" panose="02020603050405020304" pitchFamily="18" charset="0"/>
            </a:rPr>
            <a:t>61</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81370</xdr:colOff>
      <xdr:row>2</xdr:row>
      <xdr:rowOff>159203</xdr:rowOff>
    </xdr:from>
    <xdr:to>
      <xdr:col>16</xdr:col>
      <xdr:colOff>200296</xdr:colOff>
      <xdr:row>9</xdr:row>
      <xdr:rowOff>157843</xdr:rowOff>
    </xdr:to>
    <xdr:sp macro="" textlink="'Pivot tables '!D45">
      <xdr:nvSpPr>
        <xdr:cNvPr id="14" name="Rectangle: Rounded Corners 13">
          <a:extLst>
            <a:ext uri="{FF2B5EF4-FFF2-40B4-BE49-F238E27FC236}">
              <a16:creationId xmlns:a16="http://schemas.microsoft.com/office/drawing/2014/main" id="{73BE027B-33DC-4DE6-AD24-513BD0A25721}"/>
            </a:ext>
          </a:extLst>
        </xdr:cNvPr>
        <xdr:cNvSpPr/>
      </xdr:nvSpPr>
      <xdr:spPr>
        <a:xfrm>
          <a:off x="6816906" y="512989"/>
          <a:ext cx="3180533" cy="12368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08CCBFF-CC8D-4C6B-8248-A63425E49A7C}" type="TxLink">
            <a:rPr lang="en-US" sz="3200" b="0" i="0" u="none" strike="noStrike">
              <a:solidFill>
                <a:schemeClr val="bg1"/>
              </a:solidFill>
              <a:latin typeface="Times New Roman" panose="02020603050405020304" pitchFamily="18" charset="0"/>
              <a:ea typeface="Calibri"/>
              <a:cs typeface="Times New Roman" panose="02020603050405020304" pitchFamily="18" charset="0"/>
            </a:rPr>
            <a:t>₹ 21,941.03</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440871</xdr:colOff>
      <xdr:row>2</xdr:row>
      <xdr:rowOff>159202</xdr:rowOff>
    </xdr:from>
    <xdr:to>
      <xdr:col>10</xdr:col>
      <xdr:colOff>555987</xdr:colOff>
      <xdr:row>9</xdr:row>
      <xdr:rowOff>169272</xdr:rowOff>
    </xdr:to>
    <xdr:sp macro="" textlink="'Pivot tables '!C45">
      <xdr:nvSpPr>
        <xdr:cNvPr id="15" name="Rectangle: Rounded Corners 14">
          <a:extLst>
            <a:ext uri="{FF2B5EF4-FFF2-40B4-BE49-F238E27FC236}">
              <a16:creationId xmlns:a16="http://schemas.microsoft.com/office/drawing/2014/main" id="{AECFFAF4-E167-4B5F-95F0-46EB09DC2714}"/>
            </a:ext>
          </a:extLst>
        </xdr:cNvPr>
        <xdr:cNvSpPr/>
      </xdr:nvSpPr>
      <xdr:spPr>
        <a:xfrm>
          <a:off x="3502478" y="512988"/>
          <a:ext cx="3176723" cy="1248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EC5E94F-C12C-4656-BA06-E49EEFCCCE05}" type="TxLink">
            <a:rPr lang="en-US" sz="3200" b="0" i="0" u="none" strike="noStrike">
              <a:solidFill>
                <a:schemeClr val="bg1"/>
              </a:solidFill>
              <a:latin typeface="Times New Roman" panose="02020603050405020304" pitchFamily="18" charset="0"/>
              <a:ea typeface="Calibri"/>
              <a:cs typeface="Times New Roman" panose="02020603050405020304" pitchFamily="18" charset="0"/>
            </a:rPr>
            <a:t>₹ 2,19,41,030.00</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205964</xdr:colOff>
      <xdr:row>4</xdr:row>
      <xdr:rowOff>38213</xdr:rowOff>
    </xdr:from>
    <xdr:to>
      <xdr:col>10</xdr:col>
      <xdr:colOff>287656</xdr:colOff>
      <xdr:row>6</xdr:row>
      <xdr:rowOff>56332</xdr:rowOff>
    </xdr:to>
    <xdr:sp macro="" textlink="">
      <xdr:nvSpPr>
        <xdr:cNvPr id="4098" name="Text Box 2">
          <a:extLst>
            <a:ext uri="{FF2B5EF4-FFF2-40B4-BE49-F238E27FC236}">
              <a16:creationId xmlns:a16="http://schemas.microsoft.com/office/drawing/2014/main" id="{9BF34D5A-E348-7080-43EF-70527469F69B}"/>
            </a:ext>
          </a:extLst>
        </xdr:cNvPr>
        <xdr:cNvSpPr txBox="1">
          <a:spLocks noChangeArrowheads="1"/>
        </xdr:cNvSpPr>
      </xdr:nvSpPr>
      <xdr:spPr bwMode="auto">
        <a:xfrm>
          <a:off x="3879893" y="745784"/>
          <a:ext cx="2530977" cy="371905"/>
        </a:xfrm>
        <a:prstGeom prst="rect">
          <a:avLst/>
        </a:prstGeom>
        <a:solidFill>
          <a:schemeClr val="accent4"/>
        </a:solidFill>
        <a:ln w="9525">
          <a:solidFill>
            <a:schemeClr val="accent4"/>
          </a:solidFill>
          <a:miter lim="800000"/>
          <a:headEnd/>
          <a:tailEnd/>
        </a:ln>
      </xdr:spPr>
      <xdr:txBody>
        <a:bodyPr vertOverflow="clip" wrap="square" lIns="27432" tIns="27432" rIns="0" bIns="0" anchor="t" upright="1"/>
        <a:lstStyle/>
        <a:p>
          <a:pPr algn="ctr" rtl="0">
            <a:defRPr sz="1000"/>
          </a:pPr>
          <a:r>
            <a:rPr lang="en-IN" sz="2000" b="1" i="0" u="none" strike="noStrike" baseline="0">
              <a:solidFill>
                <a:schemeClr val="accent6"/>
              </a:solidFill>
              <a:latin typeface="Times New Roman" panose="02020603050405020304" pitchFamily="18" charset="0"/>
              <a:ea typeface="Calibri"/>
              <a:cs typeface="Times New Roman" panose="02020603050405020304" pitchFamily="18" charset="0"/>
            </a:rPr>
            <a:t>TOTAL REVENUE</a:t>
          </a:r>
        </a:p>
      </xdr:txBody>
    </xdr:sp>
    <xdr:clientData/>
  </xdr:twoCellAnchor>
  <xdr:twoCellAnchor>
    <xdr:from>
      <xdr:col>0</xdr:col>
      <xdr:colOff>161109</xdr:colOff>
      <xdr:row>3</xdr:row>
      <xdr:rowOff>25036</xdr:rowOff>
    </xdr:from>
    <xdr:to>
      <xdr:col>5</xdr:col>
      <xdr:colOff>283845</xdr:colOff>
      <xdr:row>10</xdr:row>
      <xdr:rowOff>35106</xdr:rowOff>
    </xdr:to>
    <xdr:sp macro="" textlink="'Pivot tables '!B45">
      <xdr:nvSpPr>
        <xdr:cNvPr id="10" name="Rectangle: Rounded Corners 9">
          <a:extLst>
            <a:ext uri="{FF2B5EF4-FFF2-40B4-BE49-F238E27FC236}">
              <a16:creationId xmlns:a16="http://schemas.microsoft.com/office/drawing/2014/main" id="{38414429-BCDF-DE89-7F38-8CE4FB9EE958}"/>
            </a:ext>
          </a:extLst>
        </xdr:cNvPr>
        <xdr:cNvSpPr/>
      </xdr:nvSpPr>
      <xdr:spPr>
        <a:xfrm>
          <a:off x="161109" y="555715"/>
          <a:ext cx="3184343" cy="1248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19FE092-870A-496A-B0B2-50C1E7494D5D}" type="TxLink">
            <a:rPr lang="en-US" sz="3200" b="0" i="0" u="none" strike="noStrike">
              <a:solidFill>
                <a:schemeClr val="bg1"/>
              </a:solidFill>
              <a:latin typeface="Times New Roman" panose="02020603050405020304" pitchFamily="18" charset="0"/>
              <a:ea typeface="Calibri"/>
              <a:cs typeface="Times New Roman" panose="02020603050405020304" pitchFamily="18" charset="0"/>
            </a:rPr>
            <a:t>1000</a:t>
          </a:fld>
          <a:endParaRPr lang="en-US" sz="3200" b="1">
            <a:solidFill>
              <a:schemeClr val="bg1"/>
            </a:solidFill>
            <a:latin typeface="Times New Roman" panose="02020603050405020304" pitchFamily="18" charset="0"/>
            <a:cs typeface="Times New Roman" panose="02020603050405020304" pitchFamily="18" charset="0"/>
          </a:endParaRPr>
        </a:p>
      </xdr:txBody>
    </xdr:sp>
    <xdr:clientData/>
  </xdr:twoCellAnchor>
  <xdr:oneCellAnchor>
    <xdr:from>
      <xdr:col>7</xdr:col>
      <xdr:colOff>483870</xdr:colOff>
      <xdr:row>19</xdr:row>
      <xdr:rowOff>125730</xdr:rowOff>
    </xdr:from>
    <xdr:ext cx="184731" cy="264560"/>
    <xdr:sp macro="" textlink="">
      <xdr:nvSpPr>
        <xdr:cNvPr id="8" name="TextBox 7">
          <a:extLst>
            <a:ext uri="{FF2B5EF4-FFF2-40B4-BE49-F238E27FC236}">
              <a16:creationId xmlns:a16="http://schemas.microsoft.com/office/drawing/2014/main" id="{14B2F0EA-EEA0-5734-6A80-65B47F9479BB}"/>
            </a:ext>
          </a:extLst>
        </xdr:cNvPr>
        <xdr:cNvSpPr txBox="1"/>
      </xdr:nvSpPr>
      <xdr:spPr>
        <a:xfrm>
          <a:off x="4751070" y="35642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362909</xdr:colOff>
      <xdr:row>4</xdr:row>
      <xdr:rowOff>57856</xdr:rowOff>
    </xdr:from>
    <xdr:to>
      <xdr:col>14</xdr:col>
      <xdr:colOff>549599</xdr:colOff>
      <xdr:row>6</xdr:row>
      <xdr:rowOff>66131</xdr:rowOff>
    </xdr:to>
    <xdr:sp macro="" textlink="">
      <xdr:nvSpPr>
        <xdr:cNvPr id="4099" name="Text Box 3">
          <a:extLst>
            <a:ext uri="{FF2B5EF4-FFF2-40B4-BE49-F238E27FC236}">
              <a16:creationId xmlns:a16="http://schemas.microsoft.com/office/drawing/2014/main" id="{120266B3-EAAC-7FC9-9004-4ED1617B9666}"/>
            </a:ext>
          </a:extLst>
        </xdr:cNvPr>
        <xdr:cNvSpPr txBox="1">
          <a:spLocks noChangeArrowheads="1"/>
        </xdr:cNvSpPr>
      </xdr:nvSpPr>
      <xdr:spPr bwMode="auto">
        <a:xfrm>
          <a:off x="7710766" y="765427"/>
          <a:ext cx="1411333" cy="362061"/>
        </a:xfrm>
        <a:prstGeom prst="rect">
          <a:avLst/>
        </a:prstGeom>
        <a:solidFill>
          <a:schemeClr val="accent4"/>
        </a:solidFill>
        <a:ln w="9525">
          <a:solidFill>
            <a:schemeClr val="accent4"/>
          </a:solidFill>
          <a:miter lim="800000"/>
          <a:headEnd/>
          <a:tailEnd/>
        </a:ln>
      </xdr:spPr>
      <xdr:txBody>
        <a:bodyPr vertOverflow="clip" wrap="square" lIns="27432" tIns="27432" rIns="0" bIns="0" anchor="ctr" upright="1"/>
        <a:lstStyle/>
        <a:p>
          <a:pPr algn="ctr" rtl="0">
            <a:defRPr sz="1000"/>
          </a:pPr>
          <a:r>
            <a:rPr lang="en-IN" sz="2000" b="1" i="0" u="none" strike="noStrike" baseline="0">
              <a:solidFill>
                <a:schemeClr val="accent6"/>
              </a:solidFill>
              <a:latin typeface="Times New Roman" panose="02020603050405020304" pitchFamily="18" charset="0"/>
              <a:ea typeface="Calibri"/>
              <a:cs typeface="Times New Roman" panose="02020603050405020304" pitchFamily="18" charset="0"/>
            </a:rPr>
            <a:t>AVG BILL</a:t>
          </a:r>
        </a:p>
      </xdr:txBody>
    </xdr:sp>
    <xdr:clientData/>
  </xdr:twoCellAnchor>
  <xdr:twoCellAnchor>
    <xdr:from>
      <xdr:col>17</xdr:col>
      <xdr:colOff>427183</xdr:colOff>
      <xdr:row>4</xdr:row>
      <xdr:rowOff>42167</xdr:rowOff>
    </xdr:from>
    <xdr:to>
      <xdr:col>20</xdr:col>
      <xdr:colOff>349703</xdr:colOff>
      <xdr:row>6</xdr:row>
      <xdr:rowOff>50619</xdr:rowOff>
    </xdr:to>
    <xdr:sp macro="" textlink="">
      <xdr:nvSpPr>
        <xdr:cNvPr id="4100" name="Text Box 4">
          <a:extLst>
            <a:ext uri="{FF2B5EF4-FFF2-40B4-BE49-F238E27FC236}">
              <a16:creationId xmlns:a16="http://schemas.microsoft.com/office/drawing/2014/main" id="{7BF7400F-B68B-3B6D-776F-18D441C006EB}"/>
            </a:ext>
          </a:extLst>
        </xdr:cNvPr>
        <xdr:cNvSpPr txBox="1">
          <a:spLocks noChangeArrowheads="1"/>
        </xdr:cNvSpPr>
      </xdr:nvSpPr>
      <xdr:spPr bwMode="auto">
        <a:xfrm>
          <a:off x="10836647" y="749738"/>
          <a:ext cx="1759485" cy="362238"/>
        </a:xfrm>
        <a:prstGeom prst="rect">
          <a:avLst/>
        </a:prstGeom>
        <a:solidFill>
          <a:schemeClr val="accent4"/>
        </a:solidFill>
        <a:ln w="9525">
          <a:solidFill>
            <a:schemeClr val="accent4"/>
          </a:solidFill>
          <a:miter lim="800000"/>
          <a:headEnd/>
          <a:tailEnd/>
        </a:ln>
      </xdr:spPr>
      <xdr:txBody>
        <a:bodyPr vertOverflow="clip" wrap="square" lIns="27432" tIns="27432" rIns="0" bIns="0" anchor="ctr" upright="1"/>
        <a:lstStyle/>
        <a:p>
          <a:pPr algn="ctr" rtl="0">
            <a:defRPr sz="1000"/>
          </a:pPr>
          <a:r>
            <a:rPr lang="en-IN" sz="2000" b="1" i="0" u="none" strike="noStrike" baseline="0">
              <a:solidFill>
                <a:schemeClr val="accent6"/>
              </a:solidFill>
              <a:latin typeface="Times New Roman" panose="02020603050405020304" pitchFamily="18" charset="0"/>
              <a:ea typeface="Calibri"/>
              <a:cs typeface="Times New Roman" panose="02020603050405020304" pitchFamily="18" charset="0"/>
            </a:rPr>
            <a:t> AVG WAIT </a:t>
          </a:r>
        </a:p>
      </xdr:txBody>
    </xdr:sp>
    <xdr:clientData/>
  </xdr:twoCellAnchor>
  <xdr:twoCellAnchor>
    <xdr:from>
      <xdr:col>1</xdr:col>
      <xdr:colOff>113852</xdr:colOff>
      <xdr:row>4</xdr:row>
      <xdr:rowOff>133478</xdr:rowOff>
    </xdr:from>
    <xdr:to>
      <xdr:col>4</xdr:col>
      <xdr:colOff>312965</xdr:colOff>
      <xdr:row>6</xdr:row>
      <xdr:rowOff>136072</xdr:rowOff>
    </xdr:to>
    <xdr:sp macro="" textlink="">
      <xdr:nvSpPr>
        <xdr:cNvPr id="4097" name="Text Box 1">
          <a:extLst>
            <a:ext uri="{FF2B5EF4-FFF2-40B4-BE49-F238E27FC236}">
              <a16:creationId xmlns:a16="http://schemas.microsoft.com/office/drawing/2014/main" id="{AE00D3E0-7117-9207-4667-E5B8D6CECD43}"/>
            </a:ext>
          </a:extLst>
        </xdr:cNvPr>
        <xdr:cNvSpPr txBox="1">
          <a:spLocks noChangeArrowheads="1"/>
        </xdr:cNvSpPr>
      </xdr:nvSpPr>
      <xdr:spPr bwMode="auto">
        <a:xfrm>
          <a:off x="726173" y="841049"/>
          <a:ext cx="2036078" cy="356380"/>
        </a:xfrm>
        <a:prstGeom prst="rect">
          <a:avLst/>
        </a:prstGeom>
        <a:solidFill>
          <a:schemeClr val="accent4"/>
        </a:solidFill>
        <a:ln w="9525">
          <a:solidFill>
            <a:srgbClr val="2F75B5"/>
          </a:solidFill>
          <a:miter lim="800000"/>
          <a:headEnd/>
          <a:tailEnd/>
        </a:ln>
      </xdr:spPr>
      <xdr:txBody>
        <a:bodyPr vertOverflow="clip" wrap="square" lIns="27432" tIns="27432" rIns="0" bIns="0" anchor="t" upright="1"/>
        <a:lstStyle/>
        <a:p>
          <a:pPr algn="ctr" rtl="0">
            <a:defRPr sz="1000"/>
          </a:pPr>
          <a:r>
            <a:rPr lang="en-IN" sz="2000" b="1" i="0" u="none" strike="noStrike" baseline="0">
              <a:solidFill>
                <a:schemeClr val="accent6"/>
              </a:solidFill>
              <a:latin typeface="Times New Roman" panose="02020603050405020304" pitchFamily="18" charset="0"/>
              <a:ea typeface="Calibri"/>
              <a:cs typeface="Times New Roman" panose="02020603050405020304" pitchFamily="18" charset="0"/>
            </a:rPr>
            <a:t>TOTAL VISITS</a:t>
          </a:r>
        </a:p>
      </xdr:txBody>
    </xdr:sp>
    <xdr:clientData/>
  </xdr:twoCellAnchor>
  <xdr:twoCellAnchor>
    <xdr:from>
      <xdr:col>22</xdr:col>
      <xdr:colOff>608975</xdr:colOff>
      <xdr:row>4</xdr:row>
      <xdr:rowOff>24618</xdr:rowOff>
    </xdr:from>
    <xdr:to>
      <xdr:col>26</xdr:col>
      <xdr:colOff>221523</xdr:colOff>
      <xdr:row>6</xdr:row>
      <xdr:rowOff>17416</xdr:rowOff>
    </xdr:to>
    <xdr:sp macro="" textlink="">
      <xdr:nvSpPr>
        <xdr:cNvPr id="4101" name="Text Box 5">
          <a:extLst>
            <a:ext uri="{FF2B5EF4-FFF2-40B4-BE49-F238E27FC236}">
              <a16:creationId xmlns:a16="http://schemas.microsoft.com/office/drawing/2014/main" id="{5FA2A30C-4CC7-36F1-8AC4-21FEA2A88F3B}"/>
            </a:ext>
          </a:extLst>
        </xdr:cNvPr>
        <xdr:cNvSpPr txBox="1">
          <a:spLocks noChangeArrowheads="1"/>
        </xdr:cNvSpPr>
      </xdr:nvSpPr>
      <xdr:spPr bwMode="auto">
        <a:xfrm>
          <a:off x="14080046" y="732189"/>
          <a:ext cx="2061834" cy="346584"/>
        </a:xfrm>
        <a:prstGeom prst="rect">
          <a:avLst/>
        </a:prstGeom>
        <a:solidFill>
          <a:schemeClr val="accent4"/>
        </a:solidFill>
        <a:ln w="9525">
          <a:solidFill>
            <a:schemeClr val="accent4"/>
          </a:solidFill>
          <a:miter lim="800000"/>
          <a:headEnd/>
          <a:tailEnd/>
        </a:ln>
      </xdr:spPr>
      <xdr:txBody>
        <a:bodyPr vertOverflow="clip" wrap="square" lIns="27432" tIns="27432" rIns="0" bIns="0" anchor="ctr" upright="1"/>
        <a:lstStyle/>
        <a:p>
          <a:pPr algn="ctr" rtl="0">
            <a:defRPr sz="1000"/>
          </a:pPr>
          <a:r>
            <a:rPr lang="en-IN" sz="2000" b="1" i="0" u="none" strike="noStrike" baseline="0">
              <a:solidFill>
                <a:schemeClr val="accent6"/>
              </a:solidFill>
              <a:latin typeface="Times New Roman" panose="02020603050405020304" pitchFamily="18" charset="0"/>
              <a:ea typeface="Calibri"/>
              <a:cs typeface="Times New Roman" panose="02020603050405020304" pitchFamily="18" charset="0"/>
            </a:rPr>
            <a:t>SATISFACTION</a:t>
          </a:r>
        </a:p>
      </xdr:txBody>
    </xdr:sp>
    <xdr:clientData/>
  </xdr:twoCellAnchor>
  <xdr:twoCellAnchor>
    <xdr:from>
      <xdr:col>28</xdr:col>
      <xdr:colOff>373074</xdr:colOff>
      <xdr:row>4</xdr:row>
      <xdr:rowOff>35139</xdr:rowOff>
    </xdr:from>
    <xdr:to>
      <xdr:col>31</xdr:col>
      <xdr:colOff>363583</xdr:colOff>
      <xdr:row>6</xdr:row>
      <xdr:rowOff>54429</xdr:rowOff>
    </xdr:to>
    <xdr:sp macro="" textlink="">
      <xdr:nvSpPr>
        <xdr:cNvPr id="4102" name="Text Box 6">
          <a:extLst>
            <a:ext uri="{FF2B5EF4-FFF2-40B4-BE49-F238E27FC236}">
              <a16:creationId xmlns:a16="http://schemas.microsoft.com/office/drawing/2014/main" id="{CEDCE4D1-2540-E715-0605-783E47AC1188}"/>
            </a:ext>
          </a:extLst>
        </xdr:cNvPr>
        <xdr:cNvSpPr txBox="1">
          <a:spLocks noChangeArrowheads="1"/>
        </xdr:cNvSpPr>
      </xdr:nvSpPr>
      <xdr:spPr bwMode="auto">
        <a:xfrm>
          <a:off x="17518074" y="742710"/>
          <a:ext cx="1827473" cy="373076"/>
        </a:xfrm>
        <a:prstGeom prst="rect">
          <a:avLst/>
        </a:prstGeom>
        <a:solidFill>
          <a:schemeClr val="accent4"/>
        </a:solidFill>
        <a:ln w="9525">
          <a:solidFill>
            <a:schemeClr val="accent4"/>
          </a:solidFill>
          <a:miter lim="800000"/>
          <a:headEnd/>
          <a:tailEnd/>
        </a:ln>
      </xdr:spPr>
      <xdr:txBody>
        <a:bodyPr vertOverflow="clip" wrap="square" lIns="27432" tIns="27432" rIns="0" bIns="0" anchor="ctr" upright="1"/>
        <a:lstStyle/>
        <a:p>
          <a:pPr algn="ctr" rtl="0">
            <a:defRPr sz="1000"/>
          </a:pPr>
          <a:r>
            <a:rPr lang="en-IN" sz="2000" b="1" i="0" u="none" strike="noStrike" baseline="0">
              <a:solidFill>
                <a:schemeClr val="accent6"/>
              </a:solidFill>
              <a:latin typeface="Times New Roman" panose="02020603050405020304" pitchFamily="18" charset="0"/>
              <a:ea typeface="Calibri"/>
              <a:cs typeface="Times New Roman" panose="02020603050405020304" pitchFamily="18" charset="0"/>
            </a:rPr>
            <a:t>EMERGENCY   </a:t>
          </a:r>
        </a:p>
      </xdr:txBody>
    </xdr:sp>
    <xdr:clientData/>
  </xdr:twoCellAnchor>
  <xdr:twoCellAnchor>
    <xdr:from>
      <xdr:col>5</xdr:col>
      <xdr:colOff>406309</xdr:colOff>
      <xdr:row>11</xdr:row>
      <xdr:rowOff>20859</xdr:rowOff>
    </xdr:from>
    <xdr:to>
      <xdr:col>16</xdr:col>
      <xdr:colOff>421821</xdr:colOff>
      <xdr:row>30</xdr:row>
      <xdr:rowOff>163285</xdr:rowOff>
    </xdr:to>
    <xdr:graphicFrame macro="">
      <xdr:nvGraphicFramePr>
        <xdr:cNvPr id="31" name="Chart 30">
          <a:extLst>
            <a:ext uri="{FF2B5EF4-FFF2-40B4-BE49-F238E27FC236}">
              <a16:creationId xmlns:a16="http://schemas.microsoft.com/office/drawing/2014/main" id="{F9AD9DD9-EC65-438E-B703-504811B39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xdr:colOff>
      <xdr:row>11</xdr:row>
      <xdr:rowOff>60094</xdr:rowOff>
    </xdr:from>
    <xdr:to>
      <xdr:col>28</xdr:col>
      <xdr:colOff>1</xdr:colOff>
      <xdr:row>30</xdr:row>
      <xdr:rowOff>163284</xdr:rowOff>
    </xdr:to>
    <xdr:graphicFrame macro="">
      <xdr:nvGraphicFramePr>
        <xdr:cNvPr id="32" name="Chart 31">
          <a:extLst>
            <a:ext uri="{FF2B5EF4-FFF2-40B4-BE49-F238E27FC236}">
              <a16:creationId xmlns:a16="http://schemas.microsoft.com/office/drawing/2014/main" id="{E4106B5F-8596-42C8-85FA-D26EA7D22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359774</xdr:colOff>
      <xdr:row>31</xdr:row>
      <xdr:rowOff>108857</xdr:rowOff>
    </xdr:from>
    <xdr:to>
      <xdr:col>16</xdr:col>
      <xdr:colOff>428433</xdr:colOff>
      <xdr:row>53</xdr:row>
      <xdr:rowOff>165191</xdr:rowOff>
    </xdr:to>
    <xdr:graphicFrame macro="">
      <xdr:nvGraphicFramePr>
        <xdr:cNvPr id="33" name="Chart 32">
          <a:extLst>
            <a:ext uri="{FF2B5EF4-FFF2-40B4-BE49-F238E27FC236}">
              <a16:creationId xmlns:a16="http://schemas.microsoft.com/office/drawing/2014/main" id="{06306DDB-8923-4C51-94F6-EDCE15071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592727</xdr:colOff>
      <xdr:row>31</xdr:row>
      <xdr:rowOff>112667</xdr:rowOff>
    </xdr:from>
    <xdr:to>
      <xdr:col>28</xdr:col>
      <xdr:colOff>27214</xdr:colOff>
      <xdr:row>53</xdr:row>
      <xdr:rowOff>165191</xdr:rowOff>
    </xdr:to>
    <xdr:graphicFrame macro="">
      <xdr:nvGraphicFramePr>
        <xdr:cNvPr id="34" name="Chart 33">
          <a:extLst>
            <a:ext uri="{FF2B5EF4-FFF2-40B4-BE49-F238E27FC236}">
              <a16:creationId xmlns:a16="http://schemas.microsoft.com/office/drawing/2014/main" id="{D803F670-3C56-4E63-B18D-D8861E4C0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382906</xdr:colOff>
      <xdr:row>31</xdr:row>
      <xdr:rowOff>140683</xdr:rowOff>
    </xdr:from>
    <xdr:to>
      <xdr:col>5</xdr:col>
      <xdr:colOff>130357</xdr:colOff>
      <xdr:row>53</xdr:row>
      <xdr:rowOff>169001</xdr:rowOff>
    </xdr:to>
    <mc:AlternateContent xmlns:mc="http://schemas.openxmlformats.org/markup-compatibility/2006" xmlns:a14="http://schemas.microsoft.com/office/drawing/2010/main">
      <mc:Choice Requires="a14">
        <xdr:graphicFrame macro="">
          <xdr:nvGraphicFramePr>
            <xdr:cNvPr id="35" name="Department 1">
              <a:extLst>
                <a:ext uri="{FF2B5EF4-FFF2-40B4-BE49-F238E27FC236}">
                  <a16:creationId xmlns:a16="http://schemas.microsoft.com/office/drawing/2014/main" id="{FFE48D87-0B89-438B-B394-A6DAE57424C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95227" y="5620552"/>
              <a:ext cx="2200547" cy="3927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266428</xdr:colOff>
      <xdr:row>37</xdr:row>
      <xdr:rowOff>103909</xdr:rowOff>
    </xdr:from>
    <xdr:to>
      <xdr:col>32</xdr:col>
      <xdr:colOff>19322</xdr:colOff>
      <xdr:row>53</xdr:row>
      <xdr:rowOff>169001</xdr:rowOff>
    </xdr:to>
    <mc:AlternateContent xmlns:mc="http://schemas.openxmlformats.org/markup-compatibility/2006" xmlns:a14="http://schemas.microsoft.com/office/drawing/2010/main">
      <mc:Choice Requires="a14">
        <xdr:graphicFrame macro="">
          <xdr:nvGraphicFramePr>
            <xdr:cNvPr id="36" name="Visit_Type 1">
              <a:extLst>
                <a:ext uri="{FF2B5EF4-FFF2-40B4-BE49-F238E27FC236}">
                  <a16:creationId xmlns:a16="http://schemas.microsoft.com/office/drawing/2014/main" id="{75EDD18D-91B6-4F91-A83A-372FB7429A0C}"/>
                </a:ext>
              </a:extLst>
            </xdr:cNvPr>
            <xdr:cNvGraphicFramePr/>
          </xdr:nvGraphicFramePr>
          <xdr:xfrm>
            <a:off x="0" y="0"/>
            <a:ext cx="0" cy="0"/>
          </xdr:xfrm>
          <a:graphic>
            <a:graphicData uri="http://schemas.microsoft.com/office/drawing/2010/slicer">
              <sle:slicer xmlns:sle="http://schemas.microsoft.com/office/drawing/2010/slicer" name="Visit_Type 1"/>
            </a:graphicData>
          </a:graphic>
        </xdr:graphicFrame>
      </mc:Choice>
      <mc:Fallback xmlns="">
        <xdr:sp macro="" textlink="">
          <xdr:nvSpPr>
            <xdr:cNvPr id="0" name=""/>
            <xdr:cNvSpPr>
              <a:spLocks noTextEdit="1"/>
            </xdr:cNvSpPr>
          </xdr:nvSpPr>
          <xdr:spPr>
            <a:xfrm>
              <a:off x="17411428" y="6647040"/>
              <a:ext cx="2198370" cy="2901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402228</xdr:colOff>
      <xdr:row>11</xdr:row>
      <xdr:rowOff>54013</xdr:rowOff>
    </xdr:from>
    <xdr:to>
      <xdr:col>5</xdr:col>
      <xdr:colOff>173580</xdr:colOff>
      <xdr:row>31</xdr:row>
      <xdr:rowOff>0</xdr:rowOff>
    </xdr:to>
    <mc:AlternateContent xmlns:mc="http://schemas.openxmlformats.org/markup-compatibility/2006" xmlns:a14="http://schemas.microsoft.com/office/drawing/2010/main">
      <mc:Choice Requires="a14">
        <xdr:graphicFrame macro="">
          <xdr:nvGraphicFramePr>
            <xdr:cNvPr id="37" name="Insurance_Type 1">
              <a:extLst>
                <a:ext uri="{FF2B5EF4-FFF2-40B4-BE49-F238E27FC236}">
                  <a16:creationId xmlns:a16="http://schemas.microsoft.com/office/drawing/2014/main" id="{3E77D39E-7A10-44FC-87EB-B94A660DD8B4}"/>
                </a:ext>
              </a:extLst>
            </xdr:cNvPr>
            <xdr:cNvGraphicFramePr/>
          </xdr:nvGraphicFramePr>
          <xdr:xfrm>
            <a:off x="0" y="0"/>
            <a:ext cx="0" cy="0"/>
          </xdr:xfrm>
          <a:graphic>
            <a:graphicData uri="http://schemas.microsoft.com/office/drawing/2010/slicer">
              <sle:slicer xmlns:sle="http://schemas.microsoft.com/office/drawing/2010/slicer" name="Insurance_Type 1"/>
            </a:graphicData>
          </a:graphic>
        </xdr:graphicFrame>
      </mc:Choice>
      <mc:Fallback xmlns="">
        <xdr:sp macro="" textlink="">
          <xdr:nvSpPr>
            <xdr:cNvPr id="0" name=""/>
            <xdr:cNvSpPr>
              <a:spLocks noTextEdit="1"/>
            </xdr:cNvSpPr>
          </xdr:nvSpPr>
          <xdr:spPr>
            <a:xfrm>
              <a:off x="1010739" y="2003644"/>
              <a:ext cx="2220638" cy="3480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270766</xdr:colOff>
      <xdr:row>24</xdr:row>
      <xdr:rowOff>40134</xdr:rowOff>
    </xdr:from>
    <xdr:to>
      <xdr:col>31</xdr:col>
      <xdr:colOff>581296</xdr:colOff>
      <xdr:row>36</xdr:row>
      <xdr:rowOff>169001</xdr:rowOff>
    </xdr:to>
    <mc:AlternateContent xmlns:mc="http://schemas.openxmlformats.org/markup-compatibility/2006" xmlns:a14="http://schemas.microsoft.com/office/drawing/2010/main">
      <mc:Choice Requires="a14">
        <xdr:graphicFrame macro="">
          <xdr:nvGraphicFramePr>
            <xdr:cNvPr id="38" name="Payment_Status 1">
              <a:extLst>
                <a:ext uri="{FF2B5EF4-FFF2-40B4-BE49-F238E27FC236}">
                  <a16:creationId xmlns:a16="http://schemas.microsoft.com/office/drawing/2014/main" id="{F1D213BA-AAC5-41C8-ADD4-3FE4613959F6}"/>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mlns="">
        <xdr:sp macro="" textlink="">
          <xdr:nvSpPr>
            <xdr:cNvPr id="0" name=""/>
            <xdr:cNvSpPr>
              <a:spLocks noTextEdit="1"/>
            </xdr:cNvSpPr>
          </xdr:nvSpPr>
          <xdr:spPr>
            <a:xfrm>
              <a:off x="17417671" y="4285563"/>
              <a:ext cx="2147494" cy="2255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271615</xdr:colOff>
      <xdr:row>10</xdr:row>
      <xdr:rowOff>126851</xdr:rowOff>
    </xdr:from>
    <xdr:to>
      <xdr:col>31</xdr:col>
      <xdr:colOff>532855</xdr:colOff>
      <xdr:row>23</xdr:row>
      <xdr:rowOff>77834</xdr:rowOff>
    </xdr:to>
    <mc:AlternateContent xmlns:mc="http://schemas.openxmlformats.org/markup-compatibility/2006" xmlns:a14="http://schemas.microsoft.com/office/drawing/2010/main">
      <mc:Choice Requires="a14">
        <xdr:graphicFrame macro="">
          <xdr:nvGraphicFramePr>
            <xdr:cNvPr id="39" name="City 1">
              <a:extLst>
                <a:ext uri="{FF2B5EF4-FFF2-40B4-BE49-F238E27FC236}">
                  <a16:creationId xmlns:a16="http://schemas.microsoft.com/office/drawing/2014/main" id="{136E1EC3-E541-47BA-A538-57AD293FF03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418520" y="1899590"/>
              <a:ext cx="2096299" cy="224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755335648" backgroundQuery="1" createdVersion="8" refreshedVersion="8" minRefreshableVersion="3" recordCount="0" supportSubquery="1" supportAdvancedDrill="1" xr:uid="{E21D5E68-3320-42EA-805E-2AC57CA6FC8C}">
  <cacheSource type="external" connectionId="1"/>
  <cacheFields count="4">
    <cacheField name="[Range].[Month Number].[Month Number]" caption="Month Number" numFmtId="0" hierarchy="3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Range].[Month Number].&amp;[1]"/>
            <x15:cachedUniqueName index="1" name="[Range].[Month Number].&amp;[2]"/>
            <x15:cachedUniqueName index="2" name="[Range].[Month Number].&amp;[3]"/>
            <x15:cachedUniqueName index="3" name="[Range].[Month Number].&amp;[4]"/>
            <x15:cachedUniqueName index="4" name="[Range].[Month Number].&amp;[5]"/>
            <x15:cachedUniqueName index="5" name="[Range].[Month Number].&amp;[6]"/>
            <x15:cachedUniqueName index="6" name="[Range].[Month Number].&amp;[7]"/>
            <x15:cachedUniqueName index="7" name="[Range].[Month Number].&amp;[8]"/>
            <x15:cachedUniqueName index="8" name="[Range].[Month Number].&amp;[9]"/>
            <x15:cachedUniqueName index="9" name="[Range].[Month Number].&amp;[10]"/>
            <x15:cachedUniqueName index="10" name="[Range].[Month Number].&amp;[11]"/>
            <x15:cachedUniqueName index="11" name="[Range].[Month Number].&amp;[12]"/>
          </x15:cachedUniqueNames>
        </ext>
      </extLst>
    </cacheField>
    <cacheField name="[Range].[Month].[Month]" caption="Month" numFmtId="0" hierarchy="34" level="1">
      <sharedItems count="12">
        <s v="Jan"/>
        <s v="Feb"/>
        <s v="Mar"/>
        <s v="Apr"/>
        <s v="May"/>
        <s v="Jun"/>
        <s v="Jul"/>
        <s v="Aug"/>
        <s v="Sep"/>
        <s v="Oct"/>
        <s v="Nov"/>
        <s v="Dec"/>
      </sharedItems>
    </cacheField>
    <cacheField name="[Measures].[Sum of Final_Bill]" caption="Sum of Final_Bill" numFmtId="0" hierarchy="45" level="32767"/>
    <cacheField name="[Range].[City].[City]" caption="City" numFmtId="0" hierarchy="20" level="1">
      <sharedItems containsSemiMixedTypes="0" containsNonDate="0" containsString="0"/>
    </cacheField>
  </cacheFields>
  <cacheHierarchies count="56">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3"/>
      </fieldsUsage>
    </cacheHierarchy>
    <cacheHierarchy uniqueName="[Range].[Visit_Type]" caption="Visit_Type" attribute="1" defaultMemberUniqueName="[Range].[Visit_Type].[All]" allUniqueName="[Range].[Visit_Typ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Month Number]" caption="Month Number" attribute="1" defaultMemberUniqueName="[Range].[Month Number].[All]" allUniqueName="[Range].[Month Number].[All]" dimensionUniqueName="[Range]" displayFolder="" count="2" memberValueDatatype="20" unbalanced="0">
      <fieldsUsage count="2">
        <fieldUsage x="-1"/>
        <fieldUsage x="0"/>
      </fieldsUsage>
    </cacheHierarchy>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hidden="1">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y uniqueName="[Measures].[Average of Patient_Satisfaction]" caption="Average of Patient_Satisfaction" measure="1" displayFolder="" measureGroup="Range" count="0" hidden="1">
      <extLst>
        <ext xmlns:x15="http://schemas.microsoft.com/office/spreadsheetml/2010/11/main" uri="{B97F6D7D-B522-45F9-BDA1-12C45D357490}">
          <x15:cacheHierarchy aggregatedColumn="32"/>
        </ext>
      </extLst>
    </cacheHierarchy>
  </cacheHierarchies>
  <kpis count="0"/>
  <dimensions count="4">
    <dimension name="Healthcare_Data" uniqueName="[Healthcare_Data]" caption="Healthcare_Data"/>
    <dimension measure="1" name="Measures" uniqueName="[Measures]" caption="Measures"/>
    <dimension name="Range" uniqueName="[Range]" caption="Range"/>
    <dimension name="Range 1" uniqueName="[Range 1]" caption="Range 1"/>
  </dimensions>
  <measureGroups count="3">
    <measureGroup name="Healthcare_Data" caption="Healthcare_Data"/>
    <measureGroup name="Range" caption="Range"/>
    <measureGroup name="Range 1" caption="Range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7553819442" backgroundQuery="1" createdVersion="8" refreshedVersion="8" minRefreshableVersion="3" recordCount="0" supportSubquery="1" supportAdvancedDrill="1" xr:uid="{6B560A6F-B2B5-4259-A9ED-4BD84A241964}">
  <cacheSource type="external" connectionId="1"/>
  <cacheFields count="3">
    <cacheField name="[Range].[Payment_Status].[Payment_Status]" caption="Payment_Status" numFmtId="0" hierarchy="31" level="1">
      <sharedItems count="3">
        <s v="Paid"/>
        <s v="Partially Paid"/>
        <s v="Pending"/>
      </sharedItems>
    </cacheField>
    <cacheField name="[Measures].[Sum of Final_Bill]" caption="Sum of Final_Bill" numFmtId="0" hierarchy="45" level="32767"/>
    <cacheField name="[Range].[City].[City]" caption="City" numFmtId="0" hierarchy="20" level="1">
      <sharedItems containsSemiMixedTypes="0" containsNonDate="0" containsString="0"/>
    </cacheField>
  </cacheFields>
  <cacheHierarchies count="56">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Visit_Type]" caption="Visit_Type" attribute="1" defaultMemberUniqueName="[Range].[Visit_Type].[All]" allUniqueName="[Range].[Visit_Typ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fieldsUsage count="2">
        <fieldUsage x="-1"/>
        <fieldUsage x="0"/>
      </fieldsUsage>
    </cacheHierarchy>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hidden="1">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y uniqueName="[Measures].[Average of Patient_Satisfaction]" caption="Average of Patient_Satisfaction" measure="1" displayFolder="" measureGroup="Range" count="0" hidden="1">
      <extLst>
        <ext xmlns:x15="http://schemas.microsoft.com/office/spreadsheetml/2010/11/main" uri="{B97F6D7D-B522-45F9-BDA1-12C45D357490}">
          <x15:cacheHierarchy aggregatedColumn="32"/>
        </ext>
      </extLst>
    </cacheHierarchy>
  </cacheHierarchies>
  <kpis count="0"/>
  <dimensions count="4">
    <dimension name="Healthcare_Data" uniqueName="[Healthcare_Data]" caption="Healthcare_Data"/>
    <dimension measure="1" name="Measures" uniqueName="[Measures]" caption="Measures"/>
    <dimension name="Range" uniqueName="[Range]" caption="Range"/>
    <dimension name="Range 1" uniqueName="[Range 1]" caption="Range 1"/>
  </dimensions>
  <measureGroups count="3">
    <measureGroup name="Healthcare_Data" caption="Healthcare_Data"/>
    <measureGroup name="Range" caption="Range"/>
    <measureGroup name="Range 1" caption="Range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7554166665" backgroundQuery="1" createdVersion="8" refreshedVersion="8" minRefreshableVersion="3" recordCount="0" supportSubquery="1" supportAdvancedDrill="1" xr:uid="{69181445-B351-41EF-8C52-FA78E19E6599}">
  <cacheSource type="external" connectionId="1"/>
  <cacheFields count="3">
    <cacheField name="[Measures].[Count of Patient_ID]" caption="Count of Patient_ID" numFmtId="0" hierarchy="47" level="32767"/>
    <cacheField name="[Range].[Department].[Department]" caption="Department" numFmtId="0" hierarchy="19" level="1">
      <sharedItems count="8">
        <s v="Cardiology"/>
        <s v="Dermatology"/>
        <s v="Emergency"/>
        <s v="General Medicine"/>
        <s v="Neurology"/>
        <s v="Oncology"/>
        <s v="Orthopedics"/>
        <s v="Pediatrics"/>
      </sharedItems>
    </cacheField>
    <cacheField name="[Range].[City].[City]" caption="City" numFmtId="0" hierarchy="20" level="1">
      <sharedItems containsSemiMixedTypes="0" containsNonDate="0" containsString="0"/>
    </cacheField>
  </cacheFields>
  <cacheHierarchies count="56">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Visit_Type]" caption="Visit_Type" attribute="1" defaultMemberUniqueName="[Range].[Visit_Type].[All]" allUniqueName="[Range].[Visit_Typ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hidden="1">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hidden="1">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y uniqueName="[Measures].[Average of Patient_Satisfaction]" caption="Average of Patient_Satisfaction" measure="1" displayFolder="" measureGroup="Range" count="0" hidden="1">
      <extLst>
        <ext xmlns:x15="http://schemas.microsoft.com/office/spreadsheetml/2010/11/main" uri="{B97F6D7D-B522-45F9-BDA1-12C45D357490}">
          <x15:cacheHierarchy aggregatedColumn="32"/>
        </ext>
      </extLst>
    </cacheHierarchy>
  </cacheHierarchies>
  <kpis count="0"/>
  <dimensions count="4">
    <dimension name="Healthcare_Data" uniqueName="[Healthcare_Data]" caption="Healthcare_Data"/>
    <dimension measure="1" name="Measures" uniqueName="[Measures]" caption="Measures"/>
    <dimension name="Range" uniqueName="[Range]" caption="Range"/>
    <dimension name="Range 1" uniqueName="[Range 1]" caption="Range 1"/>
  </dimensions>
  <measureGroups count="3">
    <measureGroup name="Healthcare_Data" caption="Healthcare_Data"/>
    <measureGroup name="Range" caption="Range"/>
    <measureGroup name="Range 1" caption="Range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7554513888" backgroundQuery="1" createdVersion="8" refreshedVersion="8" minRefreshableVersion="3" recordCount="0" supportSubquery="1" supportAdvancedDrill="1" xr:uid="{DE457B32-F057-4711-8D70-81D82975A798}">
  <cacheSource type="external" connectionId="1"/>
  <cacheFields count="3">
    <cacheField name="[Range].[Diagnosis].[Diagnosis]" caption="Diagnosis" numFmtId="0" hierarchy="24" level="1">
      <sharedItems count="8">
        <s v="Cancer"/>
        <s v="Diabetes"/>
        <s v="Fracture"/>
        <s v="Heart Disease"/>
        <s v="Hypertension"/>
        <s v="Migraine"/>
        <s v="Respiratory Infection"/>
        <s v="Skin Infection"/>
      </sharedItems>
    </cacheField>
    <cacheField name="[Measures].[Count of Patient_ID]" caption="Count of Patient_ID" numFmtId="0" hierarchy="47" level="32767"/>
    <cacheField name="[Range].[City].[City]" caption="City" numFmtId="0" hierarchy="20" level="1">
      <sharedItems containsSemiMixedTypes="0" containsNonDate="0" containsString="0"/>
    </cacheField>
  </cacheFields>
  <cacheHierarchies count="56">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Visit_Type]" caption="Visit_Type" attribute="1" defaultMemberUniqueName="[Range].[Visit_Type].[All]" allUniqueName="[Range].[Visit_Typ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2" memberValueDatatype="130" unbalanced="0">
      <fieldsUsage count="2">
        <fieldUsage x="-1"/>
        <fieldUsage x="0"/>
      </fieldsUsage>
    </cacheHierarchy>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hidden="1">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hidden="1">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y uniqueName="[Measures].[Average of Patient_Satisfaction]" caption="Average of Patient_Satisfaction" measure="1" displayFolder="" measureGroup="Range" count="0" hidden="1">
      <extLst>
        <ext xmlns:x15="http://schemas.microsoft.com/office/spreadsheetml/2010/11/main" uri="{B97F6D7D-B522-45F9-BDA1-12C45D357490}">
          <x15:cacheHierarchy aggregatedColumn="32"/>
        </ext>
      </extLst>
    </cacheHierarchy>
  </cacheHierarchies>
  <kpis count="0"/>
  <dimensions count="4">
    <dimension name="Healthcare_Data" uniqueName="[Healthcare_Data]" caption="Healthcare_Data"/>
    <dimension measure="1" name="Measures" uniqueName="[Measures]" caption="Measures"/>
    <dimension name="Range" uniqueName="[Range]" caption="Range"/>
    <dimension name="Range 1" uniqueName="[Range 1]" caption="Range 1"/>
  </dimensions>
  <measureGroups count="3">
    <measureGroup name="Healthcare_Data" caption="Healthcare_Data"/>
    <measureGroup name="Range" caption="Range"/>
    <measureGroup name="Range 1" caption="Range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7554861112" backgroundQuery="1" createdVersion="8" refreshedVersion="8" minRefreshableVersion="3" recordCount="0" supportSubquery="1" supportAdvancedDrill="1" xr:uid="{29664D5E-1C96-4E45-8D3E-7A93E69BD699}">
  <cacheSource type="external" connectionId="1"/>
  <cacheFields count="4">
    <cacheField name="[Range].[Insurance_Type].[Insurance_Type]" caption="Insurance_Type" numFmtId="0" hierarchy="26" level="1">
      <sharedItems count="5">
        <s v="Corporate Insurance"/>
        <s v="Government Insurance"/>
        <s v="Private Insurance"/>
        <s v="Self Pay"/>
        <s v="Unknown"/>
      </sharedItems>
    </cacheField>
    <cacheField name="[Measures].[Count of Patient_ID]" caption="Count of Patient_ID" numFmtId="0" hierarchy="47" level="32767"/>
    <cacheField name="[Measures].[Sum of Final_Bill]" caption="Sum of Final_Bill" numFmtId="0" hierarchy="45" level="32767"/>
    <cacheField name="[Range].[City].[City]" caption="City" numFmtId="0" hierarchy="20" level="1">
      <sharedItems containsSemiMixedTypes="0" containsNonDate="0" containsString="0"/>
    </cacheField>
  </cacheFields>
  <cacheHierarchies count="56">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3"/>
      </fieldsUsage>
    </cacheHierarchy>
    <cacheHierarchy uniqueName="[Range].[Visit_Type]" caption="Visit_Type" attribute="1" defaultMemberUniqueName="[Range].[Visit_Type].[All]" allUniqueName="[Range].[Visit_Typ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fieldsUsage count="2">
        <fieldUsage x="-1"/>
        <fieldUsage x="0"/>
      </fieldsUsage>
    </cacheHierarchy>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hidden="1">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y uniqueName="[Measures].[Average of Patient_Satisfaction]" caption="Average of Patient_Satisfaction" measure="1" displayFolder="" measureGroup="Range" count="0" hidden="1">
      <extLst>
        <ext xmlns:x15="http://schemas.microsoft.com/office/spreadsheetml/2010/11/main" uri="{B97F6D7D-B522-45F9-BDA1-12C45D357490}">
          <x15:cacheHierarchy aggregatedColumn="32"/>
        </ext>
      </extLst>
    </cacheHierarchy>
  </cacheHierarchies>
  <kpis count="0"/>
  <dimensions count="4">
    <dimension name="Healthcare_Data" uniqueName="[Healthcare_Data]" caption="Healthcare_Data"/>
    <dimension measure="1" name="Measures" uniqueName="[Measures]" caption="Measures"/>
    <dimension name="Range" uniqueName="[Range]" caption="Range"/>
    <dimension name="Range 1" uniqueName="[Range 1]" caption="Range 1"/>
  </dimensions>
  <measureGroups count="3">
    <measureGroup name="Healthcare_Data" caption="Healthcare_Data"/>
    <measureGroup name="Range" caption="Range"/>
    <measureGroup name="Range 1" caption="Range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7555208335" backgroundQuery="1" createdVersion="8" refreshedVersion="8" minRefreshableVersion="3" recordCount="0" supportSubquery="1" supportAdvancedDrill="1" xr:uid="{A6FE7473-DD8C-4360-9A00-4E15339FC8A7}">
  <cacheSource type="external" connectionId="1"/>
  <cacheFields count="3">
    <cacheField name="[Measures].[Count of Patient_ID]" caption="Count of Patient_ID" numFmtId="0" hierarchy="47" level="32767"/>
    <cacheField name="[Range].[Visit_Type].[Visit_Type]" caption="Visit_Type" numFmtId="0" hierarchy="21" level="1">
      <sharedItems count="3">
        <s v="Emergency"/>
        <s v="IPD"/>
        <s v="OPD"/>
      </sharedItems>
    </cacheField>
    <cacheField name="[Range].[City].[City]" caption="City" numFmtId="0" hierarchy="20" level="1">
      <sharedItems containsSemiMixedTypes="0" containsNonDate="0" containsString="0"/>
    </cacheField>
  </cacheFields>
  <cacheHierarchies count="56">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Visit_Type]" caption="Visit_Type" attribute="1" defaultMemberUniqueName="[Range].[Visit_Type].[All]" allUniqueName="[Range].[Visit_Type].[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hidden="1">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hidden="1">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y uniqueName="[Measures].[Average of Patient_Satisfaction]" caption="Average of Patient_Satisfaction" measure="1" displayFolder="" measureGroup="Range" count="0" hidden="1">
      <extLst>
        <ext xmlns:x15="http://schemas.microsoft.com/office/spreadsheetml/2010/11/main" uri="{B97F6D7D-B522-45F9-BDA1-12C45D357490}">
          <x15:cacheHierarchy aggregatedColumn="32"/>
        </ext>
      </extLst>
    </cacheHierarchy>
  </cacheHierarchies>
  <kpis count="0"/>
  <dimensions count="4">
    <dimension name="Healthcare_Data" uniqueName="[Healthcare_Data]" caption="Healthcare_Data"/>
    <dimension measure="1" name="Measures" uniqueName="[Measures]" caption="Measures"/>
    <dimension name="Range" uniqueName="[Range]" caption="Range"/>
    <dimension name="Range 1" uniqueName="[Range 1]" caption="Range 1"/>
  </dimensions>
  <measureGroups count="3">
    <measureGroup name="Healthcare_Data" caption="Healthcare_Data"/>
    <measureGroup name="Range" caption="Range"/>
    <measureGroup name="Range 1" caption="Range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7555555558" backgroundQuery="1" createdVersion="8" refreshedVersion="8" minRefreshableVersion="3" recordCount="0" supportSubquery="1" supportAdvancedDrill="1" xr:uid="{F67BF755-C40E-4FF6-B35A-E906CCD6930A}">
  <cacheSource type="external" connectionId="1"/>
  <cacheFields count="3">
    <cacheField name="[Range].[Department].[Department]" caption="Department" numFmtId="0" hierarchy="19" level="1">
      <sharedItems count="8">
        <s v="Cardiology"/>
        <s v="Dermatology"/>
        <s v="Emergency"/>
        <s v="General Medicine"/>
        <s v="Neurology"/>
        <s v="Oncology"/>
        <s v="Orthopedics"/>
        <s v="Pediatrics"/>
      </sharedItems>
    </cacheField>
    <cacheField name="[Measures].[Average of Wait_Time_Minutes]" caption="Average of Wait_Time_Minutes" numFmtId="0" hierarchy="49" level="32767"/>
    <cacheField name="[Range].[City].[City]" caption="City" numFmtId="0" hierarchy="20" level="1">
      <sharedItems containsSemiMixedTypes="0" containsNonDate="0" containsString="0"/>
    </cacheField>
  </cacheFields>
  <cacheHierarchies count="56">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Visit_Type]" caption="Visit_Type" attribute="1" defaultMemberUniqueName="[Range].[Visit_Type].[All]" allUniqueName="[Range].[Visit_Typ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hidden="1">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hidden="1">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y uniqueName="[Measures].[Average of Patient_Satisfaction]" caption="Average of Patient_Satisfaction" measure="1" displayFolder="" measureGroup="Range" count="0" hidden="1">
      <extLst>
        <ext xmlns:x15="http://schemas.microsoft.com/office/spreadsheetml/2010/11/main" uri="{B97F6D7D-B522-45F9-BDA1-12C45D357490}">
          <x15:cacheHierarchy aggregatedColumn="32"/>
        </ext>
      </extLst>
    </cacheHierarchy>
  </cacheHierarchies>
  <kpis count="0"/>
  <dimensions count="4">
    <dimension name="Healthcare_Data" uniqueName="[Healthcare_Data]" caption="Healthcare_Data"/>
    <dimension measure="1" name="Measures" uniqueName="[Measures]" caption="Measures"/>
    <dimension name="Range" uniqueName="[Range]" caption="Range"/>
    <dimension name="Range 1" uniqueName="[Range 1]" caption="Range 1"/>
  </dimensions>
  <measureGroups count="3">
    <measureGroup name="Healthcare_Data" caption="Healthcare_Data"/>
    <measureGroup name="Range" caption="Range"/>
    <measureGroup name="Range 1" caption="Range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755601852" backgroundQuery="1" createdVersion="8" refreshedVersion="8" minRefreshableVersion="3" recordCount="0" supportSubquery="1" supportAdvancedDrill="1" xr:uid="{060F5BEC-653D-4BB0-8340-A2105DB62648}">
  <cacheSource type="external" connectionId="1"/>
  <cacheFields count="3">
    <cacheField name="[Range].[Department].[Department]" caption="Department" numFmtId="0" hierarchy="19" level="1">
      <sharedItems count="8">
        <s v="Cardiology"/>
        <s v="Dermatology"/>
        <s v="Emergency"/>
        <s v="General Medicine"/>
        <s v="Neurology"/>
        <s v="Oncology"/>
        <s v="Orthopedics"/>
        <s v="Pediatrics"/>
      </sharedItems>
    </cacheField>
    <cacheField name="[Measures].[Sum of Final_Bill]" caption="Sum of Final_Bill" numFmtId="0" hierarchy="45" level="32767"/>
    <cacheField name="[Range].[City].[City]" caption="City" numFmtId="0" hierarchy="20" level="1">
      <sharedItems containsSemiMixedTypes="0" containsNonDate="0" containsString="0"/>
    </cacheField>
  </cacheFields>
  <cacheHierarchies count="56">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Visit_Type]" caption="Visit_Type" attribute="1" defaultMemberUniqueName="[Range].[Visit_Type].[All]" allUniqueName="[Range].[Visit_Typ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hidden="1">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y uniqueName="[Measures].[Average of Patient_Satisfaction]" caption="Average of Patient_Satisfaction" measure="1" displayFolder="" measureGroup="Range" count="0" hidden="1">
      <extLst>
        <ext xmlns:x15="http://schemas.microsoft.com/office/spreadsheetml/2010/11/main" uri="{B97F6D7D-B522-45F9-BDA1-12C45D357490}">
          <x15:cacheHierarchy aggregatedColumn="32"/>
        </ext>
      </extLst>
    </cacheHierarchy>
  </cacheHierarchies>
  <kpis count="0"/>
  <dimensions count="4">
    <dimension name="Healthcare_Data" uniqueName="[Healthcare_Data]" caption="Healthcare_Data"/>
    <dimension measure="1" name="Measures" uniqueName="[Measures]" caption="Measures"/>
    <dimension name="Range" uniqueName="[Range]" caption="Range"/>
    <dimension name="Range 1" uniqueName="[Range 1]" caption="Range 1"/>
  </dimensions>
  <measureGroups count="3">
    <measureGroup name="Healthcare_Data" caption="Healthcare_Data"/>
    <measureGroup name="Range" caption="Range"/>
    <measureGroup name="Range 1" caption="Range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7556249997" backgroundQuery="1" createdVersion="8" refreshedVersion="8" minRefreshableVersion="3" recordCount="0" supportSubquery="1" supportAdvancedDrill="1" xr:uid="{73A08F71-6B6D-4A22-96E9-00C797B4CB4C}">
  <cacheSource type="external" connectionId="1"/>
  <cacheFields count="7">
    <cacheField name="[Measures].[Count of Patient_ID]" caption="Count of Patient_ID" numFmtId="0" hierarchy="47" level="32767"/>
    <cacheField name="[Range].[Visit_Type].[Visit_Type]" caption="Visit_Type" numFmtId="0" hierarchy="21" level="1">
      <sharedItems count="3">
        <s v="Emergency"/>
        <s v="IPD"/>
        <s v="OPD"/>
      </sharedItems>
    </cacheField>
    <cacheField name="[Measures].[Sum of Final_Bill]" caption="Sum of Final_Bill" numFmtId="0" hierarchy="45" level="32767"/>
    <cacheField name="[Measures].[Average of Final_Bill]" caption="Average of Final_Bill" numFmtId="0" hierarchy="50" level="32767"/>
    <cacheField name="[Measures].[Average of Wait_Time_Minutes]" caption="Average of Wait_Time_Minutes" numFmtId="0" hierarchy="49" level="32767"/>
    <cacheField name="[Measures].[Average of Patient_Satisfaction]" caption="Average of Patient_Satisfaction" numFmtId="0" hierarchy="55" level="32767"/>
    <cacheField name="[Range].[City].[City]" caption="City" numFmtId="0" hierarchy="20" level="1">
      <sharedItems containsSemiMixedTypes="0" containsNonDate="0" containsString="0"/>
    </cacheField>
  </cacheFields>
  <cacheHierarchies count="56">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6"/>
      </fieldsUsage>
    </cacheHierarchy>
    <cacheHierarchy uniqueName="[Range].[Visit_Type]" caption="Visit_Type" attribute="1" defaultMemberUniqueName="[Range].[Visit_Type].[All]" allUniqueName="[Range].[Visit_Type].[All]" dimensionUniqueName="[Range]" displayFolder="" count="2" memberValueDatatype="130" unbalanced="0">
      <fieldsUsage count="2">
        <fieldUsage x="-1"/>
        <fieldUsage x="1"/>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oneField="1" hidden="1">
      <fieldsUsage count="1">
        <fieldUsage x="4"/>
      </fieldsUsage>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oneField="1" hidden="1">
      <fieldsUsage count="1">
        <fieldUsage x="3"/>
      </fieldsUsage>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y uniqueName="[Measures].[Average of Patient_Satisfaction]" caption="Average of Patient_Satisfaction" measure="1" displayFolder="" measureGroup="Range" count="0" oneField="1" hidden="1">
      <fieldsUsage count="1">
        <fieldUsage x="5"/>
      </fieldsUsage>
      <extLst>
        <ext xmlns:x15="http://schemas.microsoft.com/office/spreadsheetml/2010/11/main" uri="{B97F6D7D-B522-45F9-BDA1-12C45D357490}">
          <x15:cacheHierarchy aggregatedColumn="32"/>
        </ext>
      </extLst>
    </cacheHierarchy>
  </cacheHierarchies>
  <kpis count="0"/>
  <dimensions count="4">
    <dimension name="Healthcare_Data" uniqueName="[Healthcare_Data]" caption="Healthcare_Data"/>
    <dimension measure="1" name="Measures" uniqueName="[Measures]" caption="Measures"/>
    <dimension name="Range" uniqueName="[Range]" caption="Range"/>
    <dimension name="Range 1" uniqueName="[Range 1]" caption="Range 1"/>
  </dimensions>
  <measureGroups count="3">
    <measureGroup name="Healthcare_Data" caption="Healthcare_Data"/>
    <measureGroup name="Range" caption="Range"/>
    <measureGroup name="Range 1" caption="Range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wini Bingi" refreshedDate="46293.601928472221" backgroundQuery="1" createdVersion="3" refreshedVersion="8" minRefreshableVersion="3" recordCount="0" supportSubquery="1" supportAdvancedDrill="1" xr:uid="{98F6CF54-C4C2-4BAA-BF64-BFE1AA489CA6}">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Healthcare_Data].[Patient_ID]" caption="Patient_ID" attribute="1" defaultMemberUniqueName="[Healthcare_Data].[Patient_ID].[All]" allUniqueName="[Healthcare_Data].[Patient_ID].[All]" dimensionUniqueName="[Healthcare_Data]" displayFolder="" count="0" memberValueDatatype="130" unbalanced="0"/>
    <cacheHierarchy uniqueName="[Healthcare_Data].[Visit_Date]" caption="Visit_Date" attribute="1" time="1" defaultMemberUniqueName="[Healthcare_Data].[Visit_Date].[All]" allUniqueName="[Healthcare_Data].[Visit_Date].[All]" dimensionUniqueName="[Healthcare_Data]" displayFolder="" count="0" memberValueDatatype="7" unbalanced="0"/>
    <cacheHierarchy uniqueName="[Healthcare_Data].[Department]" caption="Department" attribute="1" defaultMemberUniqueName="[Healthcare_Data].[Department].[All]" allUniqueName="[Healthcare_Data].[Department].[All]" dimensionUniqueName="[Healthcare_Data]" displayFolder="" count="0" memberValueDatatype="130" unbalanced="0"/>
    <cacheHierarchy uniqueName="[Healthcare_Data].[City]" caption="City" attribute="1" defaultMemberUniqueName="[Healthcare_Data].[City].[All]" allUniqueName="[Healthcare_Data].[City].[All]" dimensionUniqueName="[Healthcare_Data]" displayFolder="" count="0" memberValueDatatype="130" unbalanced="0"/>
    <cacheHierarchy uniqueName="[Healthcare_Data].[Visit_Type]" caption="Visit_Type" attribute="1" defaultMemberUniqueName="[Healthcare_Data].[Visit_Type].[All]" allUniqueName="[Healthcare_Data].[Visit_Type].[All]" dimensionUniqueName="[Healthcare_Data]" displayFolder="" count="0" memberValueDatatype="130" unbalanced="0"/>
    <cacheHierarchy uniqueName="[Healthcare_Data].[Gender]" caption="Gender" attribute="1" defaultMemberUniqueName="[Healthcare_Data].[Gender].[All]" allUniqueName="[Healthcare_Data].[Gender].[All]" dimensionUniqueName="[Healthcare_Data]" displayFolder="" count="0" memberValueDatatype="130" unbalanced="0"/>
    <cacheHierarchy uniqueName="[Healthcare_Data].[Age]" caption="Age" attribute="1" defaultMemberUniqueName="[Healthcare_Data].[Age].[All]" allUniqueName="[Healthcare_Data].[Age].[All]" dimensionUniqueName="[Healthcare_Data]" displayFolder="" count="0" memberValueDatatype="20" unbalanced="0"/>
    <cacheHierarchy uniqueName="[Healthcare_Data].[Diagnosis]" caption="Diagnosis" attribute="1" defaultMemberUniqueName="[Healthcare_Data].[Diagnosis].[All]" allUniqueName="[Healthcare_Data].[Diagnosis].[All]" dimensionUniqueName="[Healthcare_Data]" displayFolder="" count="0" memberValueDatatype="130" unbalanced="0"/>
    <cacheHierarchy uniqueName="[Healthcare_Data].[Doctor]" caption="Doctor" attribute="1" defaultMemberUniqueName="[Healthcare_Data].[Doctor].[All]" allUniqueName="[Healthcare_Data].[Doctor].[All]" dimensionUniqueName="[Healthcare_Data]" displayFolder="" count="0" memberValueDatatype="130" unbalanced="0"/>
    <cacheHierarchy uniqueName="[Healthcare_Data].[Insurance_Type]" caption="Insurance_Type" attribute="1" defaultMemberUniqueName="[Healthcare_Data].[Insurance_Type].[All]" allUniqueName="[Healthcare_Data].[Insurance_Type].[All]" dimensionUniqueName="[Healthcare_Data]" displayFolder="" count="0" memberValueDatatype="130" unbalanced="0"/>
    <cacheHierarchy uniqueName="[Healthcare_Data].[Length_of_Stay_Days]" caption="Length_of_Stay_Days" attribute="1" defaultMemberUniqueName="[Healthcare_Data].[Length_of_Stay_Days].[All]" allUniqueName="[Healthcare_Data].[Length_of_Stay_Days].[All]" dimensionUniqueName="[Healthcare_Data]" displayFolder="" count="0" memberValueDatatype="20" unbalanced="0"/>
    <cacheHierarchy uniqueName="[Healthcare_Data].[Treatment_Cost]" caption="Treatment_Cost" attribute="1" defaultMemberUniqueName="[Healthcare_Data].[Treatment_Cost].[All]" allUniqueName="[Healthcare_Data].[Treatment_Cost].[All]" dimensionUniqueName="[Healthcare_Data]" displayFolder="" count="0" memberValueDatatype="20" unbalanced="0"/>
    <cacheHierarchy uniqueName="[Healthcare_Data].[Discount]" caption="Discount" attribute="1" defaultMemberUniqueName="[Healthcare_Data].[Discount].[All]" allUniqueName="[Healthcare_Data].[Discount].[All]" dimensionUniqueName="[Healthcare_Data]" displayFolder="" count="0" memberValueDatatype="20" unbalanced="0"/>
    <cacheHierarchy uniqueName="[Healthcare_Data].[Final_Bill]" caption="Final_Bill" attribute="1" defaultMemberUniqueName="[Healthcare_Data].[Final_Bill].[All]" allUniqueName="[Healthcare_Data].[Final_Bill].[All]" dimensionUniqueName="[Healthcare_Data]" displayFolder="" count="0" memberValueDatatype="20" unbalanced="0"/>
    <cacheHierarchy uniqueName="[Healthcare_Data].[Payment_Status]" caption="Payment_Status" attribute="1" defaultMemberUniqueName="[Healthcare_Data].[Payment_Status].[All]" allUniqueName="[Healthcare_Data].[Payment_Status].[All]" dimensionUniqueName="[Healthcare_Data]" displayFolder="" count="0" memberValueDatatype="130" unbalanced="0"/>
    <cacheHierarchy uniqueName="[Healthcare_Data].[Patient_Satisfaction]" caption="Patient_Satisfaction" attribute="1" defaultMemberUniqueName="[Healthcare_Data].[Patient_Satisfaction].[All]" allUniqueName="[Healthcare_Data].[Patient_Satisfaction].[All]" dimensionUniqueName="[Healthcare_Data]" displayFolder="" count="0" memberValueDatatype="130" unbalanced="0"/>
    <cacheHierarchy uniqueName="[Healthcare_Data].[Wait_Time_Minutes]" caption="Wait_Time_Minutes" attribute="1" defaultMemberUniqueName="[Healthcare_Data].[Wait_Time_Minutes].[All]" allUniqueName="[Healthcare_Data].[Wait_Time_Minutes].[All]" dimensionUniqueName="[Healthcare_Data]" displayFolder="" count="0" memberValueDatatype="20" unbalanced="0"/>
    <cacheHierarchy uniqueName="[Range].[Patient_ID]" caption="Patient_ID" attribute="1" defaultMemberUniqueName="[Range].[Patient_ID].[All]" allUniqueName="[Range].[Patient_ID].[All]" dimensionUniqueName="[Range]" displayFolder="" count="0" memberValueDatatype="130" unbalanced="0"/>
    <cacheHierarchy uniqueName="[Range].[Visit_Date]" caption="Visit_Date" attribute="1" time="1" defaultMemberUniqueName="[Range].[Visit_Date].[All]" allUniqueName="[Range].[Visit_Date].[All]" dimensionUniqueName="[Range]" displayFolder="" count="0" memberValueDatatype="7" unbalanced="0"/>
    <cacheHierarchy uniqueName="[Range].[Department]" caption="Department" attribute="1" defaultMemberUniqueName="[Range].[Department].[All]" allUniqueName="[Range].[Depart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Visit_Type]" caption="Visit_Type" attribute="1" defaultMemberUniqueName="[Range].[Visit_Type].[All]" allUniqueName="[Range].[Visit_Type].[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iagnosis]" caption="Diagnosis" attribute="1" defaultMemberUniqueName="[Range].[Diagnosis].[All]" allUniqueName="[Range].[Diagnosis].[All]" dimensionUniqueName="[Range]" displayFolder="" count="0" memberValueDatatype="130" unbalanced="0"/>
    <cacheHierarchy uniqueName="[Range].[Doctor]" caption="Doctor" attribute="1" defaultMemberUniqueName="[Range].[Doctor].[All]" allUniqueName="[Range].[Doctor].[All]" dimensionUniqueName="[Range]" displayFolder="" count="0" memberValueDatatype="130" unbalanced="0"/>
    <cacheHierarchy uniqueName="[Range].[Insurance_Type]" caption="Insurance_Type" attribute="1" defaultMemberUniqueName="[Range].[Insurance_Type].[All]" allUniqueName="[Range].[Insurance_Type].[All]" dimensionUniqueName="[Range]" displayFolder="" count="2" memberValueDatatype="130" unbalanced="0"/>
    <cacheHierarchy uniqueName="[Range].[Length_of_Stay_Days]" caption="Length_of_Stay_Days" attribute="1" defaultMemberUniqueName="[Range].[Length_of_Stay_Days].[All]" allUniqueName="[Range].[Length_of_Stay_Days].[All]" dimensionUniqueName="[Range]" displayFolder="" count="0" memberValueDatatype="20" unbalanced="0"/>
    <cacheHierarchy uniqueName="[Range].[Treatment_Cost]" caption="Treatment_Cost" attribute="1" defaultMemberUniqueName="[Range].[Treatment_Cost].[All]" allUniqueName="[Range].[Treatment_Cost].[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Final_Bill]" caption="Final_Bill" attribute="1" defaultMemberUniqueName="[Range].[Final_Bill].[All]" allUniqueName="[Range].[Final_Bill].[All]" dimensionUniqueName="[Range]" displayFolder="" count="0" memberValueDatatype="20" unbalanced="0"/>
    <cacheHierarchy uniqueName="[Range].[Payment_Status]" caption="Payment_Status" attribute="1" defaultMemberUniqueName="[Range].[Payment_Status].[All]" allUniqueName="[Range].[Payment_Status].[All]" dimensionUniqueName="[Range]" displayFolder="" count="2" memberValueDatatype="130" unbalanced="0"/>
    <cacheHierarchy uniqueName="[Range].[Patient_Satisfaction]" caption="Patient_Satisfaction" attribute="1" defaultMemberUniqueName="[Range].[Patient_Satisfaction].[All]" allUniqueName="[Range].[Patient_Satisfaction].[All]" dimensionUniqueName="[Range]" displayFolder="" count="0" memberValueDatatype="5" unbalanced="0"/>
    <cacheHierarchy uniqueName="[Range].[Wait_Time_Minutes]" caption="Wait_Time_Minutes" attribute="1" defaultMemberUniqueName="[Range].[Wait_Time_Minutes].[All]" allUniqueName="[Range].[Wait_Time_Minutes].[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Number]" caption="Month Number" attribute="1" defaultMemberUniqueName="[Range].[Month Number].[All]" allUniqueName="[Range].[Month Number].[All]" dimensionUniqueName="[Range]" displayFolder="" count="0" memberValueDatatype="20" unbalanced="0"/>
    <cacheHierarchy uniqueName="[Range].[Revenue Category]" caption="Revenue Category" attribute="1" defaultMemberUniqueName="[Range].[Revenue Category].[All]" allUniqueName="[Range].[Revenue Category].[All]" dimensionUniqueName="[Range]" displayFolder="" count="0" memberValueDatatype="130" unbalanced="0"/>
    <cacheHierarchy uniqueName="[Range].[Visit_Date (Month)]" caption="Visit_Date (Month)" attribute="1" defaultMemberUniqueName="[Range].[Visit_Date (Month)].[All]" allUniqueName="[Range].[Visit_Date (Month)].[All]" dimensionUniqueName="[Range]" displayFolder="" count="0" memberValueDatatype="130" unbalanced="0"/>
    <cacheHierarchy uniqueName="[Range 1].[KPI]" caption="KPI" attribute="1" defaultMemberUniqueName="[Range 1].[KPI].[All]" allUniqueName="[Range 1].[KPI].[All]" dimensionUniqueName="[Range 1]" displayFolder="" count="0" memberValueDatatype="130" unbalanced="0"/>
    <cacheHierarchy uniqueName="[Range 1].[Value]" caption="Value" attribute="1" defaultMemberUniqueName="[Range 1].[Value].[All]" allUniqueName="[Range 1].[Value].[All]" dimensionUniqueName="[Range 1]" displayFolder="" count="0" memberValueDatatype="5" unbalanced="0"/>
    <cacheHierarchy uniqueName="[Range].[Visit_Date (Month Index)]" caption="Visit_Date (Month Index)" attribute="1" defaultMemberUniqueName="[Range].[Visit_Date (Month Index)].[All]" allUniqueName="[Range].[Visit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Healthcare_Data]" caption="__XL_Count Healthcare_Data" measure="1" displayFolder="" measureGroup="Healthcare_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Final_Bill]" caption="Sum of Final_Bill" measure="1" displayFolder="" measureGroup="Range" count="0" hidden="1">
      <extLst>
        <ext xmlns:x15="http://schemas.microsoft.com/office/spreadsheetml/2010/11/main" uri="{B97F6D7D-B522-45F9-BDA1-12C45D357490}">
          <x15:cacheHierarchy aggregatedColumn="30"/>
        </ext>
      </extLst>
    </cacheHierarchy>
    <cacheHierarchy uniqueName="[Measures].[Sum of Month Number]" caption="Sum of Month Number" measure="1" displayFolder="" measureGroup="Range" count="0" hidden="1">
      <extLst>
        <ext xmlns:x15="http://schemas.microsoft.com/office/spreadsheetml/2010/11/main" uri="{B97F6D7D-B522-45F9-BDA1-12C45D357490}">
          <x15:cacheHierarchy aggregatedColumn="35"/>
        </ext>
      </extLst>
    </cacheHierarchy>
    <cacheHierarchy uniqueName="[Measures].[Count of Patient_ID]" caption="Count of Patient_ID" measure="1" displayFolder="" measureGroup="Range" count="0" hidden="1">
      <extLst>
        <ext xmlns:x15="http://schemas.microsoft.com/office/spreadsheetml/2010/11/main" uri="{B97F6D7D-B522-45F9-BDA1-12C45D357490}">
          <x15:cacheHierarchy aggregatedColumn="17"/>
        </ext>
      </extLst>
    </cacheHierarchy>
    <cacheHierarchy uniqueName="[Measures].[Sum of Wait_Time_Minutes]" caption="Sum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Wait_Time_Minutes]" caption="Average of Wait_Time_Minutes" measure="1" displayFolder="" measureGroup="Range" count="0" hidden="1">
      <extLst>
        <ext xmlns:x15="http://schemas.microsoft.com/office/spreadsheetml/2010/11/main" uri="{B97F6D7D-B522-45F9-BDA1-12C45D357490}">
          <x15:cacheHierarchy aggregatedColumn="33"/>
        </ext>
      </extLst>
    </cacheHierarchy>
    <cacheHierarchy uniqueName="[Measures].[Average of Final_Bill]" caption="Average of Final_Bill" measure="1" displayFolder="" measureGroup="Range" count="0" hidden="1">
      <extLst>
        <ext xmlns:x15="http://schemas.microsoft.com/office/spreadsheetml/2010/11/main" uri="{B97F6D7D-B522-45F9-BDA1-12C45D357490}">
          <x15:cacheHierarchy aggregatedColumn="30"/>
        </ext>
      </extLst>
    </cacheHierarchy>
    <cacheHierarchy uniqueName="[Measures].[Count of Patient_Satisfaction]" caption="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Distinct Count of Patient_Satisfaction]" caption="Distinct Count of Patient_Satisfaction" measure="1" displayFolder="" measureGroup="Range" count="0" hidden="1">
      <extLst>
        <ext xmlns:x15="http://schemas.microsoft.com/office/spreadsheetml/2010/11/main" uri="{B97F6D7D-B522-45F9-BDA1-12C45D357490}">
          <x15:cacheHierarchy aggregatedColumn="32"/>
        </ext>
      </extLst>
    </cacheHierarchy>
    <cacheHierarchy uniqueName="[Measures].[Count of Patient_Satisfaction 2]" caption="Count of Patient_Satisfaction 2" measure="1" displayFolder="" measureGroup="Healthcare_Data" count="0" hidden="1">
      <extLst>
        <ext xmlns:x15="http://schemas.microsoft.com/office/spreadsheetml/2010/11/main" uri="{B97F6D7D-B522-45F9-BDA1-12C45D357490}">
          <x15:cacheHierarchy aggregatedColumn="15"/>
        </ext>
      </extLst>
    </cacheHierarchy>
    <cacheHierarchy uniqueName="[Measures].[Sum of Value]" caption="Sum of Value" measure="1" displayFolder="" measureGroup="Range 1"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7059602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E06171-BE52-429B-9A58-80DB62B0F709}" name="Pivot_Department" cacheId="18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B1005:C101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Total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T$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250A57-2AB1-4C0E-962B-C600531B55B3}" name="kpi" cacheId="1849" applyNumberFormats="0" applyBorderFormats="0" applyFontFormats="0" applyPatternFormats="0" applyAlignmentFormats="0" applyWidthHeightFormats="1" dataCaption="Values" tag="5a6a1bbd-886a-45d4-a302-de3bd5b4ad8c" updatedVersion="8" minRefreshableVersion="3" useAutoFormatting="1" subtotalHiddenItems="1" itemPrintTitles="1" createdVersion="8" indent="0" outline="1" outlineData="1" multipleFieldFilters="0" chartFormat="8">
  <location ref="A41:F45" firstHeaderRow="0" firstDataRow="1" firstDataCol="1"/>
  <pivotFields count="7">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5">
    <i>
      <x/>
    </i>
    <i i="1">
      <x v="1"/>
    </i>
    <i i="2">
      <x v="2"/>
    </i>
    <i i="3">
      <x v="3"/>
    </i>
    <i i="4">
      <x v="4"/>
    </i>
  </colItems>
  <dataFields count="5">
    <dataField name="Count of Patient_ID" fld="0" subtotal="count" baseField="0" baseItem="0"/>
    <dataField name="Sum of Final_Bill" fld="2" baseField="0" baseItem="0"/>
    <dataField name="Average of Final_Bill" fld="3" subtotal="average" baseField="0" baseItem="0"/>
    <dataField name="Average of Wait_Time_Minutes" fld="4" subtotal="average" baseField="0" baseItem="0"/>
    <dataField name="Average of Patient_Satisfaction" fld="5" subtotal="average" baseField="0" baseItem="0"/>
  </dataFields>
  <formats count="4">
    <format dxfId="86">
      <pivotArea field="1" grandRow="1" outline="0" collapsedLevelsAreSubtotals="1" axis="axisRow" fieldPosition="0">
        <references count="1">
          <reference field="4294967294" count="1" selected="0">
            <x v="4"/>
          </reference>
        </references>
      </pivotArea>
    </format>
    <format dxfId="83">
      <pivotArea field="1" grandRow="1" outline="0" collapsedLevelsAreSubtotals="1" axis="axisRow" fieldPosition="0">
        <references count="1">
          <reference field="4294967294" count="1" selected="0">
            <x v="3"/>
          </reference>
        </references>
      </pivotArea>
    </format>
    <format dxfId="25">
      <pivotArea field="1" grandRow="1" outline="0" collapsedLevelsAreSubtotals="1" axis="axisRow" fieldPosition="0">
        <references count="1">
          <reference field="4294967294" count="1" selected="0">
            <x v="1"/>
          </reference>
        </references>
      </pivotArea>
    </format>
    <format dxfId="24">
      <pivotArea field="1" grandRow="1" outline="0" collapsedLevelsAreSubtotals="1" axis="axisRow" fieldPosition="0">
        <references count="1">
          <reference field="4294967294" count="1" selected="0">
            <x v="2"/>
          </reference>
        </references>
      </pivotArea>
    </format>
  </format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64274-B5DA-4215-8B74-8EEA3C6221D3}" name="Pivot_VisitType" cacheId="1840" applyNumberFormats="0" applyBorderFormats="0" applyFontFormats="0" applyPatternFormats="0" applyAlignmentFormats="0" applyWidthHeightFormats="1" dataCaption="Values" tag="e09369d1-65cd-4e18-8b8e-ebb417d19b18" updatedVersion="8" minRefreshableVersion="3" useAutoFormatting="1" subtotalHiddenItems="1" itemPrintTitles="1" createdVersion="8" indent="0" outline="1" outlineData="1" multipleFieldFilters="0" chartFormat="8">
  <location ref="D1:E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atient_ID" fld="0" subtotal="count"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D17E6B-DDC4-4D38-AAE6-D412BCFA609C}" name="Pivot_Diagnosis" cacheId="18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K1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_ID" fld="1" subtotal="count"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2D069A-4FD4-4B4B-BEF1-EB8918D0611B}" name="Pivot_Monthly" cacheId="18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2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25">
    <i>
      <x/>
    </i>
    <i r="1">
      <x/>
    </i>
    <i>
      <x v="1"/>
    </i>
    <i r="1">
      <x v="1"/>
    </i>
    <i>
      <x v="2"/>
    </i>
    <i r="1">
      <x v="2"/>
    </i>
    <i>
      <x v="3"/>
    </i>
    <i r="1">
      <x v="3"/>
    </i>
    <i>
      <x v="4"/>
    </i>
    <i r="1">
      <x v="4"/>
    </i>
    <i>
      <x v="5"/>
    </i>
    <i r="1">
      <x v="5"/>
    </i>
    <i>
      <x v="6"/>
    </i>
    <i r="1">
      <x v="6"/>
    </i>
    <i>
      <x v="7"/>
    </i>
    <i r="1">
      <x v="7"/>
    </i>
    <i>
      <x v="8"/>
    </i>
    <i r="1">
      <x v="8"/>
    </i>
    <i>
      <x v="9"/>
    </i>
    <i r="1">
      <x v="9"/>
    </i>
    <i>
      <x v="10"/>
    </i>
    <i r="1">
      <x v="10"/>
    </i>
    <i>
      <x v="11"/>
    </i>
    <i r="1">
      <x v="11"/>
    </i>
    <i t="grand">
      <x/>
    </i>
  </rowItems>
  <colItems count="1">
    <i/>
  </colItems>
  <dataFields count="1">
    <dataField name="Sum of Final_Bill" fld="2"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3F7A8F-BAB1-4F34-B836-C445A86B4418}" name="Pivot_DepartmentPatients" cacheId="18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H1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_ID" fld="0" subtotal="count"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7CDB25-97D5-4687-92BB-5FCDC53E8602}" name="Pivot_WaitTime" cacheId="18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I13:J2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Wait_Time_Minutes" fld="1" subtotal="average"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7173A8-DD36-491A-9525-D76C141F134F}" name="Pivot_Payment" cacheId="18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N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Final_Bill" fld="1"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2B0370-CBE9-40EE-B86B-F7467A63C7AC}" name="Pivot_Insurance" cacheId="18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3:G1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Count of Patient_ID" fld="1" subtotal="count" baseField="0" baseItem="0"/>
    <dataField name="Sum of Final_Bill" fld="2"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C57E53A-E272-4EEA-9C71-01F24609F09E}" sourceName="[Range].[Department]">
  <pivotTables>
    <pivotTable tabId="1" name="Pivot_Department"/>
    <pivotTable tabId="4" name="Pivot_DepartmentPatients"/>
    <pivotTable tabId="4" name="Pivot_Diagnosis"/>
    <pivotTable tabId="4" name="Pivot_Insurance"/>
    <pivotTable tabId="4" name="Pivot_Monthly"/>
    <pivotTable tabId="4" name="Pivot_Payment"/>
    <pivotTable tabId="4" name="Pivot_VisitType"/>
    <pivotTable tabId="4" name="Pivot_WaitTime"/>
    <pivotTable tabId="4" name="kpi"/>
  </pivotTables>
  <data>
    <olap pivotCacheId="1705960212">
      <levels count="2">
        <level uniqueName="[Range].[Department].[(All)]" sourceCaption="(All)" count="0"/>
        <level uniqueName="[Range].[Department].[Department]" sourceCaption="Department" count="8">
          <ranges>
            <range startItem="0">
              <i n="[Range].[Department].&amp;[Cardiology]" c="Cardiology"/>
              <i n="[Range].[Department].&amp;[Dermatology]" c="Dermatology"/>
              <i n="[Range].[Department].&amp;[Emergency]" c="Emergency"/>
              <i n="[Range].[Department].&amp;[General Medicine]" c="General Medicine"/>
              <i n="[Range].[Department].&amp;[Neurology]" c="Neurology"/>
              <i n="[Range].[Department].&amp;[Oncology]" c="Oncology"/>
              <i n="[Range].[Department].&amp;[Orthopedics]" c="Orthopedics"/>
              <i n="[Range].[Department].&amp;[Pediatrics]" c="Pediatrics"/>
            </range>
          </ranges>
        </level>
      </levels>
      <selections count="1">
        <selection n="[Rang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DBF2F88-5711-40B8-875A-FD5A35CEED6B}" sourceName="[Range].[City]">
  <pivotTables>
    <pivotTable tabId="4" name="Pivot_Monthly"/>
    <pivotTable tabId="4" name="Pivot_Payment"/>
    <pivotTable tabId="4" name="Pivot_DepartmentPatients"/>
    <pivotTable tabId="4" name="Pivot_Diagnosis"/>
    <pivotTable tabId="4" name="Pivot_Insurance"/>
    <pivotTable tabId="4" name="Pivot_VisitType"/>
    <pivotTable tabId="4" name="Pivot_WaitTime"/>
    <pivotTable tabId="1" name="Pivot_Department"/>
    <pivotTable tabId="4" name="kpi"/>
  </pivotTables>
  <data>
    <olap pivotCacheId="1705960212">
      <levels count="2">
        <level uniqueName="[Range].[City].[(All)]" sourceCaption="(All)" count="0"/>
        <level uniqueName="[Range].[City].[City]" sourceCaption="City" count="5">
          <ranges>
            <range startItem="0">
              <i n="[Range].[City].&amp;[Bangalore]" c="Bangalore"/>
              <i n="[Range].[City].&amp;[Chennai]" c="Chennai"/>
              <i n="[Range].[City].&amp;[Hyderabad]" c="Hyderabad"/>
              <i n="[Range].[City].&amp;[Mumbai]" c="Mumbai"/>
              <i n="[Range].[City].&amp;[Pune]" c="Pune"/>
            </range>
          </ranges>
        </level>
      </levels>
      <selections count="1">
        <selection n="[Range].[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5EEB8B8C-E929-471D-A1F0-DEFCBAE4A48D}" sourceName="[Range].[Payment_Status]">
  <pivotTables>
    <pivotTable tabId="1" name="Pivot_Department"/>
    <pivotTable tabId="4" name="Pivot_DepartmentPatients"/>
    <pivotTable tabId="4" name="Pivot_Diagnosis"/>
    <pivotTable tabId="4" name="Pivot_Insurance"/>
    <pivotTable tabId="4" name="Pivot_Monthly"/>
    <pivotTable tabId="4" name="Pivot_Payment"/>
    <pivotTable tabId="4" name="Pivot_VisitType"/>
    <pivotTable tabId="4" name="Pivot_WaitTime"/>
    <pivotTable tabId="4" name="kpi"/>
  </pivotTables>
  <data>
    <olap pivotCacheId="1705960212">
      <levels count="2">
        <level uniqueName="[Range].[Payment_Status].[(All)]" sourceCaption="(All)" count="0"/>
        <level uniqueName="[Range].[Payment_Status].[Payment_Status]" sourceCaption="Payment_Status" count="3">
          <ranges>
            <range startItem="0">
              <i n="[Range].[Payment_Status].&amp;[Paid]" c="Paid"/>
              <i n="[Range].[Payment_Status].&amp;[Partially Paid]" c="Partially Paid"/>
              <i n="[Range].[Payment_Status].&amp;[Pending]" c="Pending"/>
            </range>
          </ranges>
        </level>
      </levels>
      <selections count="1">
        <selection n="[Range].[Payment_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8E31891D-912F-4392-BE93-E62B2F6E0D42}" sourceName="[Range].[Visit_Type]">
  <pivotTables>
    <pivotTable tabId="1" name="Pivot_Department"/>
    <pivotTable tabId="4" name="Pivot_DepartmentPatients"/>
    <pivotTable tabId="4" name="Pivot_Diagnosis"/>
    <pivotTable tabId="4" name="Pivot_Insurance"/>
    <pivotTable tabId="4" name="Pivot_Monthly"/>
    <pivotTable tabId="4" name="Pivot_Payment"/>
    <pivotTable tabId="4" name="Pivot_VisitType"/>
    <pivotTable tabId="4" name="Pivot_WaitTime"/>
    <pivotTable tabId="4" name="kpi"/>
  </pivotTables>
  <data>
    <olap pivotCacheId="1705960212">
      <levels count="2">
        <level uniqueName="[Range].[Visit_Type].[(All)]" sourceCaption="(All)" count="0"/>
        <level uniqueName="[Range].[Visit_Type].[Visit_Type]" sourceCaption="Visit_Type" count="3">
          <ranges>
            <range startItem="0">
              <i n="[Range].[Visit_Type].&amp;[Emergency]" c="Emergency"/>
              <i n="[Range].[Visit_Type].&amp;[IPD]" c="IPD"/>
              <i n="[Range].[Visit_Type].&amp;[OPD]" c="OPD"/>
            </range>
          </ranges>
        </level>
      </levels>
      <selections count="1">
        <selection n="[Range].[Visit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CD359EAB-5168-4E12-86B9-70DE4DAFF1A6}" sourceName="[Range].[Insurance_Type]">
  <pivotTables>
    <pivotTable tabId="1" name="Pivot_Department"/>
    <pivotTable tabId="4" name="Pivot_DepartmentPatients"/>
    <pivotTable tabId="4" name="Pivot_Diagnosis"/>
    <pivotTable tabId="4" name="Pivot_Insurance"/>
    <pivotTable tabId="4" name="Pivot_Monthly"/>
    <pivotTable tabId="4" name="Pivot_Payment"/>
    <pivotTable tabId="4" name="Pivot_VisitType"/>
    <pivotTable tabId="4" name="Pivot_WaitTime"/>
    <pivotTable tabId="4" name="kpi"/>
  </pivotTables>
  <data>
    <olap pivotCacheId="1705960212">
      <levels count="2">
        <level uniqueName="[Range].[Insurance_Type].[(All)]" sourceCaption="(All)" count="0"/>
        <level uniqueName="[Range].[Insurance_Type].[Insurance_Type]" sourceCaption="Insurance_Type" count="5">
          <ranges>
            <range startItem="0">
              <i n="[Range].[Insurance_Type].&amp;[Corporate Insurance]" c="Corporate Insurance"/>
              <i n="[Range].[Insurance_Type].&amp;[Government Insurance]" c="Government Insurance"/>
              <i n="[Range].[Insurance_Type].&amp;[Private Insurance]" c="Private Insurance"/>
              <i n="[Range].[Insurance_Type].&amp;[Self Pay]" c="Self Pay"/>
              <i n="[Range].[Insurance_Type].&amp;[Unknown]" c="Unknown"/>
            </range>
          </ranges>
        </level>
      </levels>
      <selections count="1">
        <selection n="[Range].[Insuranc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C4B087B-77F4-4518-AF95-1A6C03A80EF3}" cache="Slicer_Department" caption="Department" level="1" rowHeight="234950"/>
  <slicer name="City" xr10:uid="{D8E95EA0-475C-4641-8E93-65C6A6BA9B1E}" cache="Slicer_City" caption="City" level="1" rowHeight="234950"/>
  <slicer name="Payment_Status" xr10:uid="{517D3C4C-D139-4BC3-8A95-12BB1DBCFDDE}" cache="Slicer_Payment_Status" caption="Payment_Status" level="1" rowHeight="234950"/>
  <slicer name="Visit_Type" xr10:uid="{588A21A2-8E77-4F2F-A6AD-9FDA138C1AF5}" cache="Slicer_Visit_Type" caption="Visit_Type" level="1" rowHeight="234950"/>
  <slicer name="Insurance_Type" xr10:uid="{F0A4E307-501D-4F23-8809-097CCA35329C}" cache="Slicer_Insurance_Type" caption="Insurance_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5D86FA1-B5D4-4AD1-9DC0-89C3114EFFB6}" cache="Slicer_Department" caption="Department" level="1" style="SlicerStyleDark1" rowHeight="234950"/>
  <slicer name="City 1" xr10:uid="{CF11825C-78BD-4CBE-98B7-2D9EBBE88056}" cache="Slicer_City" caption="City" level="1" style="SlicerStyleDark1" rowHeight="234950"/>
  <slicer name="Payment_Status 1" xr10:uid="{72C5E0B3-259B-499D-91E3-64414E253186}" cache="Slicer_Payment_Status" caption="Payment_Status" level="1" style="SlicerStyleDark1" rowHeight="234950"/>
  <slicer name="Visit_Type 1" xr10:uid="{BFBB97B1-2148-426D-A1C8-804BA2FC8CAE}" cache="Slicer_Visit_Type" caption="Visit_Type" level="1" style="SlicerStyleDark1" rowHeight="234950"/>
  <slicer name="Insurance_Type 1" xr10:uid="{1396C035-E7D8-41C5-ABA3-222C6AED039D}" cache="Slicer_Insurance_Type" caption="Insurance_Type"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CBFC96-A651-47EF-BA15-E50D9E2000C8}" name="Healthcare_Data" displayName="Healthcare_Data" ref="A1:Q1001" totalsRowShown="0" headerRowDxfId="143" headerRowBorderDxfId="142" tableBorderDxfId="141">
  <tableColumns count="17">
    <tableColumn id="1" xr3:uid="{4A275FF0-3221-4196-A30C-7502523350F5}" name="Patient_ID"/>
    <tableColumn id="2" xr3:uid="{19CC4AF8-DEEB-4B8E-B64F-44C89C858F3F}" name="Visit_Date" dataDxfId="140"/>
    <tableColumn id="3" xr3:uid="{7CEE930C-B946-4CCC-8613-DFA0818F0938}" name="Department"/>
    <tableColumn id="4" xr3:uid="{79C043B9-C014-4E39-9ADA-C12456519C35}" name="City"/>
    <tableColumn id="5" xr3:uid="{F6588DE2-0438-4A0B-8EB3-7DE0A319DC49}" name="Visit_Type"/>
    <tableColumn id="6" xr3:uid="{577985E1-8AA8-46E5-82A1-77510CF206FA}" name="Gender"/>
    <tableColumn id="7" xr3:uid="{8DE0CCA2-12BC-4932-B62A-C9CDCD099565}" name="Age"/>
    <tableColumn id="8" xr3:uid="{A702AB94-86AC-44E2-8D29-F4472FF32089}" name="Diagnosis"/>
    <tableColumn id="9" xr3:uid="{4B1BD0C1-52BA-4DF9-90CA-723F1E9F90C5}" name="Doctor"/>
    <tableColumn id="10" xr3:uid="{AE1746FB-A344-49D1-AC76-E29D25DE74A3}" name="Insurance_Type"/>
    <tableColumn id="11" xr3:uid="{8B1BC34C-A152-4C00-9A9E-AE2EB66F4445}" name="Length_of_Stay_Days"/>
    <tableColumn id="12" xr3:uid="{92E296BD-49CA-4203-91BD-8FDC359ACB90}" name="Treatment_Cost" dataDxfId="139"/>
    <tableColumn id="13" xr3:uid="{890F3107-3066-4D0D-8439-A2C89247AEAD}" name="Discount"/>
    <tableColumn id="14" xr3:uid="{1688DA43-9368-4313-A341-A6D1645EC48E}" name="Final_Bill"/>
    <tableColumn id="15" xr3:uid="{26BF71B8-8BED-4FAA-AFFD-68CD707A805E}" name="Payment_Status"/>
    <tableColumn id="16" xr3:uid="{476F22CF-546F-4694-9194-88BB8E41631F}" name="Patient_Satisfaction"/>
    <tableColumn id="17" xr3:uid="{D5A36432-8135-4EED-A0E8-FC9CF99CC5ED}" name="Wait_Time_Minu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4"/>
  <sheetViews>
    <sheetView topLeftCell="G1" workbookViewId="0">
      <selection activeCell="P1" sqref="P1"/>
    </sheetView>
  </sheetViews>
  <sheetFormatPr defaultRowHeight="14.4" x14ac:dyDescent="0.3"/>
  <cols>
    <col min="1" max="1" width="19.33203125" customWidth="1"/>
    <col min="2" max="2" width="16.33203125" bestFit="1" customWidth="1"/>
    <col min="3" max="3" width="13.44140625" bestFit="1" customWidth="1"/>
    <col min="4" max="4" width="15" customWidth="1"/>
    <col min="5" max="5" width="25.88671875" customWidth="1"/>
    <col min="6" max="6" width="33.21875" customWidth="1"/>
    <col min="7" max="7" width="27.33203125" customWidth="1"/>
    <col min="8" max="8" width="28.109375" customWidth="1"/>
    <col min="9" max="9" width="27.5546875" customWidth="1"/>
    <col min="10" max="10" width="25.5546875" customWidth="1"/>
    <col min="11" max="11" width="21.5546875" customWidth="1"/>
    <col min="12" max="12" width="24.5546875" customWidth="1"/>
    <col min="13" max="14" width="19.88671875" customWidth="1"/>
    <col min="15" max="15" width="24.33203125" customWidth="1"/>
    <col min="16" max="16" width="20.109375" customWidth="1"/>
    <col min="17" max="20" width="20.5546875" customWidth="1"/>
  </cols>
  <sheetData>
    <row r="1" spans="1:20"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5" t="s">
        <v>1058</v>
      </c>
      <c r="S1" s="5" t="s">
        <v>1059</v>
      </c>
      <c r="T1" s="5" t="s">
        <v>1060</v>
      </c>
    </row>
    <row r="2" spans="1:20" x14ac:dyDescent="0.3">
      <c r="A2" t="s">
        <v>17</v>
      </c>
      <c r="B2" s="3">
        <v>45658</v>
      </c>
      <c r="C2" t="s">
        <v>18</v>
      </c>
      <c r="D2" t="s">
        <v>19</v>
      </c>
      <c r="E2" t="s">
        <v>20</v>
      </c>
      <c r="F2" t="s">
        <v>21</v>
      </c>
      <c r="G2">
        <v>26</v>
      </c>
      <c r="H2" t="s">
        <v>22</v>
      </c>
      <c r="I2" t="s">
        <v>23</v>
      </c>
      <c r="J2" t="s">
        <v>24</v>
      </c>
      <c r="K2">
        <v>0</v>
      </c>
      <c r="L2" s="4">
        <v>7043</v>
      </c>
      <c r="M2">
        <v>0</v>
      </c>
      <c r="N2">
        <v>7043</v>
      </c>
      <c r="O2" t="s">
        <v>25</v>
      </c>
      <c r="P2">
        <v>3</v>
      </c>
      <c r="Q2">
        <v>23</v>
      </c>
      <c r="R2" t="str">
        <f>TEXT(B:B,"mmm")</f>
        <v>Jan</v>
      </c>
      <c r="S2">
        <f>MONTH(Healthcare_Data[[#This Row],[Visit_Date]])</f>
        <v>1</v>
      </c>
      <c r="T2" t="str">
        <f>IF(Healthcare_Data[[#This Row],[Final_Bill]]&gt;=50000,"High",IF(Healthcare_Data[[#This Row],[Final_Bill]]&gt;=20000,"Medium","low"))</f>
        <v>low</v>
      </c>
    </row>
    <row r="3" spans="1:20" x14ac:dyDescent="0.3">
      <c r="A3" t="s">
        <v>26</v>
      </c>
      <c r="B3" s="3">
        <v>45658</v>
      </c>
      <c r="C3" t="s">
        <v>27</v>
      </c>
      <c r="D3" t="s">
        <v>28</v>
      </c>
      <c r="E3" t="s">
        <v>20</v>
      </c>
      <c r="F3" t="s">
        <v>21</v>
      </c>
      <c r="G3">
        <v>75</v>
      </c>
      <c r="H3" t="s">
        <v>29</v>
      </c>
      <c r="I3" t="s">
        <v>30</v>
      </c>
      <c r="J3" t="s">
        <v>31</v>
      </c>
      <c r="K3">
        <v>0</v>
      </c>
      <c r="L3" s="4">
        <v>8944</v>
      </c>
      <c r="M3">
        <v>2000</v>
      </c>
      <c r="N3">
        <v>6944</v>
      </c>
      <c r="O3" t="s">
        <v>32</v>
      </c>
      <c r="P3">
        <v>2.5</v>
      </c>
      <c r="Q3">
        <v>85</v>
      </c>
      <c r="R3" t="str">
        <f>TEXT(Healthcare_Data[[#This Row],[Visit_Date]],"mmm")</f>
        <v>Jan</v>
      </c>
      <c r="S3">
        <f>MONTH(Healthcare_Data[[#This Row],[Visit_Date]])</f>
        <v>1</v>
      </c>
      <c r="T3" t="str">
        <f>IF(Healthcare_Data[[#This Row],[Final_Bill]]&gt;=50000,"High",IF(Healthcare_Data[[#This Row],[Final_Bill]]&gt;=20000,"Medium","low"))</f>
        <v>low</v>
      </c>
    </row>
    <row r="4" spans="1:20" x14ac:dyDescent="0.3">
      <c r="A4" t="s">
        <v>33</v>
      </c>
      <c r="B4" s="3">
        <v>45658</v>
      </c>
      <c r="C4" t="s">
        <v>27</v>
      </c>
      <c r="D4" t="s">
        <v>34</v>
      </c>
      <c r="E4" t="s">
        <v>20</v>
      </c>
      <c r="F4" t="s">
        <v>21</v>
      </c>
      <c r="G4">
        <v>43</v>
      </c>
      <c r="H4" t="s">
        <v>35</v>
      </c>
      <c r="I4" t="s">
        <v>30</v>
      </c>
      <c r="J4" t="s">
        <v>36</v>
      </c>
      <c r="K4">
        <v>0</v>
      </c>
      <c r="L4" s="4">
        <v>9136</v>
      </c>
      <c r="M4">
        <v>0</v>
      </c>
      <c r="N4">
        <v>9136</v>
      </c>
      <c r="O4" t="s">
        <v>25</v>
      </c>
      <c r="P4">
        <v>3.2</v>
      </c>
      <c r="Q4">
        <v>56</v>
      </c>
      <c r="R4" t="str">
        <f>TEXT(Healthcare_Data[[#This Row],[Visit_Date]],"mmm")</f>
        <v>Jan</v>
      </c>
      <c r="S4">
        <f>MONTH(Healthcare_Data[[#This Row],[Visit_Date]])</f>
        <v>1</v>
      </c>
      <c r="T4" t="str">
        <f>IF(Healthcare_Data[[#This Row],[Final_Bill]]&gt;=50000,"High",IF(Healthcare_Data[[#This Row],[Final_Bill]]&gt;=20000,"Medium","low"))</f>
        <v>low</v>
      </c>
    </row>
    <row r="5" spans="1:20" x14ac:dyDescent="0.3">
      <c r="A5" t="s">
        <v>37</v>
      </c>
      <c r="B5" s="3">
        <v>45658</v>
      </c>
      <c r="C5" t="s">
        <v>38</v>
      </c>
      <c r="D5" t="s">
        <v>39</v>
      </c>
      <c r="E5" t="s">
        <v>20</v>
      </c>
      <c r="F5" t="s">
        <v>40</v>
      </c>
      <c r="G5">
        <v>71</v>
      </c>
      <c r="H5" t="s">
        <v>41</v>
      </c>
      <c r="I5" t="s">
        <v>42</v>
      </c>
      <c r="J5" t="s">
        <v>24</v>
      </c>
      <c r="K5">
        <v>0</v>
      </c>
      <c r="L5" s="4">
        <v>10680</v>
      </c>
      <c r="M5">
        <v>1000</v>
      </c>
      <c r="N5">
        <v>9680</v>
      </c>
      <c r="O5" t="s">
        <v>32</v>
      </c>
      <c r="P5">
        <v>3.8</v>
      </c>
      <c r="Q5">
        <v>10</v>
      </c>
      <c r="R5" t="str">
        <f>TEXT(Healthcare_Data[[#This Row],[Visit_Date]],"mmm")</f>
        <v>Jan</v>
      </c>
      <c r="S5">
        <f>MONTH(Healthcare_Data[[#This Row],[Visit_Date]])</f>
        <v>1</v>
      </c>
      <c r="T5" t="str">
        <f>IF(Healthcare_Data[[#This Row],[Final_Bill]]&gt;=50000,"High",IF(Healthcare_Data[[#This Row],[Final_Bill]]&gt;=20000,"Medium","low"))</f>
        <v>low</v>
      </c>
    </row>
    <row r="6" spans="1:20" x14ac:dyDescent="0.3">
      <c r="A6" t="s">
        <v>43</v>
      </c>
      <c r="B6" s="3">
        <v>45658</v>
      </c>
      <c r="C6" t="s">
        <v>44</v>
      </c>
      <c r="D6" t="s">
        <v>28</v>
      </c>
      <c r="E6" t="s">
        <v>20</v>
      </c>
      <c r="F6" t="s">
        <v>40</v>
      </c>
      <c r="G6">
        <v>69</v>
      </c>
      <c r="H6" t="s">
        <v>41</v>
      </c>
      <c r="I6" t="s">
        <v>42</v>
      </c>
      <c r="J6" t="s">
        <v>31</v>
      </c>
      <c r="K6">
        <v>0</v>
      </c>
      <c r="L6" s="4">
        <v>15880</v>
      </c>
      <c r="M6">
        <v>2000</v>
      </c>
      <c r="N6">
        <v>13880</v>
      </c>
      <c r="O6" t="s">
        <v>25</v>
      </c>
      <c r="P6">
        <v>4.5</v>
      </c>
      <c r="Q6">
        <v>101</v>
      </c>
      <c r="R6" t="str">
        <f>TEXT(Healthcare_Data[[#This Row],[Visit_Date]],"mmm")</f>
        <v>Jan</v>
      </c>
      <c r="S6">
        <f>MONTH(Healthcare_Data[[#This Row],[Visit_Date]])</f>
        <v>1</v>
      </c>
      <c r="T6" t="str">
        <f>IF(Healthcare_Data[[#This Row],[Final_Bill]]&gt;=50000,"High",IF(Healthcare_Data[[#This Row],[Final_Bill]]&gt;=20000,"Medium","low"))</f>
        <v>low</v>
      </c>
    </row>
    <row r="7" spans="1:20" x14ac:dyDescent="0.3">
      <c r="A7" t="s">
        <v>45</v>
      </c>
      <c r="B7" s="3">
        <v>45658</v>
      </c>
      <c r="C7" t="s">
        <v>18</v>
      </c>
      <c r="D7" t="s">
        <v>39</v>
      </c>
      <c r="E7" t="s">
        <v>20</v>
      </c>
      <c r="F7" t="s">
        <v>21</v>
      </c>
      <c r="G7">
        <v>57</v>
      </c>
      <c r="H7" t="s">
        <v>46</v>
      </c>
      <c r="I7" t="s">
        <v>42</v>
      </c>
      <c r="J7" t="s">
        <v>24</v>
      </c>
      <c r="K7">
        <v>0</v>
      </c>
      <c r="L7" s="4">
        <v>16364</v>
      </c>
      <c r="M7">
        <v>1500</v>
      </c>
      <c r="N7">
        <v>14864</v>
      </c>
      <c r="O7" t="s">
        <v>25</v>
      </c>
      <c r="P7">
        <v>2.7</v>
      </c>
      <c r="Q7">
        <v>92</v>
      </c>
      <c r="R7" t="str">
        <f>TEXT(Healthcare_Data[[#This Row],[Visit_Date]],"mmm")</f>
        <v>Jan</v>
      </c>
      <c r="S7">
        <f>MONTH(Healthcare_Data[[#This Row],[Visit_Date]])</f>
        <v>1</v>
      </c>
      <c r="T7" t="str">
        <f>IF(Healthcare_Data[[#This Row],[Final_Bill]]&gt;=50000,"High",IF(Healthcare_Data[[#This Row],[Final_Bill]]&gt;=20000,"Medium","low"))</f>
        <v>low</v>
      </c>
    </row>
    <row r="8" spans="1:20" x14ac:dyDescent="0.3">
      <c r="A8" t="s">
        <v>47</v>
      </c>
      <c r="B8" s="3">
        <v>45659</v>
      </c>
      <c r="C8" t="s">
        <v>48</v>
      </c>
      <c r="D8" t="s">
        <v>39</v>
      </c>
      <c r="E8" t="s">
        <v>20</v>
      </c>
      <c r="F8" t="s">
        <v>40</v>
      </c>
      <c r="G8">
        <v>76</v>
      </c>
      <c r="H8" t="s">
        <v>29</v>
      </c>
      <c r="I8" t="s">
        <v>42</v>
      </c>
      <c r="J8" t="s">
        <v>31</v>
      </c>
      <c r="K8">
        <v>0</v>
      </c>
      <c r="L8" s="4">
        <v>18161</v>
      </c>
      <c r="M8">
        <v>2000</v>
      </c>
      <c r="N8">
        <v>16161</v>
      </c>
      <c r="O8" t="s">
        <v>25</v>
      </c>
      <c r="P8">
        <v>4.9000000000000004</v>
      </c>
      <c r="Q8">
        <v>44</v>
      </c>
      <c r="R8" t="str">
        <f>TEXT(Healthcare_Data[[#This Row],[Visit_Date]],"mmm")</f>
        <v>Jan</v>
      </c>
      <c r="S8">
        <f>MONTH(Healthcare_Data[[#This Row],[Visit_Date]])</f>
        <v>1</v>
      </c>
      <c r="T8" t="str">
        <f>IF(Healthcare_Data[[#This Row],[Final_Bill]]&gt;=50000,"High",IF(Healthcare_Data[[#This Row],[Final_Bill]]&gt;=20000,"Medium","low"))</f>
        <v>low</v>
      </c>
    </row>
    <row r="9" spans="1:20" x14ac:dyDescent="0.3">
      <c r="A9" t="s">
        <v>49</v>
      </c>
      <c r="B9" s="3">
        <v>45659</v>
      </c>
      <c r="C9" t="s">
        <v>50</v>
      </c>
      <c r="D9" t="s">
        <v>51</v>
      </c>
      <c r="E9" t="s">
        <v>52</v>
      </c>
      <c r="F9" t="s">
        <v>40</v>
      </c>
      <c r="G9">
        <v>66</v>
      </c>
      <c r="H9" t="s">
        <v>46</v>
      </c>
      <c r="I9" t="s">
        <v>30</v>
      </c>
      <c r="J9" t="s">
        <v>1057</v>
      </c>
      <c r="K9">
        <v>10</v>
      </c>
      <c r="L9" s="4">
        <v>67234</v>
      </c>
      <c r="M9">
        <v>2000</v>
      </c>
      <c r="N9">
        <v>65234</v>
      </c>
      <c r="O9" t="s">
        <v>25</v>
      </c>
      <c r="P9">
        <v>4</v>
      </c>
      <c r="Q9">
        <v>70</v>
      </c>
      <c r="R9" t="str">
        <f>TEXT(Healthcare_Data[[#This Row],[Visit_Date]],"mmm")</f>
        <v>Jan</v>
      </c>
      <c r="S9">
        <f>MONTH(Healthcare_Data[[#This Row],[Visit_Date]])</f>
        <v>1</v>
      </c>
      <c r="T9" t="str">
        <f>IF(Healthcare_Data[[#This Row],[Final_Bill]]&gt;=50000,"High",IF(Healthcare_Data[[#This Row],[Final_Bill]]&gt;=20000,"Medium","low"))</f>
        <v>High</v>
      </c>
    </row>
    <row r="10" spans="1:20" x14ac:dyDescent="0.3">
      <c r="A10" t="s">
        <v>53</v>
      </c>
      <c r="B10" s="3">
        <v>45659</v>
      </c>
      <c r="C10" t="s">
        <v>50</v>
      </c>
      <c r="D10" t="s">
        <v>19</v>
      </c>
      <c r="E10" t="s">
        <v>54</v>
      </c>
      <c r="F10" t="s">
        <v>21</v>
      </c>
      <c r="G10">
        <v>20</v>
      </c>
      <c r="H10" t="s">
        <v>46</v>
      </c>
      <c r="I10" t="s">
        <v>42</v>
      </c>
      <c r="J10" t="s">
        <v>24</v>
      </c>
      <c r="K10">
        <v>0</v>
      </c>
      <c r="L10" s="4">
        <v>39498</v>
      </c>
      <c r="M10">
        <v>0</v>
      </c>
      <c r="N10">
        <v>39498</v>
      </c>
      <c r="O10" t="s">
        <v>25</v>
      </c>
      <c r="P10">
        <v>3.7</v>
      </c>
      <c r="Q10">
        <v>102</v>
      </c>
      <c r="R10" t="str">
        <f>TEXT(Healthcare_Data[[#This Row],[Visit_Date]],"mmm")</f>
        <v>Jan</v>
      </c>
      <c r="S10">
        <f>MONTH(Healthcare_Data[[#This Row],[Visit_Date]])</f>
        <v>1</v>
      </c>
      <c r="T10" t="str">
        <f>IF(Healthcare_Data[[#This Row],[Final_Bill]]&gt;=50000,"High",IF(Healthcare_Data[[#This Row],[Final_Bill]]&gt;=20000,"Medium","low"))</f>
        <v>Medium</v>
      </c>
    </row>
    <row r="11" spans="1:20" x14ac:dyDescent="0.3">
      <c r="A11" t="s">
        <v>55</v>
      </c>
      <c r="B11" s="3">
        <v>45660</v>
      </c>
      <c r="C11" t="s">
        <v>38</v>
      </c>
      <c r="D11" t="s">
        <v>51</v>
      </c>
      <c r="E11" t="s">
        <v>52</v>
      </c>
      <c r="F11" t="s">
        <v>21</v>
      </c>
      <c r="G11">
        <v>28</v>
      </c>
      <c r="H11" t="s">
        <v>56</v>
      </c>
      <c r="I11" t="s">
        <v>57</v>
      </c>
      <c r="J11" t="s">
        <v>58</v>
      </c>
      <c r="K11">
        <v>2</v>
      </c>
      <c r="L11" s="4">
        <v>18573</v>
      </c>
      <c r="M11">
        <v>0</v>
      </c>
      <c r="N11">
        <v>18573</v>
      </c>
      <c r="O11" t="s">
        <v>59</v>
      </c>
      <c r="P11">
        <v>3.2</v>
      </c>
      <c r="Q11">
        <v>91</v>
      </c>
      <c r="R11" t="str">
        <f>TEXT(Healthcare_Data[[#This Row],[Visit_Date]],"mmm")</f>
        <v>Jan</v>
      </c>
      <c r="S11">
        <f>MONTH(Healthcare_Data[[#This Row],[Visit_Date]])</f>
        <v>1</v>
      </c>
      <c r="T11" t="str">
        <f>IF(Healthcare_Data[[#This Row],[Final_Bill]]&gt;=50000,"High",IF(Healthcare_Data[[#This Row],[Final_Bill]]&gt;=20000,"Medium","low"))</f>
        <v>low</v>
      </c>
    </row>
    <row r="12" spans="1:20" x14ac:dyDescent="0.3">
      <c r="A12" t="s">
        <v>60</v>
      </c>
      <c r="B12" s="3">
        <v>45661</v>
      </c>
      <c r="C12" t="s">
        <v>38</v>
      </c>
      <c r="D12" t="s">
        <v>19</v>
      </c>
      <c r="E12" t="s">
        <v>54</v>
      </c>
      <c r="F12" t="s">
        <v>21</v>
      </c>
      <c r="G12">
        <v>63</v>
      </c>
      <c r="H12" t="s">
        <v>41</v>
      </c>
      <c r="I12" t="s">
        <v>61</v>
      </c>
      <c r="J12" t="s">
        <v>31</v>
      </c>
      <c r="K12">
        <v>0</v>
      </c>
      <c r="L12" s="4">
        <v>25824</v>
      </c>
      <c r="M12">
        <v>0</v>
      </c>
      <c r="N12">
        <v>25824</v>
      </c>
      <c r="O12" t="s">
        <v>25</v>
      </c>
      <c r="P12">
        <v>4.9000000000000004</v>
      </c>
      <c r="Q12">
        <v>102</v>
      </c>
      <c r="R12" t="str">
        <f>TEXT(Healthcare_Data[[#This Row],[Visit_Date]],"mmm")</f>
        <v>Jan</v>
      </c>
      <c r="S12">
        <f>MONTH(Healthcare_Data[[#This Row],[Visit_Date]])</f>
        <v>1</v>
      </c>
      <c r="T12" t="str">
        <f>IF(Healthcare_Data[[#This Row],[Final_Bill]]&gt;=50000,"High",IF(Healthcare_Data[[#This Row],[Final_Bill]]&gt;=20000,"Medium","low"))</f>
        <v>Medium</v>
      </c>
    </row>
    <row r="13" spans="1:20" x14ac:dyDescent="0.3">
      <c r="A13" t="s">
        <v>62</v>
      </c>
      <c r="B13" s="3">
        <v>45661</v>
      </c>
      <c r="C13" t="s">
        <v>44</v>
      </c>
      <c r="D13" t="s">
        <v>39</v>
      </c>
      <c r="E13" t="s">
        <v>20</v>
      </c>
      <c r="F13" t="s">
        <v>21</v>
      </c>
      <c r="G13">
        <v>61</v>
      </c>
      <c r="H13" t="s">
        <v>41</v>
      </c>
      <c r="I13" t="s">
        <v>63</v>
      </c>
      <c r="J13" t="s">
        <v>31</v>
      </c>
      <c r="K13">
        <v>0</v>
      </c>
      <c r="L13" s="4">
        <v>19271</v>
      </c>
      <c r="M13">
        <v>0</v>
      </c>
      <c r="N13">
        <v>19271</v>
      </c>
      <c r="O13" t="s">
        <v>25</v>
      </c>
      <c r="P13">
        <v>4.5999999999999996</v>
      </c>
      <c r="Q13">
        <v>55</v>
      </c>
      <c r="R13" t="str">
        <f>TEXT(Healthcare_Data[[#This Row],[Visit_Date]],"mmm")</f>
        <v>Jan</v>
      </c>
      <c r="S13">
        <f>MONTH(Healthcare_Data[[#This Row],[Visit_Date]])</f>
        <v>1</v>
      </c>
      <c r="T13" t="str">
        <f>IF(Healthcare_Data[[#This Row],[Final_Bill]]&gt;=50000,"High",IF(Healthcare_Data[[#This Row],[Final_Bill]]&gt;=20000,"Medium","low"))</f>
        <v>low</v>
      </c>
    </row>
    <row r="14" spans="1:20" x14ac:dyDescent="0.3">
      <c r="A14" t="s">
        <v>64</v>
      </c>
      <c r="B14" s="3">
        <v>45661</v>
      </c>
      <c r="C14" t="s">
        <v>44</v>
      </c>
      <c r="D14" t="s">
        <v>34</v>
      </c>
      <c r="E14" t="s">
        <v>52</v>
      </c>
      <c r="F14" t="s">
        <v>21</v>
      </c>
      <c r="G14">
        <v>69</v>
      </c>
      <c r="H14" t="s">
        <v>65</v>
      </c>
      <c r="I14" t="s">
        <v>42</v>
      </c>
      <c r="J14" t="s">
        <v>1057</v>
      </c>
      <c r="K14">
        <v>6</v>
      </c>
      <c r="L14" s="4">
        <v>48927</v>
      </c>
      <c r="M14">
        <v>0</v>
      </c>
      <c r="N14">
        <v>48927</v>
      </c>
      <c r="O14" t="s">
        <v>25</v>
      </c>
      <c r="P14">
        <v>4.9000000000000004</v>
      </c>
      <c r="Q14">
        <v>47</v>
      </c>
      <c r="R14" t="str">
        <f>TEXT(Healthcare_Data[[#This Row],[Visit_Date]],"mmm")</f>
        <v>Jan</v>
      </c>
      <c r="S14">
        <f>MONTH(Healthcare_Data[[#This Row],[Visit_Date]])</f>
        <v>1</v>
      </c>
      <c r="T14" t="str">
        <f>IF(Healthcare_Data[[#This Row],[Final_Bill]]&gt;=50000,"High",IF(Healthcare_Data[[#This Row],[Final_Bill]]&gt;=20000,"Medium","low"))</f>
        <v>Medium</v>
      </c>
    </row>
    <row r="15" spans="1:20" x14ac:dyDescent="0.3">
      <c r="A15" t="s">
        <v>66</v>
      </c>
      <c r="B15" s="3">
        <v>45661</v>
      </c>
      <c r="C15" t="s">
        <v>67</v>
      </c>
      <c r="D15" t="s">
        <v>39</v>
      </c>
      <c r="E15" t="s">
        <v>20</v>
      </c>
      <c r="F15" t="s">
        <v>40</v>
      </c>
      <c r="G15">
        <v>45</v>
      </c>
      <c r="H15" t="s">
        <v>46</v>
      </c>
      <c r="I15" t="s">
        <v>23</v>
      </c>
      <c r="J15" t="s">
        <v>58</v>
      </c>
      <c r="K15">
        <v>0</v>
      </c>
      <c r="L15" s="4">
        <v>8687</v>
      </c>
      <c r="M15">
        <v>2000</v>
      </c>
      <c r="N15">
        <v>6687</v>
      </c>
      <c r="O15" t="s">
        <v>25</v>
      </c>
      <c r="P15">
        <v>3.2</v>
      </c>
      <c r="Q15">
        <v>102</v>
      </c>
      <c r="R15" t="str">
        <f>TEXT(Healthcare_Data[[#This Row],[Visit_Date]],"mmm")</f>
        <v>Jan</v>
      </c>
      <c r="S15">
        <f>MONTH(Healthcare_Data[[#This Row],[Visit_Date]])</f>
        <v>1</v>
      </c>
      <c r="T15" t="str">
        <f>IF(Healthcare_Data[[#This Row],[Final_Bill]]&gt;=50000,"High",IF(Healthcare_Data[[#This Row],[Final_Bill]]&gt;=20000,"Medium","low"))</f>
        <v>low</v>
      </c>
    </row>
    <row r="16" spans="1:20" x14ac:dyDescent="0.3">
      <c r="A16" t="s">
        <v>68</v>
      </c>
      <c r="B16" s="3">
        <v>45662</v>
      </c>
      <c r="C16" t="s">
        <v>18</v>
      </c>
      <c r="D16" t="s">
        <v>28</v>
      </c>
      <c r="E16" t="s">
        <v>52</v>
      </c>
      <c r="F16" t="s">
        <v>21</v>
      </c>
      <c r="G16">
        <v>73</v>
      </c>
      <c r="H16" t="s">
        <v>41</v>
      </c>
      <c r="I16" t="s">
        <v>69</v>
      </c>
      <c r="J16" t="s">
        <v>24</v>
      </c>
      <c r="K16">
        <v>7</v>
      </c>
      <c r="L16" s="4">
        <v>44657</v>
      </c>
      <c r="M16">
        <v>500</v>
      </c>
      <c r="N16">
        <v>44157</v>
      </c>
      <c r="O16" t="s">
        <v>25</v>
      </c>
      <c r="P16">
        <v>3.5</v>
      </c>
      <c r="Q16">
        <v>120</v>
      </c>
      <c r="R16" t="str">
        <f>TEXT(Healthcare_Data[[#This Row],[Visit_Date]],"mmm")</f>
        <v>Jan</v>
      </c>
      <c r="S16">
        <f>MONTH(Healthcare_Data[[#This Row],[Visit_Date]])</f>
        <v>1</v>
      </c>
      <c r="T16" t="str">
        <f>IF(Healthcare_Data[[#This Row],[Final_Bill]]&gt;=50000,"High",IF(Healthcare_Data[[#This Row],[Final_Bill]]&gt;=20000,"Medium","low"))</f>
        <v>Medium</v>
      </c>
    </row>
    <row r="17" spans="1:20" x14ac:dyDescent="0.3">
      <c r="A17" t="s">
        <v>70</v>
      </c>
      <c r="B17" s="3">
        <v>45662</v>
      </c>
      <c r="C17" t="s">
        <v>50</v>
      </c>
      <c r="D17" t="s">
        <v>34</v>
      </c>
      <c r="E17" t="s">
        <v>20</v>
      </c>
      <c r="F17" t="s">
        <v>21</v>
      </c>
      <c r="G17">
        <v>69</v>
      </c>
      <c r="H17" t="s">
        <v>22</v>
      </c>
      <c r="I17" t="s">
        <v>57</v>
      </c>
      <c r="J17" t="s">
        <v>36</v>
      </c>
      <c r="K17">
        <v>0</v>
      </c>
      <c r="L17" s="4">
        <v>9473</v>
      </c>
      <c r="M17">
        <v>500</v>
      </c>
      <c r="N17">
        <v>8973</v>
      </c>
      <c r="O17" t="s">
        <v>32</v>
      </c>
      <c r="P17">
        <v>3.4</v>
      </c>
      <c r="Q17">
        <v>26</v>
      </c>
      <c r="R17" t="str">
        <f>TEXT(Healthcare_Data[[#This Row],[Visit_Date]],"mmm")</f>
        <v>Jan</v>
      </c>
      <c r="S17">
        <f>MONTH(Healthcare_Data[[#This Row],[Visit_Date]])</f>
        <v>1</v>
      </c>
      <c r="T17" t="str">
        <f>IF(Healthcare_Data[[#This Row],[Final_Bill]]&gt;=50000,"High",IF(Healthcare_Data[[#This Row],[Final_Bill]]&gt;=20000,"Medium","low"))</f>
        <v>low</v>
      </c>
    </row>
    <row r="18" spans="1:20" x14ac:dyDescent="0.3">
      <c r="A18" t="s">
        <v>71</v>
      </c>
      <c r="B18" s="3">
        <v>45662</v>
      </c>
      <c r="C18" t="s">
        <v>18</v>
      </c>
      <c r="D18" t="s">
        <v>51</v>
      </c>
      <c r="E18" t="s">
        <v>20</v>
      </c>
      <c r="F18" t="s">
        <v>21</v>
      </c>
      <c r="G18">
        <v>78</v>
      </c>
      <c r="H18" t="s">
        <v>56</v>
      </c>
      <c r="I18" t="s">
        <v>72</v>
      </c>
      <c r="J18" t="s">
        <v>58</v>
      </c>
      <c r="K18">
        <v>0</v>
      </c>
      <c r="L18" s="4">
        <v>3360</v>
      </c>
      <c r="M18">
        <v>2000</v>
      </c>
      <c r="N18">
        <v>1360</v>
      </c>
      <c r="O18" t="s">
        <v>25</v>
      </c>
      <c r="P18">
        <v>4.4000000000000004</v>
      </c>
      <c r="Q18">
        <v>44</v>
      </c>
      <c r="R18" t="str">
        <f>TEXT(Healthcare_Data[[#This Row],[Visit_Date]],"mmm")</f>
        <v>Jan</v>
      </c>
      <c r="S18">
        <f>MONTH(Healthcare_Data[[#This Row],[Visit_Date]])</f>
        <v>1</v>
      </c>
      <c r="T18" t="str">
        <f>IF(Healthcare_Data[[#This Row],[Final_Bill]]&gt;=50000,"High",IF(Healthcare_Data[[#This Row],[Final_Bill]]&gt;=20000,"Medium","low"))</f>
        <v>low</v>
      </c>
    </row>
    <row r="19" spans="1:20" x14ac:dyDescent="0.3">
      <c r="A19" t="s">
        <v>73</v>
      </c>
      <c r="B19" s="3">
        <v>45662</v>
      </c>
      <c r="C19" t="s">
        <v>44</v>
      </c>
      <c r="D19" t="s">
        <v>19</v>
      </c>
      <c r="E19" t="s">
        <v>20</v>
      </c>
      <c r="F19" t="s">
        <v>21</v>
      </c>
      <c r="G19">
        <v>59</v>
      </c>
      <c r="H19" t="s">
        <v>29</v>
      </c>
      <c r="I19" t="s">
        <v>72</v>
      </c>
      <c r="J19" t="s">
        <v>31</v>
      </c>
      <c r="K19">
        <v>0</v>
      </c>
      <c r="L19" s="4">
        <v>4583</v>
      </c>
      <c r="M19">
        <v>1000</v>
      </c>
      <c r="N19">
        <v>3583</v>
      </c>
      <c r="O19" t="s">
        <v>25</v>
      </c>
      <c r="P19">
        <v>4.4000000000000004</v>
      </c>
      <c r="Q19">
        <v>17</v>
      </c>
      <c r="R19" t="str">
        <f>TEXT(Healthcare_Data[[#This Row],[Visit_Date]],"mmm")</f>
        <v>Jan</v>
      </c>
      <c r="S19">
        <f>MONTH(Healthcare_Data[[#This Row],[Visit_Date]])</f>
        <v>1</v>
      </c>
      <c r="T19" t="str">
        <f>IF(Healthcare_Data[[#This Row],[Final_Bill]]&gt;=50000,"High",IF(Healthcare_Data[[#This Row],[Final_Bill]]&gt;=20000,"Medium","low"))</f>
        <v>low</v>
      </c>
    </row>
    <row r="20" spans="1:20" x14ac:dyDescent="0.3">
      <c r="A20" t="s">
        <v>74</v>
      </c>
      <c r="B20" s="3">
        <v>45662</v>
      </c>
      <c r="C20" t="s">
        <v>54</v>
      </c>
      <c r="D20" t="s">
        <v>34</v>
      </c>
      <c r="E20" t="s">
        <v>54</v>
      </c>
      <c r="F20" t="s">
        <v>40</v>
      </c>
      <c r="G20">
        <v>72</v>
      </c>
      <c r="H20" t="s">
        <v>46</v>
      </c>
      <c r="I20" t="s">
        <v>72</v>
      </c>
      <c r="J20" t="s">
        <v>58</v>
      </c>
      <c r="K20">
        <v>0</v>
      </c>
      <c r="L20" s="4">
        <v>10460</v>
      </c>
      <c r="M20">
        <v>0</v>
      </c>
      <c r="N20">
        <v>10460</v>
      </c>
      <c r="O20" t="s">
        <v>25</v>
      </c>
      <c r="P20">
        <v>2.9</v>
      </c>
      <c r="Q20">
        <v>94</v>
      </c>
      <c r="R20" t="str">
        <f>TEXT(Healthcare_Data[[#This Row],[Visit_Date]],"mmm")</f>
        <v>Jan</v>
      </c>
      <c r="S20">
        <f>MONTH(Healthcare_Data[[#This Row],[Visit_Date]])</f>
        <v>1</v>
      </c>
      <c r="T20" t="str">
        <f>IF(Healthcare_Data[[#This Row],[Final_Bill]]&gt;=50000,"High",IF(Healthcare_Data[[#This Row],[Final_Bill]]&gt;=20000,"Medium","low"))</f>
        <v>low</v>
      </c>
    </row>
    <row r="21" spans="1:20" x14ac:dyDescent="0.3">
      <c r="A21" t="s">
        <v>75</v>
      </c>
      <c r="B21" s="3">
        <v>45663</v>
      </c>
      <c r="C21" t="s">
        <v>38</v>
      </c>
      <c r="D21" t="s">
        <v>28</v>
      </c>
      <c r="E21" t="s">
        <v>20</v>
      </c>
      <c r="F21" t="s">
        <v>40</v>
      </c>
      <c r="G21">
        <v>22</v>
      </c>
      <c r="H21" t="s">
        <v>46</v>
      </c>
      <c r="I21" t="s">
        <v>1057</v>
      </c>
      <c r="J21" t="s">
        <v>24</v>
      </c>
      <c r="K21">
        <v>0</v>
      </c>
      <c r="L21" s="4">
        <v>8899</v>
      </c>
      <c r="M21">
        <v>0</v>
      </c>
      <c r="N21">
        <v>8899</v>
      </c>
      <c r="O21" t="s">
        <v>25</v>
      </c>
      <c r="P21">
        <v>4.2</v>
      </c>
      <c r="Q21">
        <v>24</v>
      </c>
      <c r="R21" t="str">
        <f>TEXT(Healthcare_Data[[#This Row],[Visit_Date]],"mmm")</f>
        <v>Jan</v>
      </c>
      <c r="S21">
        <f>MONTH(Healthcare_Data[[#This Row],[Visit_Date]])</f>
        <v>1</v>
      </c>
      <c r="T21" t="str">
        <f>IF(Healthcare_Data[[#This Row],[Final_Bill]]&gt;=50000,"High",IF(Healthcare_Data[[#This Row],[Final_Bill]]&gt;=20000,"Medium","low"))</f>
        <v>low</v>
      </c>
    </row>
    <row r="22" spans="1:20" x14ac:dyDescent="0.3">
      <c r="A22" t="s">
        <v>76</v>
      </c>
      <c r="B22" s="3">
        <v>45663</v>
      </c>
      <c r="C22" t="s">
        <v>48</v>
      </c>
      <c r="D22" t="s">
        <v>28</v>
      </c>
      <c r="E22" t="s">
        <v>20</v>
      </c>
      <c r="F22" t="s">
        <v>40</v>
      </c>
      <c r="G22">
        <v>76</v>
      </c>
      <c r="H22" t="s">
        <v>41</v>
      </c>
      <c r="I22" t="s">
        <v>30</v>
      </c>
      <c r="J22" t="s">
        <v>24</v>
      </c>
      <c r="K22">
        <v>0</v>
      </c>
      <c r="L22" s="4">
        <v>1819</v>
      </c>
      <c r="M22">
        <v>0</v>
      </c>
      <c r="N22">
        <v>1819</v>
      </c>
      <c r="O22" t="s">
        <v>25</v>
      </c>
      <c r="P22">
        <v>4.8</v>
      </c>
      <c r="Q22">
        <v>70</v>
      </c>
      <c r="R22" t="str">
        <f>TEXT(Healthcare_Data[[#This Row],[Visit_Date]],"mmm")</f>
        <v>Jan</v>
      </c>
      <c r="S22">
        <f>MONTH(Healthcare_Data[[#This Row],[Visit_Date]])</f>
        <v>1</v>
      </c>
      <c r="T22" t="str">
        <f>IF(Healthcare_Data[[#This Row],[Final_Bill]]&gt;=50000,"High",IF(Healthcare_Data[[#This Row],[Final_Bill]]&gt;=20000,"Medium","low"))</f>
        <v>low</v>
      </c>
    </row>
    <row r="23" spans="1:20" x14ac:dyDescent="0.3">
      <c r="A23" t="s">
        <v>77</v>
      </c>
      <c r="B23" s="3">
        <v>45663</v>
      </c>
      <c r="C23" t="s">
        <v>54</v>
      </c>
      <c r="D23" t="s">
        <v>39</v>
      </c>
      <c r="E23" t="s">
        <v>54</v>
      </c>
      <c r="F23" t="s">
        <v>40</v>
      </c>
      <c r="G23">
        <v>74</v>
      </c>
      <c r="H23" t="s">
        <v>46</v>
      </c>
      <c r="I23" t="s">
        <v>23</v>
      </c>
      <c r="J23" t="s">
        <v>24</v>
      </c>
      <c r="K23">
        <v>0</v>
      </c>
      <c r="L23" s="4">
        <v>12663</v>
      </c>
      <c r="M23">
        <v>0</v>
      </c>
      <c r="N23">
        <v>12663</v>
      </c>
      <c r="O23" t="s">
        <v>25</v>
      </c>
      <c r="P23">
        <v>2.7</v>
      </c>
      <c r="Q23">
        <v>5</v>
      </c>
      <c r="R23" t="str">
        <f>TEXT(Healthcare_Data[[#This Row],[Visit_Date]],"mmm")</f>
        <v>Jan</v>
      </c>
      <c r="S23">
        <f>MONTH(Healthcare_Data[[#This Row],[Visit_Date]])</f>
        <v>1</v>
      </c>
      <c r="T23" t="str">
        <f>IF(Healthcare_Data[[#This Row],[Final_Bill]]&gt;=50000,"High",IF(Healthcare_Data[[#This Row],[Final_Bill]]&gt;=20000,"Medium","low"))</f>
        <v>low</v>
      </c>
    </row>
    <row r="24" spans="1:20" x14ac:dyDescent="0.3">
      <c r="A24" t="s">
        <v>78</v>
      </c>
      <c r="B24" s="3">
        <v>45663</v>
      </c>
      <c r="C24" t="s">
        <v>67</v>
      </c>
      <c r="D24" t="s">
        <v>19</v>
      </c>
      <c r="E24" t="s">
        <v>20</v>
      </c>
      <c r="F24" t="s">
        <v>40</v>
      </c>
      <c r="G24">
        <v>56</v>
      </c>
      <c r="H24" t="s">
        <v>41</v>
      </c>
      <c r="I24" t="s">
        <v>57</v>
      </c>
      <c r="J24" t="s">
        <v>36</v>
      </c>
      <c r="K24">
        <v>0</v>
      </c>
      <c r="L24" s="4">
        <v>16521</v>
      </c>
      <c r="M24">
        <v>1000</v>
      </c>
      <c r="N24">
        <v>15521</v>
      </c>
      <c r="O24" t="s">
        <v>59</v>
      </c>
      <c r="P24">
        <v>4.7</v>
      </c>
      <c r="Q24">
        <v>36</v>
      </c>
      <c r="R24" t="str">
        <f>TEXT(Healthcare_Data[[#This Row],[Visit_Date]],"mmm")</f>
        <v>Jan</v>
      </c>
      <c r="S24">
        <f>MONTH(Healthcare_Data[[#This Row],[Visit_Date]])</f>
        <v>1</v>
      </c>
      <c r="T24" t="str">
        <f>IF(Healthcare_Data[[#This Row],[Final_Bill]]&gt;=50000,"High",IF(Healthcare_Data[[#This Row],[Final_Bill]]&gt;=20000,"Medium","low"))</f>
        <v>low</v>
      </c>
    </row>
    <row r="25" spans="1:20" x14ac:dyDescent="0.3">
      <c r="A25" t="s">
        <v>79</v>
      </c>
      <c r="B25" s="3">
        <v>45664</v>
      </c>
      <c r="C25" t="s">
        <v>18</v>
      </c>
      <c r="D25" t="s">
        <v>51</v>
      </c>
      <c r="E25" t="s">
        <v>20</v>
      </c>
      <c r="F25" t="s">
        <v>40</v>
      </c>
      <c r="G25">
        <v>52</v>
      </c>
      <c r="H25" t="s">
        <v>22</v>
      </c>
      <c r="I25" t="s">
        <v>57</v>
      </c>
      <c r="J25" t="s">
        <v>58</v>
      </c>
      <c r="K25">
        <v>0</v>
      </c>
      <c r="L25" s="4">
        <v>17432</v>
      </c>
      <c r="M25">
        <v>500</v>
      </c>
      <c r="N25">
        <v>16932</v>
      </c>
      <c r="O25" t="s">
        <v>25</v>
      </c>
      <c r="P25">
        <v>3.9</v>
      </c>
      <c r="Q25">
        <v>76</v>
      </c>
      <c r="R25" t="str">
        <f>TEXT(Healthcare_Data[[#This Row],[Visit_Date]],"mmm")</f>
        <v>Jan</v>
      </c>
      <c r="S25">
        <f>MONTH(Healthcare_Data[[#This Row],[Visit_Date]])</f>
        <v>1</v>
      </c>
      <c r="T25" t="str">
        <f>IF(Healthcare_Data[[#This Row],[Final_Bill]]&gt;=50000,"High",IF(Healthcare_Data[[#This Row],[Final_Bill]]&gt;=20000,"Medium","low"))</f>
        <v>low</v>
      </c>
    </row>
    <row r="26" spans="1:20" x14ac:dyDescent="0.3">
      <c r="A26" t="s">
        <v>80</v>
      </c>
      <c r="B26" s="3">
        <v>45664</v>
      </c>
      <c r="C26" t="s">
        <v>50</v>
      </c>
      <c r="D26" t="s">
        <v>51</v>
      </c>
      <c r="E26" t="s">
        <v>54</v>
      </c>
      <c r="F26" t="s">
        <v>21</v>
      </c>
      <c r="G26">
        <v>45</v>
      </c>
      <c r="H26" t="s">
        <v>56</v>
      </c>
      <c r="I26" t="s">
        <v>72</v>
      </c>
      <c r="J26" t="s">
        <v>36</v>
      </c>
      <c r="K26">
        <v>0</v>
      </c>
      <c r="L26" s="4">
        <v>21662</v>
      </c>
      <c r="M26">
        <v>0</v>
      </c>
      <c r="N26">
        <v>21662</v>
      </c>
      <c r="O26" t="s">
        <v>25</v>
      </c>
      <c r="P26">
        <v>4.8</v>
      </c>
      <c r="Q26">
        <v>48</v>
      </c>
      <c r="R26" t="str">
        <f>TEXT(Healthcare_Data[[#This Row],[Visit_Date]],"mmm")</f>
        <v>Jan</v>
      </c>
      <c r="S26">
        <f>MONTH(Healthcare_Data[[#This Row],[Visit_Date]])</f>
        <v>1</v>
      </c>
      <c r="T26" t="str">
        <f>IF(Healthcare_Data[[#This Row],[Final_Bill]]&gt;=50000,"High",IF(Healthcare_Data[[#This Row],[Final_Bill]]&gt;=20000,"Medium","low"))</f>
        <v>Medium</v>
      </c>
    </row>
    <row r="27" spans="1:20" x14ac:dyDescent="0.3">
      <c r="A27" t="s">
        <v>81</v>
      </c>
      <c r="B27" s="3">
        <v>45665</v>
      </c>
      <c r="C27" t="s">
        <v>54</v>
      </c>
      <c r="D27" t="s">
        <v>39</v>
      </c>
      <c r="E27" t="s">
        <v>52</v>
      </c>
      <c r="F27" t="s">
        <v>21</v>
      </c>
      <c r="G27">
        <v>34</v>
      </c>
      <c r="H27" t="s">
        <v>22</v>
      </c>
      <c r="I27" t="s">
        <v>42</v>
      </c>
      <c r="J27" t="s">
        <v>31</v>
      </c>
      <c r="K27">
        <v>8</v>
      </c>
      <c r="L27" s="4">
        <v>48000</v>
      </c>
      <c r="M27">
        <v>1500</v>
      </c>
      <c r="N27">
        <v>46500</v>
      </c>
      <c r="O27" t="s">
        <v>25</v>
      </c>
      <c r="P27">
        <v>4.7</v>
      </c>
      <c r="Q27">
        <v>68</v>
      </c>
      <c r="R27" t="str">
        <f>TEXT(Healthcare_Data[[#This Row],[Visit_Date]],"mmm")</f>
        <v>Jan</v>
      </c>
      <c r="S27">
        <f>MONTH(Healthcare_Data[[#This Row],[Visit_Date]])</f>
        <v>1</v>
      </c>
      <c r="T27" t="str">
        <f>IF(Healthcare_Data[[#This Row],[Final_Bill]]&gt;=50000,"High",IF(Healthcare_Data[[#This Row],[Final_Bill]]&gt;=20000,"Medium","low"))</f>
        <v>Medium</v>
      </c>
    </row>
    <row r="28" spans="1:20" x14ac:dyDescent="0.3">
      <c r="A28" t="s">
        <v>82</v>
      </c>
      <c r="B28" s="3">
        <v>45665</v>
      </c>
      <c r="C28" t="s">
        <v>54</v>
      </c>
      <c r="D28" t="s">
        <v>28</v>
      </c>
      <c r="E28" t="s">
        <v>20</v>
      </c>
      <c r="F28" t="s">
        <v>21</v>
      </c>
      <c r="G28">
        <v>23</v>
      </c>
      <c r="H28" t="s">
        <v>35</v>
      </c>
      <c r="I28" t="s">
        <v>72</v>
      </c>
      <c r="J28" t="s">
        <v>1057</v>
      </c>
      <c r="K28">
        <v>0</v>
      </c>
      <c r="L28" s="4">
        <v>15282</v>
      </c>
      <c r="M28">
        <v>500</v>
      </c>
      <c r="N28">
        <v>14782</v>
      </c>
      <c r="O28" t="s">
        <v>25</v>
      </c>
      <c r="P28">
        <v>4.3</v>
      </c>
      <c r="Q28">
        <v>35</v>
      </c>
      <c r="R28" t="str">
        <f>TEXT(Healthcare_Data[[#This Row],[Visit_Date]],"mmm")</f>
        <v>Jan</v>
      </c>
      <c r="S28">
        <f>MONTH(Healthcare_Data[[#This Row],[Visit_Date]])</f>
        <v>1</v>
      </c>
      <c r="T28" t="str">
        <f>IF(Healthcare_Data[[#This Row],[Final_Bill]]&gt;=50000,"High",IF(Healthcare_Data[[#This Row],[Final_Bill]]&gt;=20000,"Medium","low"))</f>
        <v>low</v>
      </c>
    </row>
    <row r="29" spans="1:20" x14ac:dyDescent="0.3">
      <c r="A29" t="s">
        <v>83</v>
      </c>
      <c r="B29" s="3">
        <v>45665</v>
      </c>
      <c r="C29" t="s">
        <v>67</v>
      </c>
      <c r="D29" t="s">
        <v>51</v>
      </c>
      <c r="E29" t="s">
        <v>20</v>
      </c>
      <c r="F29" t="s">
        <v>21</v>
      </c>
      <c r="G29">
        <v>64</v>
      </c>
      <c r="H29" t="s">
        <v>35</v>
      </c>
      <c r="I29" t="s">
        <v>63</v>
      </c>
      <c r="J29" t="s">
        <v>24</v>
      </c>
      <c r="K29">
        <v>0</v>
      </c>
      <c r="L29" s="4">
        <v>17523</v>
      </c>
      <c r="M29">
        <v>500</v>
      </c>
      <c r="N29">
        <v>17023</v>
      </c>
      <c r="O29" t="s">
        <v>25</v>
      </c>
      <c r="P29">
        <v>3.1</v>
      </c>
      <c r="Q29">
        <v>34</v>
      </c>
      <c r="R29" t="str">
        <f>TEXT(Healthcare_Data[[#This Row],[Visit_Date]],"mmm")</f>
        <v>Jan</v>
      </c>
      <c r="S29">
        <f>MONTH(Healthcare_Data[[#This Row],[Visit_Date]])</f>
        <v>1</v>
      </c>
      <c r="T29" t="str">
        <f>IF(Healthcare_Data[[#This Row],[Final_Bill]]&gt;=50000,"High",IF(Healthcare_Data[[#This Row],[Final_Bill]]&gt;=20000,"Medium","low"))</f>
        <v>low</v>
      </c>
    </row>
    <row r="30" spans="1:20" x14ac:dyDescent="0.3">
      <c r="A30" t="s">
        <v>84</v>
      </c>
      <c r="B30" s="3">
        <v>45666</v>
      </c>
      <c r="C30" t="s">
        <v>18</v>
      </c>
      <c r="D30" t="s">
        <v>19</v>
      </c>
      <c r="E30" t="s">
        <v>20</v>
      </c>
      <c r="F30" t="s">
        <v>21</v>
      </c>
      <c r="G30">
        <v>80</v>
      </c>
      <c r="H30" t="s">
        <v>65</v>
      </c>
      <c r="I30" t="s">
        <v>63</v>
      </c>
      <c r="J30" t="s">
        <v>36</v>
      </c>
      <c r="K30">
        <v>0</v>
      </c>
      <c r="L30" s="4">
        <v>8738</v>
      </c>
      <c r="M30">
        <v>500</v>
      </c>
      <c r="N30">
        <v>8238</v>
      </c>
      <c r="O30" t="s">
        <v>25</v>
      </c>
      <c r="P30">
        <v>2.6</v>
      </c>
      <c r="Q30">
        <v>37</v>
      </c>
      <c r="R30" t="str">
        <f>TEXT(Healthcare_Data[[#This Row],[Visit_Date]],"mmm")</f>
        <v>Jan</v>
      </c>
      <c r="S30">
        <f>MONTH(Healthcare_Data[[#This Row],[Visit_Date]])</f>
        <v>1</v>
      </c>
      <c r="T30" t="str">
        <f>IF(Healthcare_Data[[#This Row],[Final_Bill]]&gt;=50000,"High",IF(Healthcare_Data[[#This Row],[Final_Bill]]&gt;=20000,"Medium","low"))</f>
        <v>low</v>
      </c>
    </row>
    <row r="31" spans="1:20" x14ac:dyDescent="0.3">
      <c r="A31" t="s">
        <v>85</v>
      </c>
      <c r="B31" s="3">
        <v>45666</v>
      </c>
      <c r="C31" t="s">
        <v>38</v>
      </c>
      <c r="D31" t="s">
        <v>34</v>
      </c>
      <c r="E31" t="s">
        <v>20</v>
      </c>
      <c r="F31" t="s">
        <v>40</v>
      </c>
      <c r="G31">
        <v>53</v>
      </c>
      <c r="H31" t="s">
        <v>41</v>
      </c>
      <c r="I31" t="s">
        <v>42</v>
      </c>
      <c r="J31" t="s">
        <v>31</v>
      </c>
      <c r="K31">
        <v>0</v>
      </c>
      <c r="L31" s="4">
        <v>11708</v>
      </c>
      <c r="M31">
        <v>0</v>
      </c>
      <c r="N31">
        <v>11708</v>
      </c>
      <c r="O31" t="s">
        <v>25</v>
      </c>
      <c r="P31">
        <v>3.4</v>
      </c>
      <c r="Q31">
        <v>89</v>
      </c>
      <c r="R31" t="str">
        <f>TEXT(Healthcare_Data[[#This Row],[Visit_Date]],"mmm")</f>
        <v>Jan</v>
      </c>
      <c r="S31">
        <f>MONTH(Healthcare_Data[[#This Row],[Visit_Date]])</f>
        <v>1</v>
      </c>
      <c r="T31" t="str">
        <f>IF(Healthcare_Data[[#This Row],[Final_Bill]]&gt;=50000,"High",IF(Healthcare_Data[[#This Row],[Final_Bill]]&gt;=20000,"Medium","low"))</f>
        <v>low</v>
      </c>
    </row>
    <row r="32" spans="1:20" x14ac:dyDescent="0.3">
      <c r="A32" t="s">
        <v>86</v>
      </c>
      <c r="B32" s="3">
        <v>45666</v>
      </c>
      <c r="C32" t="s">
        <v>38</v>
      </c>
      <c r="D32" t="s">
        <v>39</v>
      </c>
      <c r="E32" t="s">
        <v>54</v>
      </c>
      <c r="F32" t="s">
        <v>40</v>
      </c>
      <c r="G32">
        <v>80</v>
      </c>
      <c r="H32" t="s">
        <v>22</v>
      </c>
      <c r="I32" t="s">
        <v>69</v>
      </c>
      <c r="J32" t="s">
        <v>24</v>
      </c>
      <c r="K32">
        <v>0</v>
      </c>
      <c r="L32" s="4">
        <v>43771</v>
      </c>
      <c r="M32">
        <v>0</v>
      </c>
      <c r="N32">
        <v>43771</v>
      </c>
      <c r="O32" t="s">
        <v>25</v>
      </c>
      <c r="P32">
        <v>4.0999999999999996</v>
      </c>
      <c r="Q32">
        <v>37</v>
      </c>
      <c r="R32" t="str">
        <f>TEXT(Healthcare_Data[[#This Row],[Visit_Date]],"mmm")</f>
        <v>Jan</v>
      </c>
      <c r="S32">
        <f>MONTH(Healthcare_Data[[#This Row],[Visit_Date]])</f>
        <v>1</v>
      </c>
      <c r="T32" t="str">
        <f>IF(Healthcare_Data[[#This Row],[Final_Bill]]&gt;=50000,"High",IF(Healthcare_Data[[#This Row],[Final_Bill]]&gt;=20000,"Medium","low"))</f>
        <v>Medium</v>
      </c>
    </row>
    <row r="33" spans="1:20" x14ac:dyDescent="0.3">
      <c r="A33" t="s">
        <v>87</v>
      </c>
      <c r="B33" s="3">
        <v>45667</v>
      </c>
      <c r="C33" t="s">
        <v>67</v>
      </c>
      <c r="D33" t="s">
        <v>28</v>
      </c>
      <c r="E33" t="s">
        <v>20</v>
      </c>
      <c r="F33" t="s">
        <v>40</v>
      </c>
      <c r="G33">
        <v>49</v>
      </c>
      <c r="H33" t="s">
        <v>41</v>
      </c>
      <c r="I33" t="s">
        <v>23</v>
      </c>
      <c r="J33" t="s">
        <v>36</v>
      </c>
      <c r="K33">
        <v>0</v>
      </c>
      <c r="L33" s="4">
        <v>3002</v>
      </c>
      <c r="M33">
        <v>500</v>
      </c>
      <c r="N33">
        <v>2502</v>
      </c>
      <c r="O33" t="s">
        <v>25</v>
      </c>
      <c r="P33">
        <v>2.8</v>
      </c>
      <c r="Q33">
        <v>71</v>
      </c>
      <c r="R33" t="str">
        <f>TEXT(Healthcare_Data[[#This Row],[Visit_Date]],"mmm")</f>
        <v>Jan</v>
      </c>
      <c r="S33">
        <f>MONTH(Healthcare_Data[[#This Row],[Visit_Date]])</f>
        <v>1</v>
      </c>
      <c r="T33" t="str">
        <f>IF(Healthcare_Data[[#This Row],[Final_Bill]]&gt;=50000,"High",IF(Healthcare_Data[[#This Row],[Final_Bill]]&gt;=20000,"Medium","low"))</f>
        <v>low</v>
      </c>
    </row>
    <row r="34" spans="1:20" x14ac:dyDescent="0.3">
      <c r="A34" t="s">
        <v>88</v>
      </c>
      <c r="B34" s="3">
        <v>45667</v>
      </c>
      <c r="C34" t="s">
        <v>54</v>
      </c>
      <c r="D34" t="s">
        <v>39</v>
      </c>
      <c r="E34" t="s">
        <v>20</v>
      </c>
      <c r="F34" t="s">
        <v>40</v>
      </c>
      <c r="G34">
        <v>41</v>
      </c>
      <c r="H34" t="s">
        <v>65</v>
      </c>
      <c r="I34" t="s">
        <v>30</v>
      </c>
      <c r="J34" t="s">
        <v>58</v>
      </c>
      <c r="K34">
        <v>0</v>
      </c>
      <c r="L34" s="4">
        <v>13945</v>
      </c>
      <c r="M34">
        <v>2000</v>
      </c>
      <c r="N34">
        <v>11945</v>
      </c>
      <c r="O34" t="s">
        <v>25</v>
      </c>
      <c r="P34">
        <v>2.8</v>
      </c>
      <c r="Q34">
        <v>40</v>
      </c>
      <c r="R34" t="str">
        <f>TEXT(Healthcare_Data[[#This Row],[Visit_Date]],"mmm")</f>
        <v>Jan</v>
      </c>
      <c r="S34">
        <f>MONTH(Healthcare_Data[[#This Row],[Visit_Date]])</f>
        <v>1</v>
      </c>
      <c r="T34" t="str">
        <f>IF(Healthcare_Data[[#This Row],[Final_Bill]]&gt;=50000,"High",IF(Healthcare_Data[[#This Row],[Final_Bill]]&gt;=20000,"Medium","low"))</f>
        <v>low</v>
      </c>
    </row>
    <row r="35" spans="1:20" x14ac:dyDescent="0.3">
      <c r="A35" t="s">
        <v>89</v>
      </c>
      <c r="B35" s="3">
        <v>45669</v>
      </c>
      <c r="C35" t="s">
        <v>50</v>
      </c>
      <c r="D35" t="s">
        <v>34</v>
      </c>
      <c r="E35" t="s">
        <v>20</v>
      </c>
      <c r="F35" t="s">
        <v>40</v>
      </c>
      <c r="G35">
        <v>40</v>
      </c>
      <c r="H35" t="s">
        <v>46</v>
      </c>
      <c r="I35" t="s">
        <v>69</v>
      </c>
      <c r="J35" t="s">
        <v>24</v>
      </c>
      <c r="K35">
        <v>0</v>
      </c>
      <c r="L35" s="4">
        <v>3607</v>
      </c>
      <c r="M35">
        <v>2000</v>
      </c>
      <c r="N35">
        <v>1607</v>
      </c>
      <c r="O35" t="s">
        <v>25</v>
      </c>
      <c r="P35">
        <v>4.5</v>
      </c>
      <c r="Q35">
        <v>73</v>
      </c>
      <c r="R35" t="str">
        <f>TEXT(Healthcare_Data[[#This Row],[Visit_Date]],"mmm")</f>
        <v>Jan</v>
      </c>
      <c r="S35">
        <f>MONTH(Healthcare_Data[[#This Row],[Visit_Date]])</f>
        <v>1</v>
      </c>
      <c r="T35" t="str">
        <f>IF(Healthcare_Data[[#This Row],[Final_Bill]]&gt;=50000,"High",IF(Healthcare_Data[[#This Row],[Final_Bill]]&gt;=20000,"Medium","low"))</f>
        <v>low</v>
      </c>
    </row>
    <row r="36" spans="1:20" x14ac:dyDescent="0.3">
      <c r="A36" t="s">
        <v>90</v>
      </c>
      <c r="B36" s="3">
        <v>45669</v>
      </c>
      <c r="C36" t="s">
        <v>38</v>
      </c>
      <c r="D36" t="s">
        <v>51</v>
      </c>
      <c r="E36" t="s">
        <v>20</v>
      </c>
      <c r="F36" t="s">
        <v>40</v>
      </c>
      <c r="G36">
        <v>51</v>
      </c>
      <c r="H36" t="s">
        <v>29</v>
      </c>
      <c r="I36" t="s">
        <v>72</v>
      </c>
      <c r="J36" t="s">
        <v>36</v>
      </c>
      <c r="K36">
        <v>0</v>
      </c>
      <c r="L36" s="4">
        <v>8647</v>
      </c>
      <c r="M36">
        <v>0</v>
      </c>
      <c r="N36">
        <v>8647</v>
      </c>
      <c r="O36" t="s">
        <v>25</v>
      </c>
      <c r="P36">
        <v>2.9</v>
      </c>
      <c r="Q36">
        <v>6</v>
      </c>
      <c r="R36" t="str">
        <f>TEXT(Healthcare_Data[[#This Row],[Visit_Date]],"mmm")</f>
        <v>Jan</v>
      </c>
      <c r="S36">
        <f>MONTH(Healthcare_Data[[#This Row],[Visit_Date]])</f>
        <v>1</v>
      </c>
      <c r="T36" t="str">
        <f>IF(Healthcare_Data[[#This Row],[Final_Bill]]&gt;=50000,"High",IF(Healthcare_Data[[#This Row],[Final_Bill]]&gt;=20000,"Medium","low"))</f>
        <v>low</v>
      </c>
    </row>
    <row r="37" spans="1:20" x14ac:dyDescent="0.3">
      <c r="A37" t="s">
        <v>91</v>
      </c>
      <c r="B37" s="3">
        <v>45669</v>
      </c>
      <c r="C37" t="s">
        <v>50</v>
      </c>
      <c r="D37" t="s">
        <v>28</v>
      </c>
      <c r="E37" t="s">
        <v>20</v>
      </c>
      <c r="F37" t="s">
        <v>21</v>
      </c>
      <c r="G37">
        <v>38</v>
      </c>
      <c r="H37" t="s">
        <v>35</v>
      </c>
      <c r="I37" t="s">
        <v>42</v>
      </c>
      <c r="J37" t="s">
        <v>31</v>
      </c>
      <c r="K37">
        <v>0</v>
      </c>
      <c r="L37" s="4">
        <v>16382</v>
      </c>
      <c r="M37">
        <v>0</v>
      </c>
      <c r="N37">
        <v>16382</v>
      </c>
      <c r="O37" t="s">
        <v>25</v>
      </c>
      <c r="P37">
        <v>4.9000000000000004</v>
      </c>
      <c r="Q37">
        <v>78</v>
      </c>
      <c r="R37" t="str">
        <f>TEXT(Healthcare_Data[[#This Row],[Visit_Date]],"mmm")</f>
        <v>Jan</v>
      </c>
      <c r="S37">
        <f>MONTH(Healthcare_Data[[#This Row],[Visit_Date]])</f>
        <v>1</v>
      </c>
      <c r="T37" t="str">
        <f>IF(Healthcare_Data[[#This Row],[Final_Bill]]&gt;=50000,"High",IF(Healthcare_Data[[#This Row],[Final_Bill]]&gt;=20000,"Medium","low"))</f>
        <v>low</v>
      </c>
    </row>
    <row r="38" spans="1:20" x14ac:dyDescent="0.3">
      <c r="A38" t="s">
        <v>92</v>
      </c>
      <c r="B38" s="3">
        <v>45670</v>
      </c>
      <c r="C38" t="s">
        <v>48</v>
      </c>
      <c r="D38" t="s">
        <v>34</v>
      </c>
      <c r="E38" t="s">
        <v>20</v>
      </c>
      <c r="F38" t="s">
        <v>21</v>
      </c>
      <c r="G38">
        <v>35</v>
      </c>
      <c r="H38" t="s">
        <v>22</v>
      </c>
      <c r="I38" t="s">
        <v>42</v>
      </c>
      <c r="J38" t="s">
        <v>31</v>
      </c>
      <c r="K38">
        <v>0</v>
      </c>
      <c r="L38" s="4">
        <v>19440</v>
      </c>
      <c r="M38">
        <v>1500</v>
      </c>
      <c r="N38">
        <v>17940</v>
      </c>
      <c r="O38" t="s">
        <v>25</v>
      </c>
      <c r="P38">
        <v>4.3</v>
      </c>
      <c r="Q38">
        <v>96</v>
      </c>
      <c r="R38" t="str">
        <f>TEXT(Healthcare_Data[[#This Row],[Visit_Date]],"mmm")</f>
        <v>Jan</v>
      </c>
      <c r="S38">
        <f>MONTH(Healthcare_Data[[#This Row],[Visit_Date]])</f>
        <v>1</v>
      </c>
      <c r="T38" t="str">
        <f>IF(Healthcare_Data[[#This Row],[Final_Bill]]&gt;=50000,"High",IF(Healthcare_Data[[#This Row],[Final_Bill]]&gt;=20000,"Medium","low"))</f>
        <v>low</v>
      </c>
    </row>
    <row r="39" spans="1:20" x14ac:dyDescent="0.3">
      <c r="A39" t="s">
        <v>93</v>
      </c>
      <c r="B39" s="3">
        <v>45670</v>
      </c>
      <c r="C39" t="s">
        <v>18</v>
      </c>
      <c r="D39" t="s">
        <v>28</v>
      </c>
      <c r="E39" t="s">
        <v>20</v>
      </c>
      <c r="F39" t="s">
        <v>40</v>
      </c>
      <c r="G39">
        <v>73</v>
      </c>
      <c r="H39" t="s">
        <v>56</v>
      </c>
      <c r="I39" t="s">
        <v>72</v>
      </c>
      <c r="J39" t="s">
        <v>1057</v>
      </c>
      <c r="K39">
        <v>0</v>
      </c>
      <c r="L39" s="4">
        <v>3246</v>
      </c>
      <c r="M39">
        <v>1000</v>
      </c>
      <c r="N39">
        <v>2246</v>
      </c>
      <c r="O39" t="s">
        <v>25</v>
      </c>
      <c r="P39">
        <v>2.6</v>
      </c>
      <c r="Q39">
        <v>11</v>
      </c>
      <c r="R39" t="str">
        <f>TEXT(Healthcare_Data[[#This Row],[Visit_Date]],"mmm")</f>
        <v>Jan</v>
      </c>
      <c r="S39">
        <f>MONTH(Healthcare_Data[[#This Row],[Visit_Date]])</f>
        <v>1</v>
      </c>
      <c r="T39" t="str">
        <f>IF(Healthcare_Data[[#This Row],[Final_Bill]]&gt;=50000,"High",IF(Healthcare_Data[[#This Row],[Final_Bill]]&gt;=20000,"Medium","low"))</f>
        <v>low</v>
      </c>
    </row>
    <row r="40" spans="1:20" x14ac:dyDescent="0.3">
      <c r="A40" t="s">
        <v>94</v>
      </c>
      <c r="B40" s="3">
        <v>45670</v>
      </c>
      <c r="C40" t="s">
        <v>67</v>
      </c>
      <c r="D40" t="s">
        <v>51</v>
      </c>
      <c r="E40" t="s">
        <v>54</v>
      </c>
      <c r="F40" t="s">
        <v>40</v>
      </c>
      <c r="G40">
        <v>56</v>
      </c>
      <c r="H40" t="s">
        <v>41</v>
      </c>
      <c r="I40" t="s">
        <v>23</v>
      </c>
      <c r="J40" t="s">
        <v>24</v>
      </c>
      <c r="K40">
        <v>0</v>
      </c>
      <c r="L40" s="4">
        <v>24493</v>
      </c>
      <c r="M40">
        <v>0</v>
      </c>
      <c r="N40">
        <v>24493</v>
      </c>
      <c r="O40" t="s">
        <v>25</v>
      </c>
      <c r="P40">
        <v>4.2</v>
      </c>
      <c r="Q40">
        <v>112</v>
      </c>
      <c r="R40" t="str">
        <f>TEXT(Healthcare_Data[[#This Row],[Visit_Date]],"mmm")</f>
        <v>Jan</v>
      </c>
      <c r="S40">
        <f>MONTH(Healthcare_Data[[#This Row],[Visit_Date]])</f>
        <v>1</v>
      </c>
      <c r="T40" t="str">
        <f>IF(Healthcare_Data[[#This Row],[Final_Bill]]&gt;=50000,"High",IF(Healthcare_Data[[#This Row],[Final_Bill]]&gt;=20000,"Medium","low"))</f>
        <v>Medium</v>
      </c>
    </row>
    <row r="41" spans="1:20" x14ac:dyDescent="0.3">
      <c r="A41" t="s">
        <v>95</v>
      </c>
      <c r="B41" s="3">
        <v>45670</v>
      </c>
      <c r="C41" t="s">
        <v>50</v>
      </c>
      <c r="D41" t="s">
        <v>34</v>
      </c>
      <c r="E41" t="s">
        <v>52</v>
      </c>
      <c r="F41" t="s">
        <v>40</v>
      </c>
      <c r="G41">
        <v>38</v>
      </c>
      <c r="H41" t="s">
        <v>22</v>
      </c>
      <c r="I41" t="s">
        <v>23</v>
      </c>
      <c r="J41" t="s">
        <v>36</v>
      </c>
      <c r="K41">
        <v>13</v>
      </c>
      <c r="L41" s="4">
        <v>35269</v>
      </c>
      <c r="M41">
        <v>1000</v>
      </c>
      <c r="N41">
        <v>34269</v>
      </c>
      <c r="O41" t="s">
        <v>25</v>
      </c>
      <c r="P41">
        <v>3.6</v>
      </c>
      <c r="Q41">
        <v>66</v>
      </c>
      <c r="R41" t="str">
        <f>TEXT(Healthcare_Data[[#This Row],[Visit_Date]],"mmm")</f>
        <v>Jan</v>
      </c>
      <c r="S41">
        <f>MONTH(Healthcare_Data[[#This Row],[Visit_Date]])</f>
        <v>1</v>
      </c>
      <c r="T41" t="str">
        <f>IF(Healthcare_Data[[#This Row],[Final_Bill]]&gt;=50000,"High",IF(Healthcare_Data[[#This Row],[Final_Bill]]&gt;=20000,"Medium","low"))</f>
        <v>Medium</v>
      </c>
    </row>
    <row r="42" spans="1:20" x14ac:dyDescent="0.3">
      <c r="A42" t="s">
        <v>96</v>
      </c>
      <c r="B42" s="3">
        <v>45671</v>
      </c>
      <c r="C42" t="s">
        <v>18</v>
      </c>
      <c r="D42" t="s">
        <v>51</v>
      </c>
      <c r="E42" t="s">
        <v>20</v>
      </c>
      <c r="F42" t="s">
        <v>40</v>
      </c>
      <c r="G42">
        <v>75</v>
      </c>
      <c r="H42" t="s">
        <v>56</v>
      </c>
      <c r="I42" t="s">
        <v>30</v>
      </c>
      <c r="J42" t="s">
        <v>24</v>
      </c>
      <c r="K42">
        <v>0</v>
      </c>
      <c r="L42" s="4">
        <v>19796</v>
      </c>
      <c r="M42">
        <v>500</v>
      </c>
      <c r="N42">
        <v>19296</v>
      </c>
      <c r="O42" t="s">
        <v>25</v>
      </c>
      <c r="P42">
        <v>3</v>
      </c>
      <c r="Q42">
        <v>93</v>
      </c>
      <c r="R42" t="str">
        <f>TEXT(Healthcare_Data[[#This Row],[Visit_Date]],"mmm")</f>
        <v>Jan</v>
      </c>
      <c r="S42">
        <f>MONTH(Healthcare_Data[[#This Row],[Visit_Date]])</f>
        <v>1</v>
      </c>
      <c r="T42" t="str">
        <f>IF(Healthcare_Data[[#This Row],[Final_Bill]]&gt;=50000,"High",IF(Healthcare_Data[[#This Row],[Final_Bill]]&gt;=20000,"Medium","low"))</f>
        <v>low</v>
      </c>
    </row>
    <row r="43" spans="1:20" x14ac:dyDescent="0.3">
      <c r="A43" t="s">
        <v>97</v>
      </c>
      <c r="B43" s="3">
        <v>45671</v>
      </c>
      <c r="C43" t="s">
        <v>27</v>
      </c>
      <c r="D43" t="s">
        <v>19</v>
      </c>
      <c r="E43" t="s">
        <v>52</v>
      </c>
      <c r="F43" t="s">
        <v>21</v>
      </c>
      <c r="G43">
        <v>22</v>
      </c>
      <c r="H43" t="s">
        <v>56</v>
      </c>
      <c r="I43" t="s">
        <v>69</v>
      </c>
      <c r="J43" t="s">
        <v>31</v>
      </c>
      <c r="K43">
        <v>14</v>
      </c>
      <c r="L43" s="4">
        <v>40135</v>
      </c>
      <c r="M43">
        <v>500</v>
      </c>
      <c r="N43">
        <v>39635</v>
      </c>
      <c r="O43" t="s">
        <v>25</v>
      </c>
      <c r="P43">
        <v>3.8</v>
      </c>
      <c r="Q43">
        <v>32</v>
      </c>
      <c r="R43" t="str">
        <f>TEXT(Healthcare_Data[[#This Row],[Visit_Date]],"mmm")</f>
        <v>Jan</v>
      </c>
      <c r="S43">
        <f>MONTH(Healthcare_Data[[#This Row],[Visit_Date]])</f>
        <v>1</v>
      </c>
      <c r="T43" t="str">
        <f>IF(Healthcare_Data[[#This Row],[Final_Bill]]&gt;=50000,"High",IF(Healthcare_Data[[#This Row],[Final_Bill]]&gt;=20000,"Medium","low"))</f>
        <v>Medium</v>
      </c>
    </row>
    <row r="44" spans="1:20" x14ac:dyDescent="0.3">
      <c r="A44" t="s">
        <v>98</v>
      </c>
      <c r="B44" s="3">
        <v>45671</v>
      </c>
      <c r="C44" t="s">
        <v>18</v>
      </c>
      <c r="D44" t="s">
        <v>28</v>
      </c>
      <c r="E44" t="s">
        <v>20</v>
      </c>
      <c r="F44" t="s">
        <v>40</v>
      </c>
      <c r="G44">
        <v>80</v>
      </c>
      <c r="H44" t="s">
        <v>46</v>
      </c>
      <c r="I44" t="s">
        <v>23</v>
      </c>
      <c r="J44" t="s">
        <v>36</v>
      </c>
      <c r="K44">
        <v>0</v>
      </c>
      <c r="L44" s="4">
        <v>13603</v>
      </c>
      <c r="M44">
        <v>1000</v>
      </c>
      <c r="N44">
        <v>12603</v>
      </c>
      <c r="O44" t="s">
        <v>25</v>
      </c>
      <c r="P44">
        <v>4.4000000000000004</v>
      </c>
      <c r="Q44">
        <v>27</v>
      </c>
      <c r="R44" t="str">
        <f>TEXT(Healthcare_Data[[#This Row],[Visit_Date]],"mmm")</f>
        <v>Jan</v>
      </c>
      <c r="S44">
        <f>MONTH(Healthcare_Data[[#This Row],[Visit_Date]])</f>
        <v>1</v>
      </c>
      <c r="T44" t="str">
        <f>IF(Healthcare_Data[[#This Row],[Final_Bill]]&gt;=50000,"High",IF(Healthcare_Data[[#This Row],[Final_Bill]]&gt;=20000,"Medium","low"))</f>
        <v>low</v>
      </c>
    </row>
    <row r="45" spans="1:20" x14ac:dyDescent="0.3">
      <c r="A45" t="s">
        <v>99</v>
      </c>
      <c r="B45" s="3">
        <v>45671</v>
      </c>
      <c r="C45" t="s">
        <v>18</v>
      </c>
      <c r="D45" t="s">
        <v>39</v>
      </c>
      <c r="E45" t="s">
        <v>20</v>
      </c>
      <c r="F45" t="s">
        <v>40</v>
      </c>
      <c r="G45">
        <v>65</v>
      </c>
      <c r="H45" t="s">
        <v>46</v>
      </c>
      <c r="I45" t="s">
        <v>72</v>
      </c>
      <c r="J45" t="s">
        <v>24</v>
      </c>
      <c r="K45">
        <v>0</v>
      </c>
      <c r="L45" s="4">
        <v>8266</v>
      </c>
      <c r="M45">
        <v>0</v>
      </c>
      <c r="N45">
        <v>8266</v>
      </c>
      <c r="O45" t="s">
        <v>32</v>
      </c>
      <c r="P45">
        <v>4.9000000000000004</v>
      </c>
      <c r="Q45">
        <v>25</v>
      </c>
      <c r="R45" t="str">
        <f>TEXT(Healthcare_Data[[#This Row],[Visit_Date]],"mmm")</f>
        <v>Jan</v>
      </c>
      <c r="S45">
        <f>MONTH(Healthcare_Data[[#This Row],[Visit_Date]])</f>
        <v>1</v>
      </c>
      <c r="T45" t="str">
        <f>IF(Healthcare_Data[[#This Row],[Final_Bill]]&gt;=50000,"High",IF(Healthcare_Data[[#This Row],[Final_Bill]]&gt;=20000,"Medium","low"))</f>
        <v>low</v>
      </c>
    </row>
    <row r="46" spans="1:20" x14ac:dyDescent="0.3">
      <c r="A46" t="s">
        <v>100</v>
      </c>
      <c r="B46" s="3">
        <v>45672</v>
      </c>
      <c r="C46" t="s">
        <v>50</v>
      </c>
      <c r="D46" t="s">
        <v>19</v>
      </c>
      <c r="E46" t="s">
        <v>54</v>
      </c>
      <c r="F46" t="s">
        <v>21</v>
      </c>
      <c r="G46">
        <v>51</v>
      </c>
      <c r="H46" t="s">
        <v>56</v>
      </c>
      <c r="I46" t="s">
        <v>72</v>
      </c>
      <c r="J46" t="s">
        <v>24</v>
      </c>
      <c r="K46">
        <v>0</v>
      </c>
      <c r="L46" s="4">
        <v>19039</v>
      </c>
      <c r="M46">
        <v>0</v>
      </c>
      <c r="N46">
        <v>19039</v>
      </c>
      <c r="O46" t="s">
        <v>25</v>
      </c>
      <c r="P46">
        <v>2.7</v>
      </c>
      <c r="Q46">
        <v>23</v>
      </c>
      <c r="R46" t="str">
        <f>TEXT(Healthcare_Data[[#This Row],[Visit_Date]],"mmm")</f>
        <v>Jan</v>
      </c>
      <c r="S46">
        <f>MONTH(Healthcare_Data[[#This Row],[Visit_Date]])</f>
        <v>1</v>
      </c>
      <c r="T46" t="str">
        <f>IF(Healthcare_Data[[#This Row],[Final_Bill]]&gt;=50000,"High",IF(Healthcare_Data[[#This Row],[Final_Bill]]&gt;=20000,"Medium","low"))</f>
        <v>low</v>
      </c>
    </row>
    <row r="47" spans="1:20" x14ac:dyDescent="0.3">
      <c r="A47" t="s">
        <v>101</v>
      </c>
      <c r="B47" s="3">
        <v>45672</v>
      </c>
      <c r="C47" t="s">
        <v>27</v>
      </c>
      <c r="D47" t="s">
        <v>39</v>
      </c>
      <c r="E47" t="s">
        <v>52</v>
      </c>
      <c r="F47" t="s">
        <v>40</v>
      </c>
      <c r="G47">
        <v>39</v>
      </c>
      <c r="H47" t="s">
        <v>46</v>
      </c>
      <c r="I47" t="s">
        <v>30</v>
      </c>
      <c r="J47" t="s">
        <v>36</v>
      </c>
      <c r="K47">
        <v>14</v>
      </c>
      <c r="L47" s="4">
        <v>18770</v>
      </c>
      <c r="M47">
        <v>0</v>
      </c>
      <c r="N47">
        <v>18770</v>
      </c>
      <c r="O47" t="s">
        <v>25</v>
      </c>
      <c r="P47">
        <v>2.8</v>
      </c>
      <c r="Q47">
        <v>11</v>
      </c>
      <c r="R47" t="str">
        <f>TEXT(Healthcare_Data[[#This Row],[Visit_Date]],"mmm")</f>
        <v>Jan</v>
      </c>
      <c r="S47">
        <f>MONTH(Healthcare_Data[[#This Row],[Visit_Date]])</f>
        <v>1</v>
      </c>
      <c r="T47" t="str">
        <f>IF(Healthcare_Data[[#This Row],[Final_Bill]]&gt;=50000,"High",IF(Healthcare_Data[[#This Row],[Final_Bill]]&gt;=20000,"Medium","low"))</f>
        <v>low</v>
      </c>
    </row>
    <row r="48" spans="1:20" x14ac:dyDescent="0.3">
      <c r="A48" t="s">
        <v>102</v>
      </c>
      <c r="B48" s="3">
        <v>45672</v>
      </c>
      <c r="C48" t="s">
        <v>67</v>
      </c>
      <c r="D48" t="s">
        <v>51</v>
      </c>
      <c r="E48" t="s">
        <v>20</v>
      </c>
      <c r="F48" t="s">
        <v>40</v>
      </c>
      <c r="G48">
        <v>34</v>
      </c>
      <c r="H48" t="s">
        <v>65</v>
      </c>
      <c r="I48" t="s">
        <v>72</v>
      </c>
      <c r="J48" t="s">
        <v>24</v>
      </c>
      <c r="K48">
        <v>0</v>
      </c>
      <c r="L48" s="4">
        <v>16795</v>
      </c>
      <c r="M48">
        <v>500</v>
      </c>
      <c r="N48">
        <v>16295</v>
      </c>
      <c r="O48" t="s">
        <v>32</v>
      </c>
      <c r="P48">
        <v>4.7</v>
      </c>
      <c r="Q48">
        <v>86</v>
      </c>
      <c r="R48" t="str">
        <f>TEXT(Healthcare_Data[[#This Row],[Visit_Date]],"mmm")</f>
        <v>Jan</v>
      </c>
      <c r="S48">
        <f>MONTH(Healthcare_Data[[#This Row],[Visit_Date]])</f>
        <v>1</v>
      </c>
      <c r="T48" t="str">
        <f>IF(Healthcare_Data[[#This Row],[Final_Bill]]&gt;=50000,"High",IF(Healthcare_Data[[#This Row],[Final_Bill]]&gt;=20000,"Medium","low"))</f>
        <v>low</v>
      </c>
    </row>
    <row r="49" spans="1:20" x14ac:dyDescent="0.3">
      <c r="A49" t="s">
        <v>103</v>
      </c>
      <c r="B49" s="3">
        <v>45673</v>
      </c>
      <c r="C49" t="s">
        <v>50</v>
      </c>
      <c r="D49" t="s">
        <v>39</v>
      </c>
      <c r="E49" t="s">
        <v>20</v>
      </c>
      <c r="F49" t="s">
        <v>21</v>
      </c>
      <c r="G49">
        <v>43</v>
      </c>
      <c r="H49" t="s">
        <v>56</v>
      </c>
      <c r="I49" t="s">
        <v>23</v>
      </c>
      <c r="J49" t="s">
        <v>58</v>
      </c>
      <c r="K49">
        <v>0</v>
      </c>
      <c r="L49" s="4">
        <v>5774</v>
      </c>
      <c r="M49">
        <v>0</v>
      </c>
      <c r="N49">
        <v>5774</v>
      </c>
      <c r="O49" t="s">
        <v>25</v>
      </c>
      <c r="P49">
        <v>3.2</v>
      </c>
      <c r="Q49">
        <v>83</v>
      </c>
      <c r="R49" t="str">
        <f>TEXT(Healthcare_Data[[#This Row],[Visit_Date]],"mmm")</f>
        <v>Jan</v>
      </c>
      <c r="S49">
        <f>MONTH(Healthcare_Data[[#This Row],[Visit_Date]])</f>
        <v>1</v>
      </c>
      <c r="T49" t="str">
        <f>IF(Healthcare_Data[[#This Row],[Final_Bill]]&gt;=50000,"High",IF(Healthcare_Data[[#This Row],[Final_Bill]]&gt;=20000,"Medium","low"))</f>
        <v>low</v>
      </c>
    </row>
    <row r="50" spans="1:20" x14ac:dyDescent="0.3">
      <c r="A50" t="s">
        <v>104</v>
      </c>
      <c r="B50" s="3">
        <v>45674</v>
      </c>
      <c r="C50" t="s">
        <v>44</v>
      </c>
      <c r="D50" t="s">
        <v>19</v>
      </c>
      <c r="E50" t="s">
        <v>52</v>
      </c>
      <c r="F50" t="s">
        <v>40</v>
      </c>
      <c r="G50">
        <v>70</v>
      </c>
      <c r="H50" t="s">
        <v>22</v>
      </c>
      <c r="I50" t="s">
        <v>23</v>
      </c>
      <c r="J50" t="s">
        <v>36</v>
      </c>
      <c r="K50">
        <v>6</v>
      </c>
      <c r="L50" s="4">
        <v>25745</v>
      </c>
      <c r="M50">
        <v>0</v>
      </c>
      <c r="N50">
        <v>25745</v>
      </c>
      <c r="O50" t="s">
        <v>25</v>
      </c>
      <c r="P50">
        <v>2.5</v>
      </c>
      <c r="Q50">
        <v>83</v>
      </c>
      <c r="R50" t="str">
        <f>TEXT(Healthcare_Data[[#This Row],[Visit_Date]],"mmm")</f>
        <v>Jan</v>
      </c>
      <c r="S50">
        <f>MONTH(Healthcare_Data[[#This Row],[Visit_Date]])</f>
        <v>1</v>
      </c>
      <c r="T50" t="str">
        <f>IF(Healthcare_Data[[#This Row],[Final_Bill]]&gt;=50000,"High",IF(Healthcare_Data[[#This Row],[Final_Bill]]&gt;=20000,"Medium","low"))</f>
        <v>Medium</v>
      </c>
    </row>
    <row r="51" spans="1:20" x14ac:dyDescent="0.3">
      <c r="A51" t="s">
        <v>105</v>
      </c>
      <c r="B51" s="3">
        <v>45675</v>
      </c>
      <c r="C51" t="s">
        <v>48</v>
      </c>
      <c r="D51" t="s">
        <v>34</v>
      </c>
      <c r="E51" t="s">
        <v>52</v>
      </c>
      <c r="F51" t="s">
        <v>40</v>
      </c>
      <c r="G51">
        <v>74</v>
      </c>
      <c r="H51" t="s">
        <v>65</v>
      </c>
      <c r="I51" t="s">
        <v>23</v>
      </c>
      <c r="J51" t="s">
        <v>24</v>
      </c>
      <c r="K51">
        <v>12</v>
      </c>
      <c r="L51" s="4">
        <v>60802</v>
      </c>
      <c r="M51">
        <v>2000</v>
      </c>
      <c r="N51">
        <v>58802</v>
      </c>
      <c r="O51" t="s">
        <v>25</v>
      </c>
      <c r="P51">
        <v>3.1</v>
      </c>
      <c r="Q51">
        <v>18</v>
      </c>
      <c r="R51" t="str">
        <f>TEXT(Healthcare_Data[[#This Row],[Visit_Date]],"mmm")</f>
        <v>Jan</v>
      </c>
      <c r="S51">
        <f>MONTH(Healthcare_Data[[#This Row],[Visit_Date]])</f>
        <v>1</v>
      </c>
      <c r="T51" t="str">
        <f>IF(Healthcare_Data[[#This Row],[Final_Bill]]&gt;=50000,"High",IF(Healthcare_Data[[#This Row],[Final_Bill]]&gt;=20000,"Medium","low"))</f>
        <v>High</v>
      </c>
    </row>
    <row r="52" spans="1:20" x14ac:dyDescent="0.3">
      <c r="A52" t="s">
        <v>106</v>
      </c>
      <c r="B52" s="3">
        <v>45676</v>
      </c>
      <c r="C52" t="s">
        <v>54</v>
      </c>
      <c r="D52" t="s">
        <v>28</v>
      </c>
      <c r="E52" t="s">
        <v>52</v>
      </c>
      <c r="F52" t="s">
        <v>21</v>
      </c>
      <c r="G52">
        <v>66</v>
      </c>
      <c r="H52" t="s">
        <v>41</v>
      </c>
      <c r="I52" t="s">
        <v>63</v>
      </c>
      <c r="J52" t="s">
        <v>24</v>
      </c>
      <c r="K52">
        <v>12</v>
      </c>
      <c r="L52" s="4">
        <v>35156</v>
      </c>
      <c r="M52">
        <v>0</v>
      </c>
      <c r="N52">
        <v>35156</v>
      </c>
      <c r="O52" t="s">
        <v>25</v>
      </c>
      <c r="P52">
        <v>4.7</v>
      </c>
      <c r="Q52">
        <v>86</v>
      </c>
      <c r="R52" t="str">
        <f>TEXT(Healthcare_Data[[#This Row],[Visit_Date]],"mmm")</f>
        <v>Jan</v>
      </c>
      <c r="S52">
        <f>MONTH(Healthcare_Data[[#This Row],[Visit_Date]])</f>
        <v>1</v>
      </c>
      <c r="T52" t="str">
        <f>IF(Healthcare_Data[[#This Row],[Final_Bill]]&gt;=50000,"High",IF(Healthcare_Data[[#This Row],[Final_Bill]]&gt;=20000,"Medium","low"))</f>
        <v>Medium</v>
      </c>
    </row>
    <row r="53" spans="1:20" x14ac:dyDescent="0.3">
      <c r="A53" t="s">
        <v>107</v>
      </c>
      <c r="B53" s="3">
        <v>45676</v>
      </c>
      <c r="C53" t="s">
        <v>48</v>
      </c>
      <c r="D53" t="s">
        <v>19</v>
      </c>
      <c r="E53" t="s">
        <v>54</v>
      </c>
      <c r="F53" t="s">
        <v>21</v>
      </c>
      <c r="G53">
        <v>34</v>
      </c>
      <c r="H53" t="s">
        <v>35</v>
      </c>
      <c r="I53" t="s">
        <v>30</v>
      </c>
      <c r="J53" t="s">
        <v>24</v>
      </c>
      <c r="K53">
        <v>0</v>
      </c>
      <c r="L53" s="4">
        <v>11239</v>
      </c>
      <c r="M53">
        <v>0</v>
      </c>
      <c r="N53">
        <v>11239</v>
      </c>
      <c r="O53" t="s">
        <v>25</v>
      </c>
      <c r="P53">
        <v>3.5</v>
      </c>
      <c r="Q53">
        <v>90</v>
      </c>
      <c r="R53" t="str">
        <f>TEXT(Healthcare_Data[[#This Row],[Visit_Date]],"mmm")</f>
        <v>Jan</v>
      </c>
      <c r="S53">
        <f>MONTH(Healthcare_Data[[#This Row],[Visit_Date]])</f>
        <v>1</v>
      </c>
      <c r="T53" t="str">
        <f>IF(Healthcare_Data[[#This Row],[Final_Bill]]&gt;=50000,"High",IF(Healthcare_Data[[#This Row],[Final_Bill]]&gt;=20000,"Medium","low"))</f>
        <v>low</v>
      </c>
    </row>
    <row r="54" spans="1:20" x14ac:dyDescent="0.3">
      <c r="A54" t="s">
        <v>108</v>
      </c>
      <c r="B54" s="3">
        <v>45677</v>
      </c>
      <c r="C54" t="s">
        <v>44</v>
      </c>
      <c r="D54" t="s">
        <v>28</v>
      </c>
      <c r="E54" t="s">
        <v>54</v>
      </c>
      <c r="F54" t="s">
        <v>21</v>
      </c>
      <c r="G54">
        <v>54</v>
      </c>
      <c r="H54" t="s">
        <v>41</v>
      </c>
      <c r="I54" t="s">
        <v>72</v>
      </c>
      <c r="J54" t="s">
        <v>36</v>
      </c>
      <c r="K54">
        <v>0</v>
      </c>
      <c r="L54" s="4">
        <v>17425</v>
      </c>
      <c r="M54">
        <v>500</v>
      </c>
      <c r="N54">
        <v>16925</v>
      </c>
      <c r="O54" t="s">
        <v>25</v>
      </c>
      <c r="P54">
        <v>2.6</v>
      </c>
      <c r="Q54">
        <v>47</v>
      </c>
      <c r="R54" t="str">
        <f>TEXT(Healthcare_Data[[#This Row],[Visit_Date]],"mmm")</f>
        <v>Jan</v>
      </c>
      <c r="S54">
        <f>MONTH(Healthcare_Data[[#This Row],[Visit_Date]])</f>
        <v>1</v>
      </c>
      <c r="T54" t="str">
        <f>IF(Healthcare_Data[[#This Row],[Final_Bill]]&gt;=50000,"High",IF(Healthcare_Data[[#This Row],[Final_Bill]]&gt;=20000,"Medium","low"))</f>
        <v>low</v>
      </c>
    </row>
    <row r="55" spans="1:20" x14ac:dyDescent="0.3">
      <c r="A55" t="s">
        <v>109</v>
      </c>
      <c r="B55" s="3">
        <v>45677</v>
      </c>
      <c r="C55" t="s">
        <v>50</v>
      </c>
      <c r="D55" t="s">
        <v>19</v>
      </c>
      <c r="E55" t="s">
        <v>20</v>
      </c>
      <c r="F55" t="s">
        <v>21</v>
      </c>
      <c r="G55">
        <v>73</v>
      </c>
      <c r="H55" t="s">
        <v>41</v>
      </c>
      <c r="I55" t="s">
        <v>30</v>
      </c>
      <c r="J55" t="s">
        <v>24</v>
      </c>
      <c r="K55">
        <v>0</v>
      </c>
      <c r="L55" s="4">
        <v>5323</v>
      </c>
      <c r="M55">
        <v>2000</v>
      </c>
      <c r="N55">
        <v>3323</v>
      </c>
      <c r="O55" t="s">
        <v>25</v>
      </c>
      <c r="P55">
        <v>3.4</v>
      </c>
      <c r="Q55">
        <v>101</v>
      </c>
      <c r="R55" t="str">
        <f>TEXT(Healthcare_Data[[#This Row],[Visit_Date]],"mmm")</f>
        <v>Jan</v>
      </c>
      <c r="S55">
        <f>MONTH(Healthcare_Data[[#This Row],[Visit_Date]])</f>
        <v>1</v>
      </c>
      <c r="T55" t="str">
        <f>IF(Healthcare_Data[[#This Row],[Final_Bill]]&gt;=50000,"High",IF(Healthcare_Data[[#This Row],[Final_Bill]]&gt;=20000,"Medium","low"))</f>
        <v>low</v>
      </c>
    </row>
    <row r="56" spans="1:20" x14ac:dyDescent="0.3">
      <c r="A56" t="s">
        <v>110</v>
      </c>
      <c r="B56" s="3">
        <v>45677</v>
      </c>
      <c r="C56" t="s">
        <v>18</v>
      </c>
      <c r="D56" t="s">
        <v>34</v>
      </c>
      <c r="E56" t="s">
        <v>20</v>
      </c>
      <c r="F56" t="s">
        <v>40</v>
      </c>
      <c r="G56">
        <v>32</v>
      </c>
      <c r="H56" t="s">
        <v>46</v>
      </c>
      <c r="I56" t="s">
        <v>69</v>
      </c>
      <c r="J56" t="s">
        <v>36</v>
      </c>
      <c r="K56">
        <v>0</v>
      </c>
      <c r="L56" s="4">
        <v>16051</v>
      </c>
      <c r="M56">
        <v>1000</v>
      </c>
      <c r="N56">
        <v>15051</v>
      </c>
      <c r="O56" t="s">
        <v>25</v>
      </c>
      <c r="P56">
        <v>3.6</v>
      </c>
      <c r="Q56">
        <v>66</v>
      </c>
      <c r="R56" t="str">
        <f>TEXT(Healthcare_Data[[#This Row],[Visit_Date]],"mmm")</f>
        <v>Jan</v>
      </c>
      <c r="S56">
        <f>MONTH(Healthcare_Data[[#This Row],[Visit_Date]])</f>
        <v>1</v>
      </c>
      <c r="T56" t="str">
        <f>IF(Healthcare_Data[[#This Row],[Final_Bill]]&gt;=50000,"High",IF(Healthcare_Data[[#This Row],[Final_Bill]]&gt;=20000,"Medium","low"))</f>
        <v>low</v>
      </c>
    </row>
    <row r="57" spans="1:20" x14ac:dyDescent="0.3">
      <c r="A57" t="s">
        <v>111</v>
      </c>
      <c r="B57" s="3">
        <v>45678</v>
      </c>
      <c r="C57" t="s">
        <v>50</v>
      </c>
      <c r="D57" t="s">
        <v>51</v>
      </c>
      <c r="E57" t="s">
        <v>52</v>
      </c>
      <c r="F57" t="s">
        <v>21</v>
      </c>
      <c r="G57">
        <v>63</v>
      </c>
      <c r="H57" t="s">
        <v>29</v>
      </c>
      <c r="I57" t="s">
        <v>57</v>
      </c>
      <c r="J57" t="s">
        <v>24</v>
      </c>
      <c r="K57">
        <v>13</v>
      </c>
      <c r="L57" s="4">
        <v>65934</v>
      </c>
      <c r="M57">
        <v>2000</v>
      </c>
      <c r="N57">
        <v>63934</v>
      </c>
      <c r="O57" t="s">
        <v>25</v>
      </c>
      <c r="P57">
        <v>3.5</v>
      </c>
      <c r="Q57">
        <v>79</v>
      </c>
      <c r="R57" t="str">
        <f>TEXT(Healthcare_Data[[#This Row],[Visit_Date]],"mmm")</f>
        <v>Jan</v>
      </c>
      <c r="S57">
        <f>MONTH(Healthcare_Data[[#This Row],[Visit_Date]])</f>
        <v>1</v>
      </c>
      <c r="T57" t="str">
        <f>IF(Healthcare_Data[[#This Row],[Final_Bill]]&gt;=50000,"High",IF(Healthcare_Data[[#This Row],[Final_Bill]]&gt;=20000,"Medium","low"))</f>
        <v>High</v>
      </c>
    </row>
    <row r="58" spans="1:20" x14ac:dyDescent="0.3">
      <c r="A58" t="s">
        <v>112</v>
      </c>
      <c r="B58" s="3">
        <v>45678</v>
      </c>
      <c r="C58" t="s">
        <v>48</v>
      </c>
      <c r="D58" t="s">
        <v>51</v>
      </c>
      <c r="E58" t="s">
        <v>20</v>
      </c>
      <c r="F58" t="s">
        <v>21</v>
      </c>
      <c r="G58">
        <v>76</v>
      </c>
      <c r="H58" t="s">
        <v>29</v>
      </c>
      <c r="I58" t="s">
        <v>42</v>
      </c>
      <c r="J58" t="s">
        <v>36</v>
      </c>
      <c r="K58">
        <v>0</v>
      </c>
      <c r="L58" s="4">
        <v>13196</v>
      </c>
      <c r="M58">
        <v>0</v>
      </c>
      <c r="N58">
        <v>13196</v>
      </c>
      <c r="O58" t="s">
        <v>59</v>
      </c>
      <c r="P58">
        <v>2.6</v>
      </c>
      <c r="Q58">
        <v>73</v>
      </c>
      <c r="R58" t="str">
        <f>TEXT(Healthcare_Data[[#This Row],[Visit_Date]],"mmm")</f>
        <v>Jan</v>
      </c>
      <c r="S58">
        <f>MONTH(Healthcare_Data[[#This Row],[Visit_Date]])</f>
        <v>1</v>
      </c>
      <c r="T58" t="str">
        <f>IF(Healthcare_Data[[#This Row],[Final_Bill]]&gt;=50000,"High",IF(Healthcare_Data[[#This Row],[Final_Bill]]&gt;=20000,"Medium","low"))</f>
        <v>low</v>
      </c>
    </row>
    <row r="59" spans="1:20" x14ac:dyDescent="0.3">
      <c r="A59" t="s">
        <v>113</v>
      </c>
      <c r="B59" s="3">
        <v>45679</v>
      </c>
      <c r="C59" t="s">
        <v>54</v>
      </c>
      <c r="D59" t="s">
        <v>28</v>
      </c>
      <c r="E59" t="s">
        <v>52</v>
      </c>
      <c r="F59" t="s">
        <v>40</v>
      </c>
      <c r="G59">
        <v>59</v>
      </c>
      <c r="H59" t="s">
        <v>41</v>
      </c>
      <c r="I59" t="s">
        <v>69</v>
      </c>
      <c r="J59" t="s">
        <v>36</v>
      </c>
      <c r="K59">
        <v>1</v>
      </c>
      <c r="L59" s="4">
        <v>55670</v>
      </c>
      <c r="M59">
        <v>0</v>
      </c>
      <c r="N59">
        <v>55670</v>
      </c>
      <c r="O59" t="s">
        <v>25</v>
      </c>
      <c r="P59">
        <v>2.7</v>
      </c>
      <c r="Q59">
        <v>22</v>
      </c>
      <c r="R59" t="str">
        <f>TEXT(Healthcare_Data[[#This Row],[Visit_Date]],"mmm")</f>
        <v>Jan</v>
      </c>
      <c r="S59">
        <f>MONTH(Healthcare_Data[[#This Row],[Visit_Date]])</f>
        <v>1</v>
      </c>
      <c r="T59" t="str">
        <f>IF(Healthcare_Data[[#This Row],[Final_Bill]]&gt;=50000,"High",IF(Healthcare_Data[[#This Row],[Final_Bill]]&gt;=20000,"Medium","low"))</f>
        <v>High</v>
      </c>
    </row>
    <row r="60" spans="1:20" x14ac:dyDescent="0.3">
      <c r="A60" t="s">
        <v>114</v>
      </c>
      <c r="B60" s="3">
        <v>45679</v>
      </c>
      <c r="C60" t="s">
        <v>44</v>
      </c>
      <c r="D60" t="s">
        <v>34</v>
      </c>
      <c r="E60" t="s">
        <v>20</v>
      </c>
      <c r="F60" t="s">
        <v>21</v>
      </c>
      <c r="G60">
        <v>67</v>
      </c>
      <c r="H60" t="s">
        <v>115</v>
      </c>
      <c r="I60" t="s">
        <v>72</v>
      </c>
      <c r="J60" t="s">
        <v>58</v>
      </c>
      <c r="K60">
        <v>0</v>
      </c>
      <c r="L60" s="4">
        <v>10967</v>
      </c>
      <c r="M60">
        <v>500</v>
      </c>
      <c r="N60">
        <v>10467</v>
      </c>
      <c r="O60" t="s">
        <v>25</v>
      </c>
      <c r="P60">
        <v>2.8</v>
      </c>
      <c r="Q60">
        <v>88</v>
      </c>
      <c r="R60" t="str">
        <f>TEXT(Healthcare_Data[[#This Row],[Visit_Date]],"mmm")</f>
        <v>Jan</v>
      </c>
      <c r="S60">
        <f>MONTH(Healthcare_Data[[#This Row],[Visit_Date]])</f>
        <v>1</v>
      </c>
      <c r="T60" t="str">
        <f>IF(Healthcare_Data[[#This Row],[Final_Bill]]&gt;=50000,"High",IF(Healthcare_Data[[#This Row],[Final_Bill]]&gt;=20000,"Medium","low"))</f>
        <v>low</v>
      </c>
    </row>
    <row r="61" spans="1:20" x14ac:dyDescent="0.3">
      <c r="A61" t="s">
        <v>116</v>
      </c>
      <c r="B61" s="3">
        <v>45679</v>
      </c>
      <c r="C61" t="s">
        <v>44</v>
      </c>
      <c r="D61" t="s">
        <v>51</v>
      </c>
      <c r="E61" t="s">
        <v>52</v>
      </c>
      <c r="F61" t="s">
        <v>21</v>
      </c>
      <c r="G61">
        <v>74</v>
      </c>
      <c r="H61" t="s">
        <v>35</v>
      </c>
      <c r="I61" t="s">
        <v>72</v>
      </c>
      <c r="J61" t="s">
        <v>24</v>
      </c>
      <c r="K61">
        <v>4</v>
      </c>
      <c r="L61" s="4">
        <v>40428</v>
      </c>
      <c r="M61">
        <v>0</v>
      </c>
      <c r="N61">
        <v>40428</v>
      </c>
      <c r="O61" t="s">
        <v>25</v>
      </c>
      <c r="P61">
        <v>3.9</v>
      </c>
      <c r="Q61">
        <v>19</v>
      </c>
      <c r="R61" t="str">
        <f>TEXT(Healthcare_Data[[#This Row],[Visit_Date]],"mmm")</f>
        <v>Jan</v>
      </c>
      <c r="S61">
        <f>MONTH(Healthcare_Data[[#This Row],[Visit_Date]])</f>
        <v>1</v>
      </c>
      <c r="T61" t="str">
        <f>IF(Healthcare_Data[[#This Row],[Final_Bill]]&gt;=50000,"High",IF(Healthcare_Data[[#This Row],[Final_Bill]]&gt;=20000,"Medium","low"))</f>
        <v>Medium</v>
      </c>
    </row>
    <row r="62" spans="1:20" x14ac:dyDescent="0.3">
      <c r="A62" t="s">
        <v>117</v>
      </c>
      <c r="B62" s="3">
        <v>45680</v>
      </c>
      <c r="C62" t="s">
        <v>67</v>
      </c>
      <c r="D62" t="s">
        <v>51</v>
      </c>
      <c r="E62" t="s">
        <v>20</v>
      </c>
      <c r="F62" t="s">
        <v>21</v>
      </c>
      <c r="G62">
        <v>62</v>
      </c>
      <c r="H62" t="s">
        <v>46</v>
      </c>
      <c r="I62" t="s">
        <v>57</v>
      </c>
      <c r="J62" t="s">
        <v>36</v>
      </c>
      <c r="K62">
        <v>0</v>
      </c>
      <c r="L62" s="4">
        <v>11664</v>
      </c>
      <c r="M62">
        <v>500</v>
      </c>
      <c r="N62">
        <v>11164</v>
      </c>
      <c r="O62" t="s">
        <v>25</v>
      </c>
      <c r="P62">
        <v>3.8</v>
      </c>
      <c r="Q62">
        <v>20</v>
      </c>
      <c r="R62" t="str">
        <f>TEXT(Healthcare_Data[[#This Row],[Visit_Date]],"mmm")</f>
        <v>Jan</v>
      </c>
      <c r="S62">
        <f>MONTH(Healthcare_Data[[#This Row],[Visit_Date]])</f>
        <v>1</v>
      </c>
      <c r="T62" t="str">
        <f>IF(Healthcare_Data[[#This Row],[Final_Bill]]&gt;=50000,"High",IF(Healthcare_Data[[#This Row],[Final_Bill]]&gt;=20000,"Medium","low"))</f>
        <v>low</v>
      </c>
    </row>
    <row r="63" spans="1:20" x14ac:dyDescent="0.3">
      <c r="A63" t="s">
        <v>118</v>
      </c>
      <c r="B63" s="3">
        <v>45680</v>
      </c>
      <c r="C63" t="s">
        <v>54</v>
      </c>
      <c r="D63" t="s">
        <v>51</v>
      </c>
      <c r="E63" t="s">
        <v>20</v>
      </c>
      <c r="F63" t="s">
        <v>21</v>
      </c>
      <c r="G63">
        <v>36</v>
      </c>
      <c r="H63" t="s">
        <v>22</v>
      </c>
      <c r="I63" t="s">
        <v>30</v>
      </c>
      <c r="J63" t="s">
        <v>24</v>
      </c>
      <c r="K63">
        <v>0</v>
      </c>
      <c r="L63" s="4">
        <v>13886</v>
      </c>
      <c r="M63">
        <v>500</v>
      </c>
      <c r="N63">
        <v>13386</v>
      </c>
      <c r="O63" t="s">
        <v>25</v>
      </c>
      <c r="P63">
        <v>4.3</v>
      </c>
      <c r="Q63">
        <v>78</v>
      </c>
      <c r="R63" t="str">
        <f>TEXT(Healthcare_Data[[#This Row],[Visit_Date]],"mmm")</f>
        <v>Jan</v>
      </c>
      <c r="S63">
        <f>MONTH(Healthcare_Data[[#This Row],[Visit_Date]])</f>
        <v>1</v>
      </c>
      <c r="T63" t="str">
        <f>IF(Healthcare_Data[[#This Row],[Final_Bill]]&gt;=50000,"High",IF(Healthcare_Data[[#This Row],[Final_Bill]]&gt;=20000,"Medium","low"))</f>
        <v>low</v>
      </c>
    </row>
    <row r="64" spans="1:20" x14ac:dyDescent="0.3">
      <c r="A64" t="s">
        <v>119</v>
      </c>
      <c r="B64" s="3">
        <v>45682</v>
      </c>
      <c r="C64" t="s">
        <v>67</v>
      </c>
      <c r="D64" t="s">
        <v>51</v>
      </c>
      <c r="E64" t="s">
        <v>52</v>
      </c>
      <c r="F64" t="s">
        <v>21</v>
      </c>
      <c r="G64">
        <v>55</v>
      </c>
      <c r="H64" t="s">
        <v>65</v>
      </c>
      <c r="I64" t="s">
        <v>30</v>
      </c>
      <c r="J64" t="s">
        <v>58</v>
      </c>
      <c r="K64">
        <v>7</v>
      </c>
      <c r="L64" s="4">
        <v>49341</v>
      </c>
      <c r="M64">
        <v>0</v>
      </c>
      <c r="N64">
        <v>49341</v>
      </c>
      <c r="O64" t="s">
        <v>25</v>
      </c>
      <c r="P64">
        <v>4.2</v>
      </c>
      <c r="Q64">
        <v>74</v>
      </c>
      <c r="R64" t="str">
        <f>TEXT(Healthcare_Data[[#This Row],[Visit_Date]],"mmm")</f>
        <v>Jan</v>
      </c>
      <c r="S64">
        <f>MONTH(Healthcare_Data[[#This Row],[Visit_Date]])</f>
        <v>1</v>
      </c>
      <c r="T64" t="str">
        <f>IF(Healthcare_Data[[#This Row],[Final_Bill]]&gt;=50000,"High",IF(Healthcare_Data[[#This Row],[Final_Bill]]&gt;=20000,"Medium","low"))</f>
        <v>Medium</v>
      </c>
    </row>
    <row r="65" spans="1:20" x14ac:dyDescent="0.3">
      <c r="A65" t="s">
        <v>120</v>
      </c>
      <c r="B65" s="3">
        <v>45682</v>
      </c>
      <c r="C65" t="s">
        <v>50</v>
      </c>
      <c r="D65" t="s">
        <v>34</v>
      </c>
      <c r="E65" t="s">
        <v>20</v>
      </c>
      <c r="F65" t="s">
        <v>40</v>
      </c>
      <c r="G65">
        <v>70</v>
      </c>
      <c r="H65" t="s">
        <v>35</v>
      </c>
      <c r="I65" t="s">
        <v>57</v>
      </c>
      <c r="J65" t="s">
        <v>24</v>
      </c>
      <c r="K65">
        <v>0</v>
      </c>
      <c r="L65" s="4">
        <v>14970</v>
      </c>
      <c r="M65">
        <v>0</v>
      </c>
      <c r="N65">
        <v>14970</v>
      </c>
      <c r="O65" t="s">
        <v>25</v>
      </c>
      <c r="P65">
        <v>3.6</v>
      </c>
      <c r="Q65">
        <v>67</v>
      </c>
      <c r="R65" t="str">
        <f>TEXT(Healthcare_Data[[#This Row],[Visit_Date]],"mmm")</f>
        <v>Jan</v>
      </c>
      <c r="S65">
        <f>MONTH(Healthcare_Data[[#This Row],[Visit_Date]])</f>
        <v>1</v>
      </c>
      <c r="T65" t="str">
        <f>IF(Healthcare_Data[[#This Row],[Final_Bill]]&gt;=50000,"High",IF(Healthcare_Data[[#This Row],[Final_Bill]]&gt;=20000,"Medium","low"))</f>
        <v>low</v>
      </c>
    </row>
    <row r="66" spans="1:20" x14ac:dyDescent="0.3">
      <c r="A66" t="s">
        <v>121</v>
      </c>
      <c r="B66" s="3">
        <v>45682</v>
      </c>
      <c r="C66" t="s">
        <v>50</v>
      </c>
      <c r="D66" t="s">
        <v>39</v>
      </c>
      <c r="E66" t="s">
        <v>20</v>
      </c>
      <c r="F66" t="s">
        <v>21</v>
      </c>
      <c r="G66">
        <v>66</v>
      </c>
      <c r="H66" t="s">
        <v>35</v>
      </c>
      <c r="I66" t="s">
        <v>30</v>
      </c>
      <c r="J66" t="s">
        <v>24</v>
      </c>
      <c r="K66">
        <v>0</v>
      </c>
      <c r="L66" s="4">
        <v>14346</v>
      </c>
      <c r="M66">
        <v>1000</v>
      </c>
      <c r="N66">
        <v>13346</v>
      </c>
      <c r="O66" t="s">
        <v>25</v>
      </c>
      <c r="P66">
        <v>2.7</v>
      </c>
      <c r="Q66">
        <v>11</v>
      </c>
      <c r="R66" t="str">
        <f>TEXT(Healthcare_Data[[#This Row],[Visit_Date]],"mmm")</f>
        <v>Jan</v>
      </c>
      <c r="S66">
        <f>MONTH(Healthcare_Data[[#This Row],[Visit_Date]])</f>
        <v>1</v>
      </c>
      <c r="T66" t="str">
        <f>IF(Healthcare_Data[[#This Row],[Final_Bill]]&gt;=50000,"High",IF(Healthcare_Data[[#This Row],[Final_Bill]]&gt;=20000,"Medium","low"))</f>
        <v>low</v>
      </c>
    </row>
    <row r="67" spans="1:20" x14ac:dyDescent="0.3">
      <c r="A67" t="s">
        <v>122</v>
      </c>
      <c r="B67" s="3">
        <v>45683</v>
      </c>
      <c r="C67" t="s">
        <v>18</v>
      </c>
      <c r="D67" t="s">
        <v>51</v>
      </c>
      <c r="E67" t="s">
        <v>20</v>
      </c>
      <c r="F67" t="s">
        <v>40</v>
      </c>
      <c r="G67">
        <v>31</v>
      </c>
      <c r="H67" t="s">
        <v>41</v>
      </c>
      <c r="I67" t="s">
        <v>30</v>
      </c>
      <c r="J67" t="s">
        <v>24</v>
      </c>
      <c r="K67">
        <v>0</v>
      </c>
      <c r="L67" s="4">
        <v>18172</v>
      </c>
      <c r="M67">
        <v>1000</v>
      </c>
      <c r="N67">
        <v>17172</v>
      </c>
      <c r="O67" t="s">
        <v>25</v>
      </c>
      <c r="P67">
        <v>3.3</v>
      </c>
      <c r="Q67">
        <v>25</v>
      </c>
      <c r="R67" t="str">
        <f>TEXT(Healthcare_Data[[#This Row],[Visit_Date]],"mmm")</f>
        <v>Jan</v>
      </c>
      <c r="S67">
        <f>MONTH(Healthcare_Data[[#This Row],[Visit_Date]])</f>
        <v>1</v>
      </c>
      <c r="T67" t="str">
        <f>IF(Healthcare_Data[[#This Row],[Final_Bill]]&gt;=50000,"High",IF(Healthcare_Data[[#This Row],[Final_Bill]]&gt;=20000,"Medium","low"))</f>
        <v>low</v>
      </c>
    </row>
    <row r="68" spans="1:20" x14ac:dyDescent="0.3">
      <c r="A68" t="s">
        <v>123</v>
      </c>
      <c r="B68" s="3">
        <v>45683</v>
      </c>
      <c r="C68" t="s">
        <v>54</v>
      </c>
      <c r="D68" t="s">
        <v>39</v>
      </c>
      <c r="E68" t="s">
        <v>20</v>
      </c>
      <c r="F68" t="s">
        <v>21</v>
      </c>
      <c r="G68">
        <v>62</v>
      </c>
      <c r="H68" t="s">
        <v>29</v>
      </c>
      <c r="I68" t="s">
        <v>61</v>
      </c>
      <c r="J68" t="s">
        <v>31</v>
      </c>
      <c r="K68">
        <v>0</v>
      </c>
      <c r="L68" s="4">
        <v>2318</v>
      </c>
      <c r="M68">
        <v>2000</v>
      </c>
      <c r="N68">
        <v>318</v>
      </c>
      <c r="O68" t="s">
        <v>32</v>
      </c>
      <c r="P68">
        <v>3.5</v>
      </c>
      <c r="Q68">
        <v>11</v>
      </c>
      <c r="R68" t="str">
        <f>TEXT(Healthcare_Data[[#This Row],[Visit_Date]],"mmm")</f>
        <v>Jan</v>
      </c>
      <c r="S68">
        <f>MONTH(Healthcare_Data[[#This Row],[Visit_Date]])</f>
        <v>1</v>
      </c>
      <c r="T68" t="str">
        <f>IF(Healthcare_Data[[#This Row],[Final_Bill]]&gt;=50000,"High",IF(Healthcare_Data[[#This Row],[Final_Bill]]&gt;=20000,"Medium","low"))</f>
        <v>low</v>
      </c>
    </row>
    <row r="69" spans="1:20" x14ac:dyDescent="0.3">
      <c r="A69" t="s">
        <v>124</v>
      </c>
      <c r="B69" s="3">
        <v>45683</v>
      </c>
      <c r="C69" t="s">
        <v>18</v>
      </c>
      <c r="D69" t="s">
        <v>39</v>
      </c>
      <c r="E69" t="s">
        <v>20</v>
      </c>
      <c r="F69" t="s">
        <v>21</v>
      </c>
      <c r="G69">
        <v>38</v>
      </c>
      <c r="H69" t="s">
        <v>22</v>
      </c>
      <c r="I69" t="s">
        <v>69</v>
      </c>
      <c r="J69" t="s">
        <v>31</v>
      </c>
      <c r="K69">
        <v>0</v>
      </c>
      <c r="L69" s="4">
        <v>2213</v>
      </c>
      <c r="M69">
        <v>0</v>
      </c>
      <c r="N69">
        <v>2213</v>
      </c>
      <c r="O69" t="s">
        <v>25</v>
      </c>
      <c r="P69">
        <v>4.8</v>
      </c>
      <c r="Q69">
        <v>100</v>
      </c>
      <c r="R69" t="str">
        <f>TEXT(Healthcare_Data[[#This Row],[Visit_Date]],"mmm")</f>
        <v>Jan</v>
      </c>
      <c r="S69">
        <f>MONTH(Healthcare_Data[[#This Row],[Visit_Date]])</f>
        <v>1</v>
      </c>
      <c r="T69" t="str">
        <f>IF(Healthcare_Data[[#This Row],[Final_Bill]]&gt;=50000,"High",IF(Healthcare_Data[[#This Row],[Final_Bill]]&gt;=20000,"Medium","low"))</f>
        <v>low</v>
      </c>
    </row>
    <row r="70" spans="1:20" x14ac:dyDescent="0.3">
      <c r="A70" t="s">
        <v>125</v>
      </c>
      <c r="B70" s="3">
        <v>45684</v>
      </c>
      <c r="C70" t="s">
        <v>18</v>
      </c>
      <c r="D70" t="s">
        <v>28</v>
      </c>
      <c r="E70" t="s">
        <v>54</v>
      </c>
      <c r="F70" t="s">
        <v>21</v>
      </c>
      <c r="G70">
        <v>38</v>
      </c>
      <c r="H70" t="s">
        <v>46</v>
      </c>
      <c r="I70" t="s">
        <v>57</v>
      </c>
      <c r="J70" t="s">
        <v>24</v>
      </c>
      <c r="K70">
        <v>0</v>
      </c>
      <c r="L70" s="4">
        <v>27656</v>
      </c>
      <c r="M70">
        <v>1000</v>
      </c>
      <c r="N70">
        <v>26656</v>
      </c>
      <c r="O70" t="s">
        <v>25</v>
      </c>
      <c r="P70">
        <v>4.5</v>
      </c>
      <c r="Q70">
        <v>109</v>
      </c>
      <c r="R70" t="str">
        <f>TEXT(Healthcare_Data[[#This Row],[Visit_Date]],"mmm")</f>
        <v>Jan</v>
      </c>
      <c r="S70">
        <f>MONTH(Healthcare_Data[[#This Row],[Visit_Date]])</f>
        <v>1</v>
      </c>
      <c r="T70" t="str">
        <f>IF(Healthcare_Data[[#This Row],[Final_Bill]]&gt;=50000,"High",IF(Healthcare_Data[[#This Row],[Final_Bill]]&gt;=20000,"Medium","low"))</f>
        <v>Medium</v>
      </c>
    </row>
    <row r="71" spans="1:20" x14ac:dyDescent="0.3">
      <c r="A71" t="s">
        <v>126</v>
      </c>
      <c r="B71" s="3">
        <v>45685</v>
      </c>
      <c r="C71" t="s">
        <v>38</v>
      </c>
      <c r="D71" t="s">
        <v>34</v>
      </c>
      <c r="E71" t="s">
        <v>20</v>
      </c>
      <c r="F71" t="s">
        <v>40</v>
      </c>
      <c r="G71">
        <v>49</v>
      </c>
      <c r="H71" t="s">
        <v>65</v>
      </c>
      <c r="I71" t="s">
        <v>72</v>
      </c>
      <c r="J71" t="s">
        <v>24</v>
      </c>
      <c r="K71">
        <v>0</v>
      </c>
      <c r="L71" s="4">
        <v>4470</v>
      </c>
      <c r="M71">
        <v>0</v>
      </c>
      <c r="N71">
        <v>4470</v>
      </c>
      <c r="O71" t="s">
        <v>32</v>
      </c>
      <c r="P71">
        <v>4.9000000000000004</v>
      </c>
      <c r="Q71">
        <v>29</v>
      </c>
      <c r="R71" t="str">
        <f>TEXT(Healthcare_Data[[#This Row],[Visit_Date]],"mmm")</f>
        <v>Jan</v>
      </c>
      <c r="S71">
        <f>MONTH(Healthcare_Data[[#This Row],[Visit_Date]])</f>
        <v>1</v>
      </c>
      <c r="T71" t="str">
        <f>IF(Healthcare_Data[[#This Row],[Final_Bill]]&gt;=50000,"High",IF(Healthcare_Data[[#This Row],[Final_Bill]]&gt;=20000,"Medium","low"))</f>
        <v>low</v>
      </c>
    </row>
    <row r="72" spans="1:20" x14ac:dyDescent="0.3">
      <c r="A72" t="s">
        <v>127</v>
      </c>
      <c r="B72" s="3">
        <v>45685</v>
      </c>
      <c r="C72" t="s">
        <v>50</v>
      </c>
      <c r="D72" t="s">
        <v>51</v>
      </c>
      <c r="E72" t="s">
        <v>52</v>
      </c>
      <c r="F72" t="s">
        <v>40</v>
      </c>
      <c r="G72">
        <v>26</v>
      </c>
      <c r="H72" t="s">
        <v>35</v>
      </c>
      <c r="I72" t="s">
        <v>69</v>
      </c>
      <c r="J72" t="s">
        <v>36</v>
      </c>
      <c r="K72">
        <v>10</v>
      </c>
      <c r="L72" s="4">
        <v>64950</v>
      </c>
      <c r="M72">
        <v>0</v>
      </c>
      <c r="N72">
        <v>64950</v>
      </c>
      <c r="O72" t="s">
        <v>25</v>
      </c>
      <c r="P72">
        <v>3.8</v>
      </c>
      <c r="Q72">
        <v>29</v>
      </c>
      <c r="R72" t="str">
        <f>TEXT(Healthcare_Data[[#This Row],[Visit_Date]],"mmm")</f>
        <v>Jan</v>
      </c>
      <c r="S72">
        <f>MONTH(Healthcare_Data[[#This Row],[Visit_Date]])</f>
        <v>1</v>
      </c>
      <c r="T72" t="str">
        <f>IF(Healthcare_Data[[#This Row],[Final_Bill]]&gt;=50000,"High",IF(Healthcare_Data[[#This Row],[Final_Bill]]&gt;=20000,"Medium","low"))</f>
        <v>High</v>
      </c>
    </row>
    <row r="73" spans="1:20" x14ac:dyDescent="0.3">
      <c r="A73" t="s">
        <v>128</v>
      </c>
      <c r="B73" s="3">
        <v>45685</v>
      </c>
      <c r="C73" t="s">
        <v>48</v>
      </c>
      <c r="D73" t="s">
        <v>34</v>
      </c>
      <c r="E73" t="s">
        <v>20</v>
      </c>
      <c r="F73" t="s">
        <v>40</v>
      </c>
      <c r="G73">
        <v>29</v>
      </c>
      <c r="H73" t="s">
        <v>56</v>
      </c>
      <c r="I73" t="s">
        <v>42</v>
      </c>
      <c r="J73" t="s">
        <v>58</v>
      </c>
      <c r="K73">
        <v>0</v>
      </c>
      <c r="L73" s="4">
        <v>12023</v>
      </c>
      <c r="M73">
        <v>1000</v>
      </c>
      <c r="N73">
        <v>11023</v>
      </c>
      <c r="O73" t="s">
        <v>25</v>
      </c>
      <c r="P73">
        <v>3.6</v>
      </c>
      <c r="Q73">
        <v>91</v>
      </c>
      <c r="R73" t="str">
        <f>TEXT(Healthcare_Data[[#This Row],[Visit_Date]],"mmm")</f>
        <v>Jan</v>
      </c>
      <c r="S73">
        <f>MONTH(Healthcare_Data[[#This Row],[Visit_Date]])</f>
        <v>1</v>
      </c>
      <c r="T73" t="str">
        <f>IF(Healthcare_Data[[#This Row],[Final_Bill]]&gt;=50000,"High",IF(Healthcare_Data[[#This Row],[Final_Bill]]&gt;=20000,"Medium","low"))</f>
        <v>low</v>
      </c>
    </row>
    <row r="74" spans="1:20" x14ac:dyDescent="0.3">
      <c r="A74" t="s">
        <v>129</v>
      </c>
      <c r="B74" s="3">
        <v>45685</v>
      </c>
      <c r="C74" t="s">
        <v>48</v>
      </c>
      <c r="D74" t="s">
        <v>34</v>
      </c>
      <c r="E74" t="s">
        <v>20</v>
      </c>
      <c r="F74" t="s">
        <v>21</v>
      </c>
      <c r="G74">
        <v>31</v>
      </c>
      <c r="H74" t="s">
        <v>41</v>
      </c>
      <c r="I74" t="s">
        <v>61</v>
      </c>
      <c r="J74" t="s">
        <v>36</v>
      </c>
      <c r="K74">
        <v>0</v>
      </c>
      <c r="L74" s="4">
        <v>5456</v>
      </c>
      <c r="M74">
        <v>1000</v>
      </c>
      <c r="N74">
        <v>4456</v>
      </c>
      <c r="O74" t="s">
        <v>25</v>
      </c>
      <c r="P74">
        <v>3</v>
      </c>
      <c r="Q74">
        <v>14</v>
      </c>
      <c r="R74" t="str">
        <f>TEXT(Healthcare_Data[[#This Row],[Visit_Date]],"mmm")</f>
        <v>Jan</v>
      </c>
      <c r="S74">
        <f>MONTH(Healthcare_Data[[#This Row],[Visit_Date]])</f>
        <v>1</v>
      </c>
      <c r="T74" t="str">
        <f>IF(Healthcare_Data[[#This Row],[Final_Bill]]&gt;=50000,"High",IF(Healthcare_Data[[#This Row],[Final_Bill]]&gt;=20000,"Medium","low"))</f>
        <v>low</v>
      </c>
    </row>
    <row r="75" spans="1:20" x14ac:dyDescent="0.3">
      <c r="A75" t="s">
        <v>130</v>
      </c>
      <c r="B75" s="3">
        <v>45685</v>
      </c>
      <c r="C75" t="s">
        <v>50</v>
      </c>
      <c r="D75" t="s">
        <v>19</v>
      </c>
      <c r="E75" t="s">
        <v>20</v>
      </c>
      <c r="F75" t="s">
        <v>40</v>
      </c>
      <c r="G75">
        <v>58</v>
      </c>
      <c r="H75" t="s">
        <v>115</v>
      </c>
      <c r="I75" t="s">
        <v>42</v>
      </c>
      <c r="J75" t="s">
        <v>24</v>
      </c>
      <c r="K75">
        <v>0</v>
      </c>
      <c r="L75" s="4">
        <v>10532</v>
      </c>
      <c r="M75">
        <v>1000</v>
      </c>
      <c r="N75">
        <v>9532</v>
      </c>
      <c r="O75" t="s">
        <v>59</v>
      </c>
      <c r="P75">
        <v>2.9</v>
      </c>
      <c r="Q75">
        <v>83</v>
      </c>
      <c r="R75" t="str">
        <f>TEXT(Healthcare_Data[[#This Row],[Visit_Date]],"mmm")</f>
        <v>Jan</v>
      </c>
      <c r="S75">
        <f>MONTH(Healthcare_Data[[#This Row],[Visit_Date]])</f>
        <v>1</v>
      </c>
      <c r="T75" t="str">
        <f>IF(Healthcare_Data[[#This Row],[Final_Bill]]&gt;=50000,"High",IF(Healthcare_Data[[#This Row],[Final_Bill]]&gt;=20000,"Medium","low"))</f>
        <v>low</v>
      </c>
    </row>
    <row r="76" spans="1:20" x14ac:dyDescent="0.3">
      <c r="A76" t="s">
        <v>131</v>
      </c>
      <c r="B76" s="3">
        <v>45686</v>
      </c>
      <c r="C76" t="s">
        <v>18</v>
      </c>
      <c r="D76" t="s">
        <v>51</v>
      </c>
      <c r="E76" t="s">
        <v>52</v>
      </c>
      <c r="F76" t="s">
        <v>21</v>
      </c>
      <c r="G76">
        <v>80</v>
      </c>
      <c r="H76" t="s">
        <v>65</v>
      </c>
      <c r="I76" t="s">
        <v>61</v>
      </c>
      <c r="J76" t="s">
        <v>31</v>
      </c>
      <c r="K76">
        <v>3</v>
      </c>
      <c r="L76" s="4">
        <v>79985</v>
      </c>
      <c r="M76">
        <v>500</v>
      </c>
      <c r="N76">
        <v>79485</v>
      </c>
      <c r="O76" t="s">
        <v>25</v>
      </c>
      <c r="P76">
        <v>3.3</v>
      </c>
      <c r="Q76">
        <v>62</v>
      </c>
      <c r="R76" t="str">
        <f>TEXT(Healthcare_Data[[#This Row],[Visit_Date]],"mmm")</f>
        <v>Jan</v>
      </c>
      <c r="S76">
        <f>MONTH(Healthcare_Data[[#This Row],[Visit_Date]])</f>
        <v>1</v>
      </c>
      <c r="T76" t="str">
        <f>IF(Healthcare_Data[[#This Row],[Final_Bill]]&gt;=50000,"High",IF(Healthcare_Data[[#This Row],[Final_Bill]]&gt;=20000,"Medium","low"))</f>
        <v>High</v>
      </c>
    </row>
    <row r="77" spans="1:20" x14ac:dyDescent="0.3">
      <c r="A77" t="s">
        <v>132</v>
      </c>
      <c r="B77" s="3">
        <v>45686</v>
      </c>
      <c r="C77" t="s">
        <v>44</v>
      </c>
      <c r="D77" t="s">
        <v>39</v>
      </c>
      <c r="E77" t="s">
        <v>20</v>
      </c>
      <c r="F77" t="s">
        <v>40</v>
      </c>
      <c r="G77">
        <v>64</v>
      </c>
      <c r="H77" t="s">
        <v>46</v>
      </c>
      <c r="I77" t="s">
        <v>63</v>
      </c>
      <c r="J77" t="s">
        <v>58</v>
      </c>
      <c r="K77">
        <v>0</v>
      </c>
      <c r="L77" s="4">
        <v>14461</v>
      </c>
      <c r="M77">
        <v>0</v>
      </c>
      <c r="N77">
        <v>14461</v>
      </c>
      <c r="O77" t="s">
        <v>59</v>
      </c>
      <c r="P77">
        <v>4.4000000000000004</v>
      </c>
      <c r="Q77">
        <v>93</v>
      </c>
      <c r="R77" t="str">
        <f>TEXT(Healthcare_Data[[#This Row],[Visit_Date]],"mmm")</f>
        <v>Jan</v>
      </c>
      <c r="S77">
        <f>MONTH(Healthcare_Data[[#This Row],[Visit_Date]])</f>
        <v>1</v>
      </c>
      <c r="T77" t="str">
        <f>IF(Healthcare_Data[[#This Row],[Final_Bill]]&gt;=50000,"High",IF(Healthcare_Data[[#This Row],[Final_Bill]]&gt;=20000,"Medium","low"))</f>
        <v>low</v>
      </c>
    </row>
    <row r="78" spans="1:20" x14ac:dyDescent="0.3">
      <c r="A78" t="s">
        <v>133</v>
      </c>
      <c r="B78" s="3">
        <v>45687</v>
      </c>
      <c r="C78" t="s">
        <v>44</v>
      </c>
      <c r="D78" t="s">
        <v>28</v>
      </c>
      <c r="E78" t="s">
        <v>54</v>
      </c>
      <c r="F78" t="s">
        <v>21</v>
      </c>
      <c r="G78">
        <v>40</v>
      </c>
      <c r="H78" t="s">
        <v>56</v>
      </c>
      <c r="I78" t="s">
        <v>57</v>
      </c>
      <c r="J78" t="s">
        <v>24</v>
      </c>
      <c r="K78">
        <v>0</v>
      </c>
      <c r="L78" s="4">
        <v>32714</v>
      </c>
      <c r="M78">
        <v>0</v>
      </c>
      <c r="N78">
        <v>32714</v>
      </c>
      <c r="O78" t="s">
        <v>32</v>
      </c>
      <c r="P78">
        <v>2.6</v>
      </c>
      <c r="Q78">
        <v>30</v>
      </c>
      <c r="R78" t="str">
        <f>TEXT(Healthcare_Data[[#This Row],[Visit_Date]],"mmm")</f>
        <v>Jan</v>
      </c>
      <c r="S78">
        <f>MONTH(Healthcare_Data[[#This Row],[Visit_Date]])</f>
        <v>1</v>
      </c>
      <c r="T78" t="str">
        <f>IF(Healthcare_Data[[#This Row],[Final_Bill]]&gt;=50000,"High",IF(Healthcare_Data[[#This Row],[Final_Bill]]&gt;=20000,"Medium","low"))</f>
        <v>Medium</v>
      </c>
    </row>
    <row r="79" spans="1:20" x14ac:dyDescent="0.3">
      <c r="A79" t="s">
        <v>134</v>
      </c>
      <c r="B79" s="3">
        <v>45688</v>
      </c>
      <c r="C79" t="s">
        <v>54</v>
      </c>
      <c r="D79" t="s">
        <v>34</v>
      </c>
      <c r="E79" t="s">
        <v>20</v>
      </c>
      <c r="F79" t="s">
        <v>21</v>
      </c>
      <c r="G79">
        <v>34</v>
      </c>
      <c r="H79" t="s">
        <v>41</v>
      </c>
      <c r="I79" t="s">
        <v>42</v>
      </c>
      <c r="J79" t="s">
        <v>58</v>
      </c>
      <c r="K79">
        <v>0</v>
      </c>
      <c r="L79" s="4">
        <v>17565</v>
      </c>
      <c r="M79">
        <v>0</v>
      </c>
      <c r="N79">
        <v>17565</v>
      </c>
      <c r="O79" t="s">
        <v>25</v>
      </c>
      <c r="P79">
        <v>4.3</v>
      </c>
      <c r="Q79">
        <v>94</v>
      </c>
      <c r="R79" t="str">
        <f>TEXT(Healthcare_Data[[#This Row],[Visit_Date]],"mmm")</f>
        <v>Jan</v>
      </c>
      <c r="S79">
        <f>MONTH(Healthcare_Data[[#This Row],[Visit_Date]])</f>
        <v>1</v>
      </c>
      <c r="T79" t="str">
        <f>IF(Healthcare_Data[[#This Row],[Final_Bill]]&gt;=50000,"High",IF(Healthcare_Data[[#This Row],[Final_Bill]]&gt;=20000,"Medium","low"))</f>
        <v>low</v>
      </c>
    </row>
    <row r="80" spans="1:20" x14ac:dyDescent="0.3">
      <c r="A80" t="s">
        <v>135</v>
      </c>
      <c r="B80" s="3">
        <v>45690</v>
      </c>
      <c r="C80" t="s">
        <v>38</v>
      </c>
      <c r="D80" t="s">
        <v>28</v>
      </c>
      <c r="E80" t="s">
        <v>54</v>
      </c>
      <c r="F80" t="s">
        <v>40</v>
      </c>
      <c r="G80">
        <v>57</v>
      </c>
      <c r="H80" t="s">
        <v>46</v>
      </c>
      <c r="I80" t="s">
        <v>72</v>
      </c>
      <c r="J80" t="s">
        <v>24</v>
      </c>
      <c r="K80">
        <v>0</v>
      </c>
      <c r="L80" s="4">
        <v>27747</v>
      </c>
      <c r="M80">
        <v>2000</v>
      </c>
      <c r="N80">
        <v>25747</v>
      </c>
      <c r="O80" t="s">
        <v>32</v>
      </c>
      <c r="P80">
        <v>4.8</v>
      </c>
      <c r="Q80">
        <v>64</v>
      </c>
      <c r="R80" t="str">
        <f>TEXT(Healthcare_Data[[#This Row],[Visit_Date]],"mmm")</f>
        <v>Feb</v>
      </c>
      <c r="S80">
        <f>MONTH(Healthcare_Data[[#This Row],[Visit_Date]])</f>
        <v>2</v>
      </c>
      <c r="T80" t="str">
        <f>IF(Healthcare_Data[[#This Row],[Final_Bill]]&gt;=50000,"High",IF(Healthcare_Data[[#This Row],[Final_Bill]]&gt;=20000,"Medium","low"))</f>
        <v>Medium</v>
      </c>
    </row>
    <row r="81" spans="1:20" x14ac:dyDescent="0.3">
      <c r="A81" t="s">
        <v>136</v>
      </c>
      <c r="B81" s="3">
        <v>45690</v>
      </c>
      <c r="C81" t="s">
        <v>54</v>
      </c>
      <c r="D81" t="s">
        <v>39</v>
      </c>
      <c r="E81" t="s">
        <v>52</v>
      </c>
      <c r="F81" t="s">
        <v>21</v>
      </c>
      <c r="G81">
        <v>40</v>
      </c>
      <c r="H81" t="s">
        <v>115</v>
      </c>
      <c r="I81" t="s">
        <v>30</v>
      </c>
      <c r="J81" t="s">
        <v>24</v>
      </c>
      <c r="K81">
        <v>9</v>
      </c>
      <c r="L81" s="4">
        <v>65624</v>
      </c>
      <c r="M81">
        <v>1000</v>
      </c>
      <c r="N81">
        <v>64624</v>
      </c>
      <c r="O81" t="s">
        <v>25</v>
      </c>
      <c r="P81">
        <v>4.5999999999999996</v>
      </c>
      <c r="Q81">
        <v>100</v>
      </c>
      <c r="R81" t="str">
        <f>TEXT(Healthcare_Data[[#This Row],[Visit_Date]],"mmm")</f>
        <v>Feb</v>
      </c>
      <c r="S81">
        <f>MONTH(Healthcare_Data[[#This Row],[Visit_Date]])</f>
        <v>2</v>
      </c>
      <c r="T81" t="str">
        <f>IF(Healthcare_Data[[#This Row],[Final_Bill]]&gt;=50000,"High",IF(Healthcare_Data[[#This Row],[Final_Bill]]&gt;=20000,"Medium","low"))</f>
        <v>High</v>
      </c>
    </row>
    <row r="82" spans="1:20" x14ac:dyDescent="0.3">
      <c r="A82" t="s">
        <v>137</v>
      </c>
      <c r="B82" s="3">
        <v>45690</v>
      </c>
      <c r="C82" t="s">
        <v>18</v>
      </c>
      <c r="D82" t="s">
        <v>39</v>
      </c>
      <c r="E82" t="s">
        <v>20</v>
      </c>
      <c r="F82" t="s">
        <v>40</v>
      </c>
      <c r="G82">
        <v>30</v>
      </c>
      <c r="H82" t="s">
        <v>46</v>
      </c>
      <c r="I82" t="s">
        <v>63</v>
      </c>
      <c r="J82" t="s">
        <v>36</v>
      </c>
      <c r="K82">
        <v>0</v>
      </c>
      <c r="L82" s="4">
        <v>9491</v>
      </c>
      <c r="M82">
        <v>0</v>
      </c>
      <c r="N82">
        <v>9491</v>
      </c>
      <c r="O82" t="s">
        <v>25</v>
      </c>
      <c r="P82">
        <v>3.4</v>
      </c>
      <c r="Q82">
        <v>29</v>
      </c>
      <c r="R82" t="str">
        <f>TEXT(Healthcare_Data[[#This Row],[Visit_Date]],"mmm")</f>
        <v>Feb</v>
      </c>
      <c r="S82">
        <f>MONTH(Healthcare_Data[[#This Row],[Visit_Date]])</f>
        <v>2</v>
      </c>
      <c r="T82" t="str">
        <f>IF(Healthcare_Data[[#This Row],[Final_Bill]]&gt;=50000,"High",IF(Healthcare_Data[[#This Row],[Final_Bill]]&gt;=20000,"Medium","low"))</f>
        <v>low</v>
      </c>
    </row>
    <row r="83" spans="1:20" x14ac:dyDescent="0.3">
      <c r="A83" t="s">
        <v>138</v>
      </c>
      <c r="B83" s="3">
        <v>45691</v>
      </c>
      <c r="C83" t="s">
        <v>48</v>
      </c>
      <c r="D83" t="s">
        <v>28</v>
      </c>
      <c r="E83" t="s">
        <v>54</v>
      </c>
      <c r="F83" t="s">
        <v>40</v>
      </c>
      <c r="G83">
        <v>23</v>
      </c>
      <c r="H83" t="s">
        <v>56</v>
      </c>
      <c r="I83" t="s">
        <v>72</v>
      </c>
      <c r="J83" t="s">
        <v>31</v>
      </c>
      <c r="K83">
        <v>0</v>
      </c>
      <c r="L83" s="4">
        <v>43103</v>
      </c>
      <c r="M83">
        <v>2000</v>
      </c>
      <c r="N83">
        <v>41103</v>
      </c>
      <c r="O83" t="s">
        <v>25</v>
      </c>
      <c r="P83">
        <v>4.2</v>
      </c>
      <c r="Q83">
        <v>77</v>
      </c>
      <c r="R83" t="str">
        <f>TEXT(Healthcare_Data[[#This Row],[Visit_Date]],"mmm")</f>
        <v>Feb</v>
      </c>
      <c r="S83">
        <f>MONTH(Healthcare_Data[[#This Row],[Visit_Date]])</f>
        <v>2</v>
      </c>
      <c r="T83" t="str">
        <f>IF(Healthcare_Data[[#This Row],[Final_Bill]]&gt;=50000,"High",IF(Healthcare_Data[[#This Row],[Final_Bill]]&gt;=20000,"Medium","low"))</f>
        <v>Medium</v>
      </c>
    </row>
    <row r="84" spans="1:20" x14ac:dyDescent="0.3">
      <c r="A84" t="s">
        <v>139</v>
      </c>
      <c r="B84" s="3">
        <v>45691</v>
      </c>
      <c r="C84" t="s">
        <v>18</v>
      </c>
      <c r="D84" t="s">
        <v>51</v>
      </c>
      <c r="E84" t="s">
        <v>20</v>
      </c>
      <c r="F84" t="s">
        <v>40</v>
      </c>
      <c r="G84">
        <v>35</v>
      </c>
      <c r="H84" t="s">
        <v>29</v>
      </c>
      <c r="I84" t="s">
        <v>30</v>
      </c>
      <c r="J84" t="s">
        <v>36</v>
      </c>
      <c r="K84">
        <v>0</v>
      </c>
      <c r="L84" s="4">
        <v>2059</v>
      </c>
      <c r="M84">
        <v>0</v>
      </c>
      <c r="N84">
        <v>2059</v>
      </c>
      <c r="O84" t="s">
        <v>32</v>
      </c>
      <c r="P84">
        <v>2.7</v>
      </c>
      <c r="Q84">
        <v>52</v>
      </c>
      <c r="R84" t="str">
        <f>TEXT(Healthcare_Data[[#This Row],[Visit_Date]],"mmm")</f>
        <v>Feb</v>
      </c>
      <c r="S84">
        <f>MONTH(Healthcare_Data[[#This Row],[Visit_Date]])</f>
        <v>2</v>
      </c>
      <c r="T84" t="str">
        <f>IF(Healthcare_Data[[#This Row],[Final_Bill]]&gt;=50000,"High",IF(Healthcare_Data[[#This Row],[Final_Bill]]&gt;=20000,"Medium","low"))</f>
        <v>low</v>
      </c>
    </row>
    <row r="85" spans="1:20" x14ac:dyDescent="0.3">
      <c r="A85" t="s">
        <v>140</v>
      </c>
      <c r="B85" s="3">
        <v>45691</v>
      </c>
      <c r="C85" t="s">
        <v>67</v>
      </c>
      <c r="D85" t="s">
        <v>34</v>
      </c>
      <c r="E85" t="s">
        <v>20</v>
      </c>
      <c r="F85" t="s">
        <v>21</v>
      </c>
      <c r="G85">
        <v>26</v>
      </c>
      <c r="H85" t="s">
        <v>115</v>
      </c>
      <c r="I85" t="s">
        <v>69</v>
      </c>
      <c r="J85" t="s">
        <v>24</v>
      </c>
      <c r="K85">
        <v>0</v>
      </c>
      <c r="L85" s="4">
        <v>8060</v>
      </c>
      <c r="M85">
        <v>0</v>
      </c>
      <c r="N85">
        <v>8060</v>
      </c>
      <c r="O85" t="s">
        <v>25</v>
      </c>
      <c r="P85">
        <v>4.4000000000000004</v>
      </c>
      <c r="Q85">
        <v>67</v>
      </c>
      <c r="R85" t="str">
        <f>TEXT(Healthcare_Data[[#This Row],[Visit_Date]],"mmm")</f>
        <v>Feb</v>
      </c>
      <c r="S85">
        <f>MONTH(Healthcare_Data[[#This Row],[Visit_Date]])</f>
        <v>2</v>
      </c>
      <c r="T85" t="str">
        <f>IF(Healthcare_Data[[#This Row],[Final_Bill]]&gt;=50000,"High",IF(Healthcare_Data[[#This Row],[Final_Bill]]&gt;=20000,"Medium","low"))</f>
        <v>low</v>
      </c>
    </row>
    <row r="86" spans="1:20" x14ac:dyDescent="0.3">
      <c r="A86" t="s">
        <v>141</v>
      </c>
      <c r="B86" s="3">
        <v>45691</v>
      </c>
      <c r="C86" t="s">
        <v>27</v>
      </c>
      <c r="D86" t="s">
        <v>51</v>
      </c>
      <c r="E86" t="s">
        <v>52</v>
      </c>
      <c r="F86" t="s">
        <v>21</v>
      </c>
      <c r="G86">
        <v>64</v>
      </c>
      <c r="H86" t="s">
        <v>22</v>
      </c>
      <c r="I86" t="s">
        <v>72</v>
      </c>
      <c r="J86" t="s">
        <v>58</v>
      </c>
      <c r="K86">
        <v>7</v>
      </c>
      <c r="L86" s="4">
        <v>23498</v>
      </c>
      <c r="M86">
        <v>0</v>
      </c>
      <c r="N86">
        <v>23498</v>
      </c>
      <c r="O86" t="s">
        <v>59</v>
      </c>
      <c r="P86">
        <v>2.7</v>
      </c>
      <c r="Q86">
        <v>91</v>
      </c>
      <c r="R86" t="str">
        <f>TEXT(Healthcare_Data[[#This Row],[Visit_Date]],"mmm")</f>
        <v>Feb</v>
      </c>
      <c r="S86">
        <f>MONTH(Healthcare_Data[[#This Row],[Visit_Date]])</f>
        <v>2</v>
      </c>
      <c r="T86" t="str">
        <f>IF(Healthcare_Data[[#This Row],[Final_Bill]]&gt;=50000,"High",IF(Healthcare_Data[[#This Row],[Final_Bill]]&gt;=20000,"Medium","low"))</f>
        <v>Medium</v>
      </c>
    </row>
    <row r="87" spans="1:20" x14ac:dyDescent="0.3">
      <c r="A87" t="s">
        <v>142</v>
      </c>
      <c r="B87" s="3">
        <v>45692</v>
      </c>
      <c r="C87" t="s">
        <v>67</v>
      </c>
      <c r="D87" t="s">
        <v>51</v>
      </c>
      <c r="E87" t="s">
        <v>52</v>
      </c>
      <c r="F87" t="s">
        <v>40</v>
      </c>
      <c r="G87">
        <v>34</v>
      </c>
      <c r="H87" t="s">
        <v>22</v>
      </c>
      <c r="I87" t="s">
        <v>57</v>
      </c>
      <c r="J87" t="s">
        <v>24</v>
      </c>
      <c r="K87">
        <v>1</v>
      </c>
      <c r="L87" s="4">
        <v>78799</v>
      </c>
      <c r="M87">
        <v>500</v>
      </c>
      <c r="N87">
        <v>78299</v>
      </c>
      <c r="O87" t="s">
        <v>25</v>
      </c>
      <c r="P87">
        <v>2.9</v>
      </c>
      <c r="Q87">
        <v>79</v>
      </c>
      <c r="R87" t="str">
        <f>TEXT(Healthcare_Data[[#This Row],[Visit_Date]],"mmm")</f>
        <v>Feb</v>
      </c>
      <c r="S87">
        <f>MONTH(Healthcare_Data[[#This Row],[Visit_Date]])</f>
        <v>2</v>
      </c>
      <c r="T87" t="str">
        <f>IF(Healthcare_Data[[#This Row],[Final_Bill]]&gt;=50000,"High",IF(Healthcare_Data[[#This Row],[Final_Bill]]&gt;=20000,"Medium","low"))</f>
        <v>High</v>
      </c>
    </row>
    <row r="88" spans="1:20" x14ac:dyDescent="0.3">
      <c r="A88" t="s">
        <v>143</v>
      </c>
      <c r="B88" s="3">
        <v>45692</v>
      </c>
      <c r="C88" t="s">
        <v>50</v>
      </c>
      <c r="D88" t="s">
        <v>34</v>
      </c>
      <c r="E88" t="s">
        <v>52</v>
      </c>
      <c r="F88" t="s">
        <v>40</v>
      </c>
      <c r="G88">
        <v>39</v>
      </c>
      <c r="H88" t="s">
        <v>115</v>
      </c>
      <c r="I88" t="s">
        <v>42</v>
      </c>
      <c r="J88" t="s">
        <v>24</v>
      </c>
      <c r="K88">
        <v>14</v>
      </c>
      <c r="L88" s="4">
        <v>35569</v>
      </c>
      <c r="M88">
        <v>500</v>
      </c>
      <c r="N88">
        <v>35069</v>
      </c>
      <c r="O88" t="s">
        <v>25</v>
      </c>
      <c r="P88">
        <v>4.5</v>
      </c>
      <c r="Q88">
        <v>50</v>
      </c>
      <c r="R88" t="str">
        <f>TEXT(Healthcare_Data[[#This Row],[Visit_Date]],"mmm")</f>
        <v>Feb</v>
      </c>
      <c r="S88">
        <f>MONTH(Healthcare_Data[[#This Row],[Visit_Date]])</f>
        <v>2</v>
      </c>
      <c r="T88" t="str">
        <f>IF(Healthcare_Data[[#This Row],[Final_Bill]]&gt;=50000,"High",IF(Healthcare_Data[[#This Row],[Final_Bill]]&gt;=20000,"Medium","low"))</f>
        <v>Medium</v>
      </c>
    </row>
    <row r="89" spans="1:20" x14ac:dyDescent="0.3">
      <c r="A89" t="s">
        <v>144</v>
      </c>
      <c r="B89" s="3">
        <v>45692</v>
      </c>
      <c r="C89" t="s">
        <v>44</v>
      </c>
      <c r="D89" t="s">
        <v>19</v>
      </c>
      <c r="E89" t="s">
        <v>20</v>
      </c>
      <c r="F89" t="s">
        <v>40</v>
      </c>
      <c r="G89">
        <v>49</v>
      </c>
      <c r="H89" t="s">
        <v>41</v>
      </c>
      <c r="I89" t="s">
        <v>30</v>
      </c>
      <c r="J89" t="s">
        <v>24</v>
      </c>
      <c r="K89">
        <v>0</v>
      </c>
      <c r="L89" s="4">
        <v>17891</v>
      </c>
      <c r="M89">
        <v>0</v>
      </c>
      <c r="N89">
        <v>17891</v>
      </c>
      <c r="O89" t="s">
        <v>59</v>
      </c>
      <c r="P89">
        <v>4.2</v>
      </c>
      <c r="Q89">
        <v>95</v>
      </c>
      <c r="R89" t="str">
        <f>TEXT(Healthcare_Data[[#This Row],[Visit_Date]],"mmm")</f>
        <v>Feb</v>
      </c>
      <c r="S89">
        <f>MONTH(Healthcare_Data[[#This Row],[Visit_Date]])</f>
        <v>2</v>
      </c>
      <c r="T89" t="str">
        <f>IF(Healthcare_Data[[#This Row],[Final_Bill]]&gt;=50000,"High",IF(Healthcare_Data[[#This Row],[Final_Bill]]&gt;=20000,"Medium","low"))</f>
        <v>low</v>
      </c>
    </row>
    <row r="90" spans="1:20" x14ac:dyDescent="0.3">
      <c r="A90" t="s">
        <v>145</v>
      </c>
      <c r="B90" s="3">
        <v>45692</v>
      </c>
      <c r="C90" t="s">
        <v>38</v>
      </c>
      <c r="D90" t="s">
        <v>34</v>
      </c>
      <c r="E90" t="s">
        <v>54</v>
      </c>
      <c r="F90" t="s">
        <v>21</v>
      </c>
      <c r="G90">
        <v>27</v>
      </c>
      <c r="H90" t="s">
        <v>115</v>
      </c>
      <c r="I90" t="s">
        <v>63</v>
      </c>
      <c r="J90" t="s">
        <v>24</v>
      </c>
      <c r="K90">
        <v>0</v>
      </c>
      <c r="L90" s="4">
        <v>33958</v>
      </c>
      <c r="M90">
        <v>500</v>
      </c>
      <c r="N90">
        <v>33458</v>
      </c>
      <c r="O90" t="s">
        <v>25</v>
      </c>
      <c r="P90">
        <v>2.7</v>
      </c>
      <c r="Q90">
        <v>5</v>
      </c>
      <c r="R90" t="str">
        <f>TEXT(Healthcare_Data[[#This Row],[Visit_Date]],"mmm")</f>
        <v>Feb</v>
      </c>
      <c r="S90">
        <f>MONTH(Healthcare_Data[[#This Row],[Visit_Date]])</f>
        <v>2</v>
      </c>
      <c r="T90" t="str">
        <f>IF(Healthcare_Data[[#This Row],[Final_Bill]]&gt;=50000,"High",IF(Healthcare_Data[[#This Row],[Final_Bill]]&gt;=20000,"Medium","low"))</f>
        <v>Medium</v>
      </c>
    </row>
    <row r="91" spans="1:20" x14ac:dyDescent="0.3">
      <c r="A91" t="s">
        <v>146</v>
      </c>
      <c r="B91" s="3">
        <v>45692</v>
      </c>
      <c r="C91" t="s">
        <v>27</v>
      </c>
      <c r="D91" t="s">
        <v>39</v>
      </c>
      <c r="E91" t="s">
        <v>54</v>
      </c>
      <c r="F91" t="s">
        <v>40</v>
      </c>
      <c r="G91">
        <v>34</v>
      </c>
      <c r="H91" t="s">
        <v>65</v>
      </c>
      <c r="I91" t="s">
        <v>57</v>
      </c>
      <c r="J91" t="s">
        <v>58</v>
      </c>
      <c r="K91">
        <v>0</v>
      </c>
      <c r="L91" s="4">
        <v>38697</v>
      </c>
      <c r="M91">
        <v>0</v>
      </c>
      <c r="N91">
        <v>38697</v>
      </c>
      <c r="O91" t="s">
        <v>25</v>
      </c>
      <c r="P91">
        <v>2.8</v>
      </c>
      <c r="Q91">
        <v>93</v>
      </c>
      <c r="R91" t="str">
        <f>TEXT(Healthcare_Data[[#This Row],[Visit_Date]],"mmm")</f>
        <v>Feb</v>
      </c>
      <c r="S91">
        <f>MONTH(Healthcare_Data[[#This Row],[Visit_Date]])</f>
        <v>2</v>
      </c>
      <c r="T91" t="str">
        <f>IF(Healthcare_Data[[#This Row],[Final_Bill]]&gt;=50000,"High",IF(Healthcare_Data[[#This Row],[Final_Bill]]&gt;=20000,"Medium","low"))</f>
        <v>Medium</v>
      </c>
    </row>
    <row r="92" spans="1:20" x14ac:dyDescent="0.3">
      <c r="A92" t="s">
        <v>147</v>
      </c>
      <c r="B92" s="3">
        <v>45693</v>
      </c>
      <c r="C92" t="s">
        <v>27</v>
      </c>
      <c r="D92" t="s">
        <v>34</v>
      </c>
      <c r="E92" t="s">
        <v>20</v>
      </c>
      <c r="F92" t="s">
        <v>40</v>
      </c>
      <c r="G92">
        <v>38</v>
      </c>
      <c r="H92" t="s">
        <v>115</v>
      </c>
      <c r="I92" t="s">
        <v>1057</v>
      </c>
      <c r="J92" t="s">
        <v>31</v>
      </c>
      <c r="K92">
        <v>0</v>
      </c>
      <c r="L92" s="4">
        <v>7701</v>
      </c>
      <c r="M92">
        <v>1500</v>
      </c>
      <c r="N92">
        <v>6201</v>
      </c>
      <c r="O92" t="s">
        <v>25</v>
      </c>
      <c r="P92">
        <v>4.4000000000000004</v>
      </c>
      <c r="Q92">
        <v>109</v>
      </c>
      <c r="R92" t="str">
        <f>TEXT(Healthcare_Data[[#This Row],[Visit_Date]],"mmm")</f>
        <v>Feb</v>
      </c>
      <c r="S92">
        <f>MONTH(Healthcare_Data[[#This Row],[Visit_Date]])</f>
        <v>2</v>
      </c>
      <c r="T92" t="str">
        <f>IF(Healthcare_Data[[#This Row],[Final_Bill]]&gt;=50000,"High",IF(Healthcare_Data[[#This Row],[Final_Bill]]&gt;=20000,"Medium","low"))</f>
        <v>low</v>
      </c>
    </row>
    <row r="93" spans="1:20" x14ac:dyDescent="0.3">
      <c r="A93" t="s">
        <v>148</v>
      </c>
      <c r="B93" s="3">
        <v>45693</v>
      </c>
      <c r="C93" t="s">
        <v>18</v>
      </c>
      <c r="D93" t="s">
        <v>34</v>
      </c>
      <c r="E93" t="s">
        <v>20</v>
      </c>
      <c r="F93" t="s">
        <v>40</v>
      </c>
      <c r="G93">
        <v>67</v>
      </c>
      <c r="H93" t="s">
        <v>41</v>
      </c>
      <c r="I93" t="s">
        <v>42</v>
      </c>
      <c r="J93" t="s">
        <v>24</v>
      </c>
      <c r="K93">
        <v>0</v>
      </c>
      <c r="L93" s="4">
        <v>4196</v>
      </c>
      <c r="M93">
        <v>500</v>
      </c>
      <c r="N93">
        <v>3696</v>
      </c>
      <c r="O93" t="s">
        <v>59</v>
      </c>
      <c r="P93">
        <v>3.2</v>
      </c>
      <c r="Q93">
        <v>43</v>
      </c>
      <c r="R93" t="str">
        <f>TEXT(Healthcare_Data[[#This Row],[Visit_Date]],"mmm")</f>
        <v>Feb</v>
      </c>
      <c r="S93">
        <f>MONTH(Healthcare_Data[[#This Row],[Visit_Date]])</f>
        <v>2</v>
      </c>
      <c r="T93" t="str">
        <f>IF(Healthcare_Data[[#This Row],[Final_Bill]]&gt;=50000,"High",IF(Healthcare_Data[[#This Row],[Final_Bill]]&gt;=20000,"Medium","low"))</f>
        <v>low</v>
      </c>
    </row>
    <row r="94" spans="1:20" x14ac:dyDescent="0.3">
      <c r="A94" t="s">
        <v>149</v>
      </c>
      <c r="B94" s="3">
        <v>45693</v>
      </c>
      <c r="C94" t="s">
        <v>67</v>
      </c>
      <c r="D94" t="s">
        <v>28</v>
      </c>
      <c r="E94" t="s">
        <v>54</v>
      </c>
      <c r="F94" t="s">
        <v>21</v>
      </c>
      <c r="G94">
        <v>72</v>
      </c>
      <c r="H94" t="s">
        <v>115</v>
      </c>
      <c r="I94" t="s">
        <v>61</v>
      </c>
      <c r="J94" t="s">
        <v>58</v>
      </c>
      <c r="K94">
        <v>0</v>
      </c>
      <c r="L94" s="4">
        <v>23893</v>
      </c>
      <c r="M94">
        <v>1000</v>
      </c>
      <c r="N94">
        <v>22893</v>
      </c>
      <c r="O94" t="s">
        <v>59</v>
      </c>
      <c r="P94">
        <v>3.5</v>
      </c>
      <c r="Q94">
        <v>22</v>
      </c>
      <c r="R94" t="str">
        <f>TEXT(Healthcare_Data[[#This Row],[Visit_Date]],"mmm")</f>
        <v>Feb</v>
      </c>
      <c r="S94">
        <f>MONTH(Healthcare_Data[[#This Row],[Visit_Date]])</f>
        <v>2</v>
      </c>
      <c r="T94" t="str">
        <f>IF(Healthcare_Data[[#This Row],[Final_Bill]]&gt;=50000,"High",IF(Healthcare_Data[[#This Row],[Final_Bill]]&gt;=20000,"Medium","low"))</f>
        <v>Medium</v>
      </c>
    </row>
    <row r="95" spans="1:20" x14ac:dyDescent="0.3">
      <c r="A95" t="s">
        <v>150</v>
      </c>
      <c r="B95" s="3">
        <v>45693</v>
      </c>
      <c r="C95" t="s">
        <v>18</v>
      </c>
      <c r="D95" t="s">
        <v>39</v>
      </c>
      <c r="E95" t="s">
        <v>54</v>
      </c>
      <c r="F95" t="s">
        <v>21</v>
      </c>
      <c r="G95">
        <v>66</v>
      </c>
      <c r="H95" t="s">
        <v>35</v>
      </c>
      <c r="I95" t="s">
        <v>42</v>
      </c>
      <c r="J95" t="s">
        <v>58</v>
      </c>
      <c r="K95">
        <v>0</v>
      </c>
      <c r="L95" s="4">
        <v>36797</v>
      </c>
      <c r="M95">
        <v>0</v>
      </c>
      <c r="N95">
        <v>36797</v>
      </c>
      <c r="O95" t="s">
        <v>32</v>
      </c>
      <c r="P95">
        <v>4.7</v>
      </c>
      <c r="Q95">
        <v>26</v>
      </c>
      <c r="R95" t="str">
        <f>TEXT(Healthcare_Data[[#This Row],[Visit_Date]],"mmm")</f>
        <v>Feb</v>
      </c>
      <c r="S95">
        <f>MONTH(Healthcare_Data[[#This Row],[Visit_Date]])</f>
        <v>2</v>
      </c>
      <c r="T95" t="str">
        <f>IF(Healthcare_Data[[#This Row],[Final_Bill]]&gt;=50000,"High",IF(Healthcare_Data[[#This Row],[Final_Bill]]&gt;=20000,"Medium","low"))</f>
        <v>Medium</v>
      </c>
    </row>
    <row r="96" spans="1:20" x14ac:dyDescent="0.3">
      <c r="A96" t="s">
        <v>151</v>
      </c>
      <c r="B96" s="3">
        <v>45694</v>
      </c>
      <c r="C96" t="s">
        <v>27</v>
      </c>
      <c r="D96" t="s">
        <v>39</v>
      </c>
      <c r="E96" t="s">
        <v>52</v>
      </c>
      <c r="F96" t="s">
        <v>40</v>
      </c>
      <c r="G96">
        <v>71</v>
      </c>
      <c r="H96" t="s">
        <v>115</v>
      </c>
      <c r="I96" t="s">
        <v>61</v>
      </c>
      <c r="J96" t="s">
        <v>36</v>
      </c>
      <c r="K96">
        <v>11</v>
      </c>
      <c r="L96" s="4">
        <v>71414</v>
      </c>
      <c r="M96">
        <v>500</v>
      </c>
      <c r="N96">
        <v>70914</v>
      </c>
      <c r="O96" t="s">
        <v>25</v>
      </c>
      <c r="P96">
        <v>4.0999999999999996</v>
      </c>
      <c r="Q96">
        <v>27</v>
      </c>
      <c r="R96" t="str">
        <f>TEXT(Healthcare_Data[[#This Row],[Visit_Date]],"mmm")</f>
        <v>Feb</v>
      </c>
      <c r="S96">
        <f>MONTH(Healthcare_Data[[#This Row],[Visit_Date]])</f>
        <v>2</v>
      </c>
      <c r="T96" t="str">
        <f>IF(Healthcare_Data[[#This Row],[Final_Bill]]&gt;=50000,"High",IF(Healthcare_Data[[#This Row],[Final_Bill]]&gt;=20000,"Medium","low"))</f>
        <v>High</v>
      </c>
    </row>
    <row r="97" spans="1:20" x14ac:dyDescent="0.3">
      <c r="A97" t="s">
        <v>152</v>
      </c>
      <c r="B97" s="3">
        <v>45694</v>
      </c>
      <c r="C97" t="s">
        <v>50</v>
      </c>
      <c r="D97" t="s">
        <v>34</v>
      </c>
      <c r="E97" t="s">
        <v>20</v>
      </c>
      <c r="F97" t="s">
        <v>40</v>
      </c>
      <c r="G97">
        <v>21</v>
      </c>
      <c r="H97" t="s">
        <v>41</v>
      </c>
      <c r="I97" t="s">
        <v>61</v>
      </c>
      <c r="J97" t="s">
        <v>58</v>
      </c>
      <c r="K97">
        <v>0</v>
      </c>
      <c r="L97" s="4">
        <v>19664</v>
      </c>
      <c r="M97">
        <v>0</v>
      </c>
      <c r="N97">
        <v>19664</v>
      </c>
      <c r="O97" t="s">
        <v>25</v>
      </c>
      <c r="P97">
        <v>3.4</v>
      </c>
      <c r="Q97">
        <v>101</v>
      </c>
      <c r="R97" t="str">
        <f>TEXT(Healthcare_Data[[#This Row],[Visit_Date]],"mmm")</f>
        <v>Feb</v>
      </c>
      <c r="S97">
        <f>MONTH(Healthcare_Data[[#This Row],[Visit_Date]])</f>
        <v>2</v>
      </c>
      <c r="T97" t="str">
        <f>IF(Healthcare_Data[[#This Row],[Final_Bill]]&gt;=50000,"High",IF(Healthcare_Data[[#This Row],[Final_Bill]]&gt;=20000,"Medium","low"))</f>
        <v>low</v>
      </c>
    </row>
    <row r="98" spans="1:20" x14ac:dyDescent="0.3">
      <c r="A98" t="s">
        <v>153</v>
      </c>
      <c r="B98" s="3">
        <v>45694</v>
      </c>
      <c r="C98" t="s">
        <v>54</v>
      </c>
      <c r="D98" t="s">
        <v>28</v>
      </c>
      <c r="E98" t="s">
        <v>20</v>
      </c>
      <c r="F98" t="s">
        <v>40</v>
      </c>
      <c r="G98">
        <v>34</v>
      </c>
      <c r="H98" t="s">
        <v>115</v>
      </c>
      <c r="I98" t="s">
        <v>61</v>
      </c>
      <c r="J98" t="s">
        <v>24</v>
      </c>
      <c r="K98">
        <v>0</v>
      </c>
      <c r="L98" s="4">
        <v>4439</v>
      </c>
      <c r="M98">
        <v>500</v>
      </c>
      <c r="N98">
        <v>3939</v>
      </c>
      <c r="O98" t="s">
        <v>25</v>
      </c>
      <c r="P98">
        <v>2.7</v>
      </c>
      <c r="Q98">
        <v>88</v>
      </c>
      <c r="R98" t="str">
        <f>TEXT(Healthcare_Data[[#This Row],[Visit_Date]],"mmm")</f>
        <v>Feb</v>
      </c>
      <c r="S98">
        <f>MONTH(Healthcare_Data[[#This Row],[Visit_Date]])</f>
        <v>2</v>
      </c>
      <c r="T98" t="str">
        <f>IF(Healthcare_Data[[#This Row],[Final_Bill]]&gt;=50000,"High",IF(Healthcare_Data[[#This Row],[Final_Bill]]&gt;=20000,"Medium","low"))</f>
        <v>low</v>
      </c>
    </row>
    <row r="99" spans="1:20" x14ac:dyDescent="0.3">
      <c r="A99" t="s">
        <v>154</v>
      </c>
      <c r="B99" s="3">
        <v>45695</v>
      </c>
      <c r="C99" t="s">
        <v>67</v>
      </c>
      <c r="D99" t="s">
        <v>28</v>
      </c>
      <c r="E99" t="s">
        <v>20</v>
      </c>
      <c r="F99" t="s">
        <v>21</v>
      </c>
      <c r="G99">
        <v>47</v>
      </c>
      <c r="H99" t="s">
        <v>22</v>
      </c>
      <c r="I99" t="s">
        <v>23</v>
      </c>
      <c r="J99" t="s">
        <v>36</v>
      </c>
      <c r="K99">
        <v>0</v>
      </c>
      <c r="L99" s="4">
        <v>3829</v>
      </c>
      <c r="M99">
        <v>0</v>
      </c>
      <c r="N99">
        <v>3829</v>
      </c>
      <c r="O99" t="s">
        <v>25</v>
      </c>
      <c r="P99">
        <v>2.7</v>
      </c>
      <c r="Q99">
        <v>9</v>
      </c>
      <c r="R99" t="str">
        <f>TEXT(Healthcare_Data[[#This Row],[Visit_Date]],"mmm")</f>
        <v>Feb</v>
      </c>
      <c r="S99">
        <f>MONTH(Healthcare_Data[[#This Row],[Visit_Date]])</f>
        <v>2</v>
      </c>
      <c r="T99" t="str">
        <f>IF(Healthcare_Data[[#This Row],[Final_Bill]]&gt;=50000,"High",IF(Healthcare_Data[[#This Row],[Final_Bill]]&gt;=20000,"Medium","low"))</f>
        <v>low</v>
      </c>
    </row>
    <row r="100" spans="1:20" x14ac:dyDescent="0.3">
      <c r="A100" t="s">
        <v>155</v>
      </c>
      <c r="B100" s="3">
        <v>45695</v>
      </c>
      <c r="C100" t="s">
        <v>38</v>
      </c>
      <c r="D100" t="s">
        <v>19</v>
      </c>
      <c r="E100" t="s">
        <v>20</v>
      </c>
      <c r="F100" t="s">
        <v>40</v>
      </c>
      <c r="G100">
        <v>38</v>
      </c>
      <c r="H100" t="s">
        <v>65</v>
      </c>
      <c r="I100" t="s">
        <v>23</v>
      </c>
      <c r="J100" t="s">
        <v>24</v>
      </c>
      <c r="K100">
        <v>0</v>
      </c>
      <c r="L100" s="4">
        <v>13198</v>
      </c>
      <c r="M100">
        <v>0</v>
      </c>
      <c r="N100">
        <v>13198</v>
      </c>
      <c r="O100" t="s">
        <v>25</v>
      </c>
      <c r="P100">
        <v>4.7</v>
      </c>
      <c r="Q100">
        <v>43</v>
      </c>
      <c r="R100" t="str">
        <f>TEXT(Healthcare_Data[[#This Row],[Visit_Date]],"mmm")</f>
        <v>Feb</v>
      </c>
      <c r="S100">
        <f>MONTH(Healthcare_Data[[#This Row],[Visit_Date]])</f>
        <v>2</v>
      </c>
      <c r="T100" t="str">
        <f>IF(Healthcare_Data[[#This Row],[Final_Bill]]&gt;=50000,"High",IF(Healthcare_Data[[#This Row],[Final_Bill]]&gt;=20000,"Medium","low"))</f>
        <v>low</v>
      </c>
    </row>
    <row r="101" spans="1:20" x14ac:dyDescent="0.3">
      <c r="A101" t="s">
        <v>156</v>
      </c>
      <c r="B101" s="3">
        <v>45696</v>
      </c>
      <c r="C101" t="s">
        <v>48</v>
      </c>
      <c r="D101" t="s">
        <v>39</v>
      </c>
      <c r="E101" t="s">
        <v>20</v>
      </c>
      <c r="F101" t="s">
        <v>21</v>
      </c>
      <c r="G101">
        <v>48</v>
      </c>
      <c r="H101" t="s">
        <v>56</v>
      </c>
      <c r="I101" t="s">
        <v>61</v>
      </c>
      <c r="J101" t="s">
        <v>31</v>
      </c>
      <c r="K101">
        <v>0</v>
      </c>
      <c r="L101" s="4">
        <v>5776</v>
      </c>
      <c r="M101">
        <v>1000</v>
      </c>
      <c r="N101">
        <v>4776</v>
      </c>
      <c r="O101" t="s">
        <v>25</v>
      </c>
      <c r="P101">
        <v>3.8</v>
      </c>
      <c r="Q101">
        <v>57</v>
      </c>
      <c r="R101" t="str">
        <f>TEXT(Healthcare_Data[[#This Row],[Visit_Date]],"mmm")</f>
        <v>Feb</v>
      </c>
      <c r="S101">
        <f>MONTH(Healthcare_Data[[#This Row],[Visit_Date]])</f>
        <v>2</v>
      </c>
      <c r="T101" t="str">
        <f>IF(Healthcare_Data[[#This Row],[Final_Bill]]&gt;=50000,"High",IF(Healthcare_Data[[#This Row],[Final_Bill]]&gt;=20000,"Medium","low"))</f>
        <v>low</v>
      </c>
    </row>
    <row r="102" spans="1:20" x14ac:dyDescent="0.3">
      <c r="A102" t="s">
        <v>157</v>
      </c>
      <c r="B102" s="3">
        <v>45696</v>
      </c>
      <c r="C102" t="s">
        <v>27</v>
      </c>
      <c r="D102" t="s">
        <v>28</v>
      </c>
      <c r="E102" t="s">
        <v>20</v>
      </c>
      <c r="F102" t="s">
        <v>40</v>
      </c>
      <c r="G102">
        <v>59</v>
      </c>
      <c r="H102" t="s">
        <v>46</v>
      </c>
      <c r="I102" t="s">
        <v>69</v>
      </c>
      <c r="J102" t="s">
        <v>36</v>
      </c>
      <c r="K102">
        <v>0</v>
      </c>
      <c r="L102" s="4">
        <v>15269</v>
      </c>
      <c r="M102">
        <v>500</v>
      </c>
      <c r="N102">
        <v>14769</v>
      </c>
      <c r="O102" t="s">
        <v>25</v>
      </c>
      <c r="P102">
        <v>4</v>
      </c>
      <c r="Q102">
        <v>56</v>
      </c>
      <c r="R102" t="str">
        <f>TEXT(Healthcare_Data[[#This Row],[Visit_Date]],"mmm")</f>
        <v>Feb</v>
      </c>
      <c r="S102">
        <f>MONTH(Healthcare_Data[[#This Row],[Visit_Date]])</f>
        <v>2</v>
      </c>
      <c r="T102" t="str">
        <f>IF(Healthcare_Data[[#This Row],[Final_Bill]]&gt;=50000,"High",IF(Healthcare_Data[[#This Row],[Final_Bill]]&gt;=20000,"Medium","low"))</f>
        <v>low</v>
      </c>
    </row>
    <row r="103" spans="1:20" x14ac:dyDescent="0.3">
      <c r="A103" t="s">
        <v>158</v>
      </c>
      <c r="B103" s="3">
        <v>45696</v>
      </c>
      <c r="C103" t="s">
        <v>67</v>
      </c>
      <c r="D103" t="s">
        <v>39</v>
      </c>
      <c r="E103" t="s">
        <v>54</v>
      </c>
      <c r="F103" t="s">
        <v>21</v>
      </c>
      <c r="G103">
        <v>59</v>
      </c>
      <c r="H103" t="s">
        <v>115</v>
      </c>
      <c r="I103" t="s">
        <v>23</v>
      </c>
      <c r="J103" t="s">
        <v>24</v>
      </c>
      <c r="K103">
        <v>0</v>
      </c>
      <c r="L103" s="4">
        <v>40583</v>
      </c>
      <c r="M103">
        <v>0</v>
      </c>
      <c r="N103">
        <v>40583</v>
      </c>
      <c r="O103" t="s">
        <v>25</v>
      </c>
      <c r="P103">
        <v>4.5</v>
      </c>
      <c r="Q103">
        <v>86</v>
      </c>
      <c r="R103" t="str">
        <f>TEXT(Healthcare_Data[[#This Row],[Visit_Date]],"mmm")</f>
        <v>Feb</v>
      </c>
      <c r="S103">
        <f>MONTH(Healthcare_Data[[#This Row],[Visit_Date]])</f>
        <v>2</v>
      </c>
      <c r="T103" t="str">
        <f>IF(Healthcare_Data[[#This Row],[Final_Bill]]&gt;=50000,"High",IF(Healthcare_Data[[#This Row],[Final_Bill]]&gt;=20000,"Medium","low"))</f>
        <v>Medium</v>
      </c>
    </row>
    <row r="104" spans="1:20" x14ac:dyDescent="0.3">
      <c r="A104" t="s">
        <v>159</v>
      </c>
      <c r="B104" s="3">
        <v>45696</v>
      </c>
      <c r="C104" t="s">
        <v>54</v>
      </c>
      <c r="D104" t="s">
        <v>51</v>
      </c>
      <c r="E104" t="s">
        <v>54</v>
      </c>
      <c r="F104" t="s">
        <v>21</v>
      </c>
      <c r="G104">
        <v>75</v>
      </c>
      <c r="H104" t="s">
        <v>22</v>
      </c>
      <c r="I104" t="s">
        <v>30</v>
      </c>
      <c r="J104" t="s">
        <v>58</v>
      </c>
      <c r="K104">
        <v>0</v>
      </c>
      <c r="L104" s="4">
        <v>32226</v>
      </c>
      <c r="M104">
        <v>0</v>
      </c>
      <c r="N104">
        <v>32226</v>
      </c>
      <c r="O104" t="s">
        <v>25</v>
      </c>
      <c r="P104">
        <v>3.6</v>
      </c>
      <c r="Q104">
        <v>16</v>
      </c>
      <c r="R104" t="str">
        <f>TEXT(Healthcare_Data[[#This Row],[Visit_Date]],"mmm")</f>
        <v>Feb</v>
      </c>
      <c r="S104">
        <f>MONTH(Healthcare_Data[[#This Row],[Visit_Date]])</f>
        <v>2</v>
      </c>
      <c r="T104" t="str">
        <f>IF(Healthcare_Data[[#This Row],[Final_Bill]]&gt;=50000,"High",IF(Healthcare_Data[[#This Row],[Final_Bill]]&gt;=20000,"Medium","low"))</f>
        <v>Medium</v>
      </c>
    </row>
    <row r="105" spans="1:20" x14ac:dyDescent="0.3">
      <c r="A105" t="s">
        <v>160</v>
      </c>
      <c r="B105" s="3">
        <v>45696</v>
      </c>
      <c r="C105" t="s">
        <v>27</v>
      </c>
      <c r="D105" t="s">
        <v>34</v>
      </c>
      <c r="E105" t="s">
        <v>52</v>
      </c>
      <c r="F105" t="s">
        <v>21</v>
      </c>
      <c r="G105">
        <v>39</v>
      </c>
      <c r="H105" t="s">
        <v>65</v>
      </c>
      <c r="I105" t="s">
        <v>42</v>
      </c>
      <c r="J105" t="s">
        <v>24</v>
      </c>
      <c r="K105">
        <v>8</v>
      </c>
      <c r="L105" s="4">
        <v>73784</v>
      </c>
      <c r="M105">
        <v>1000</v>
      </c>
      <c r="N105">
        <v>72784</v>
      </c>
      <c r="O105" t="s">
        <v>25</v>
      </c>
      <c r="P105">
        <v>4.5999999999999996</v>
      </c>
      <c r="Q105">
        <v>119</v>
      </c>
      <c r="R105" t="str">
        <f>TEXT(Healthcare_Data[[#This Row],[Visit_Date]],"mmm")</f>
        <v>Feb</v>
      </c>
      <c r="S105">
        <f>MONTH(Healthcare_Data[[#This Row],[Visit_Date]])</f>
        <v>2</v>
      </c>
      <c r="T105" t="str">
        <f>IF(Healthcare_Data[[#This Row],[Final_Bill]]&gt;=50000,"High",IF(Healthcare_Data[[#This Row],[Final_Bill]]&gt;=20000,"Medium","low"))</f>
        <v>High</v>
      </c>
    </row>
    <row r="106" spans="1:20" x14ac:dyDescent="0.3">
      <c r="A106" t="s">
        <v>161</v>
      </c>
      <c r="B106" s="3">
        <v>45696</v>
      </c>
      <c r="C106" t="s">
        <v>27</v>
      </c>
      <c r="D106" t="s">
        <v>34</v>
      </c>
      <c r="E106" t="s">
        <v>52</v>
      </c>
      <c r="F106" t="s">
        <v>21</v>
      </c>
      <c r="G106">
        <v>25</v>
      </c>
      <c r="H106" t="s">
        <v>41</v>
      </c>
      <c r="I106" t="s">
        <v>23</v>
      </c>
      <c r="J106" t="s">
        <v>24</v>
      </c>
      <c r="K106">
        <v>3</v>
      </c>
      <c r="L106" s="4">
        <v>28418</v>
      </c>
      <c r="M106">
        <v>0</v>
      </c>
      <c r="N106">
        <v>28418</v>
      </c>
      <c r="O106" t="s">
        <v>25</v>
      </c>
      <c r="P106">
        <v>3.1</v>
      </c>
      <c r="Q106">
        <v>69</v>
      </c>
      <c r="R106" t="str">
        <f>TEXT(Healthcare_Data[[#This Row],[Visit_Date]],"mmm")</f>
        <v>Feb</v>
      </c>
      <c r="S106">
        <f>MONTH(Healthcare_Data[[#This Row],[Visit_Date]])</f>
        <v>2</v>
      </c>
      <c r="T106" t="str">
        <f>IF(Healthcare_Data[[#This Row],[Final_Bill]]&gt;=50000,"High",IF(Healthcare_Data[[#This Row],[Final_Bill]]&gt;=20000,"Medium","low"))</f>
        <v>Medium</v>
      </c>
    </row>
    <row r="107" spans="1:20" x14ac:dyDescent="0.3">
      <c r="A107" t="s">
        <v>162</v>
      </c>
      <c r="B107" s="3">
        <v>45696</v>
      </c>
      <c r="C107" t="s">
        <v>44</v>
      </c>
      <c r="D107" t="s">
        <v>28</v>
      </c>
      <c r="E107" t="s">
        <v>20</v>
      </c>
      <c r="F107" t="s">
        <v>40</v>
      </c>
      <c r="G107">
        <v>65</v>
      </c>
      <c r="H107" t="s">
        <v>115</v>
      </c>
      <c r="I107" t="s">
        <v>57</v>
      </c>
      <c r="J107" t="s">
        <v>36</v>
      </c>
      <c r="K107">
        <v>0</v>
      </c>
      <c r="L107" s="4">
        <v>17998</v>
      </c>
      <c r="M107">
        <v>1500</v>
      </c>
      <c r="N107">
        <v>16498</v>
      </c>
      <c r="O107" t="s">
        <v>25</v>
      </c>
      <c r="P107">
        <v>3.2</v>
      </c>
      <c r="Q107">
        <v>11</v>
      </c>
      <c r="R107" t="str">
        <f>TEXT(Healthcare_Data[[#This Row],[Visit_Date]],"mmm")</f>
        <v>Feb</v>
      </c>
      <c r="S107">
        <f>MONTH(Healthcare_Data[[#This Row],[Visit_Date]])</f>
        <v>2</v>
      </c>
      <c r="T107" t="str">
        <f>IF(Healthcare_Data[[#This Row],[Final_Bill]]&gt;=50000,"High",IF(Healthcare_Data[[#This Row],[Final_Bill]]&gt;=20000,"Medium","low"))</f>
        <v>low</v>
      </c>
    </row>
    <row r="108" spans="1:20" x14ac:dyDescent="0.3">
      <c r="A108" t="s">
        <v>163</v>
      </c>
      <c r="B108" s="3">
        <v>45697</v>
      </c>
      <c r="C108" t="s">
        <v>18</v>
      </c>
      <c r="D108" t="s">
        <v>39</v>
      </c>
      <c r="E108" t="s">
        <v>52</v>
      </c>
      <c r="F108" t="s">
        <v>21</v>
      </c>
      <c r="G108">
        <v>73</v>
      </c>
      <c r="H108" t="s">
        <v>22</v>
      </c>
      <c r="I108" t="s">
        <v>61</v>
      </c>
      <c r="J108" t="s">
        <v>24</v>
      </c>
      <c r="K108">
        <v>13</v>
      </c>
      <c r="L108" s="4">
        <v>48002</v>
      </c>
      <c r="M108">
        <v>500</v>
      </c>
      <c r="N108">
        <v>47502</v>
      </c>
      <c r="O108" t="s">
        <v>25</v>
      </c>
      <c r="P108">
        <v>4</v>
      </c>
      <c r="Q108">
        <v>98</v>
      </c>
      <c r="R108" t="str">
        <f>TEXT(Healthcare_Data[[#This Row],[Visit_Date]],"mmm")</f>
        <v>Feb</v>
      </c>
      <c r="S108">
        <f>MONTH(Healthcare_Data[[#This Row],[Visit_Date]])</f>
        <v>2</v>
      </c>
      <c r="T108" t="str">
        <f>IF(Healthcare_Data[[#This Row],[Final_Bill]]&gt;=50000,"High",IF(Healthcare_Data[[#This Row],[Final_Bill]]&gt;=20000,"Medium","low"))</f>
        <v>Medium</v>
      </c>
    </row>
    <row r="109" spans="1:20" x14ac:dyDescent="0.3">
      <c r="A109" t="s">
        <v>164</v>
      </c>
      <c r="B109" s="3">
        <v>45698</v>
      </c>
      <c r="C109" t="s">
        <v>54</v>
      </c>
      <c r="D109" t="s">
        <v>51</v>
      </c>
      <c r="E109" t="s">
        <v>20</v>
      </c>
      <c r="F109" t="s">
        <v>40</v>
      </c>
      <c r="G109">
        <v>54</v>
      </c>
      <c r="H109" t="s">
        <v>115</v>
      </c>
      <c r="I109" t="s">
        <v>72</v>
      </c>
      <c r="J109" t="s">
        <v>31</v>
      </c>
      <c r="K109">
        <v>0</v>
      </c>
      <c r="L109" s="4">
        <v>4050</v>
      </c>
      <c r="M109">
        <v>500</v>
      </c>
      <c r="N109">
        <v>3550</v>
      </c>
      <c r="O109" t="s">
        <v>25</v>
      </c>
      <c r="P109">
        <v>3.7</v>
      </c>
      <c r="Q109">
        <v>81</v>
      </c>
      <c r="R109" t="str">
        <f>TEXT(Healthcare_Data[[#This Row],[Visit_Date]],"mmm")</f>
        <v>Feb</v>
      </c>
      <c r="S109">
        <f>MONTH(Healthcare_Data[[#This Row],[Visit_Date]])</f>
        <v>2</v>
      </c>
      <c r="T109" t="str">
        <f>IF(Healthcare_Data[[#This Row],[Final_Bill]]&gt;=50000,"High",IF(Healthcare_Data[[#This Row],[Final_Bill]]&gt;=20000,"Medium","low"))</f>
        <v>low</v>
      </c>
    </row>
    <row r="110" spans="1:20" x14ac:dyDescent="0.3">
      <c r="A110" t="s">
        <v>165</v>
      </c>
      <c r="B110" s="3">
        <v>45698</v>
      </c>
      <c r="C110" t="s">
        <v>18</v>
      </c>
      <c r="D110" t="s">
        <v>39</v>
      </c>
      <c r="E110" t="s">
        <v>20</v>
      </c>
      <c r="F110" t="s">
        <v>21</v>
      </c>
      <c r="G110">
        <v>63</v>
      </c>
      <c r="H110" t="s">
        <v>65</v>
      </c>
      <c r="I110" t="s">
        <v>72</v>
      </c>
      <c r="J110" t="s">
        <v>58</v>
      </c>
      <c r="K110">
        <v>0</v>
      </c>
      <c r="L110" s="4">
        <v>15333</v>
      </c>
      <c r="M110">
        <v>0</v>
      </c>
      <c r="N110">
        <v>15333</v>
      </c>
      <c r="O110" t="s">
        <v>25</v>
      </c>
      <c r="P110">
        <v>3.3</v>
      </c>
      <c r="Q110">
        <v>68</v>
      </c>
      <c r="R110" t="str">
        <f>TEXT(Healthcare_Data[[#This Row],[Visit_Date]],"mmm")</f>
        <v>Feb</v>
      </c>
      <c r="S110">
        <f>MONTH(Healthcare_Data[[#This Row],[Visit_Date]])</f>
        <v>2</v>
      </c>
      <c r="T110" t="str">
        <f>IF(Healthcare_Data[[#This Row],[Final_Bill]]&gt;=50000,"High",IF(Healthcare_Data[[#This Row],[Final_Bill]]&gt;=20000,"Medium","low"))</f>
        <v>low</v>
      </c>
    </row>
    <row r="111" spans="1:20" x14ac:dyDescent="0.3">
      <c r="A111" t="s">
        <v>166</v>
      </c>
      <c r="B111" s="3">
        <v>45698</v>
      </c>
      <c r="C111" t="s">
        <v>50</v>
      </c>
      <c r="D111" t="s">
        <v>34</v>
      </c>
      <c r="E111" t="s">
        <v>52</v>
      </c>
      <c r="F111" t="s">
        <v>40</v>
      </c>
      <c r="G111">
        <v>61</v>
      </c>
      <c r="H111" t="s">
        <v>115</v>
      </c>
      <c r="I111" t="s">
        <v>30</v>
      </c>
      <c r="J111" t="s">
        <v>36</v>
      </c>
      <c r="K111">
        <v>1</v>
      </c>
      <c r="L111" s="4">
        <v>33093</v>
      </c>
      <c r="M111">
        <v>0</v>
      </c>
      <c r="N111">
        <v>33093</v>
      </c>
      <c r="O111" t="s">
        <v>25</v>
      </c>
      <c r="P111">
        <v>4.5</v>
      </c>
      <c r="Q111">
        <v>54</v>
      </c>
      <c r="R111" t="str">
        <f>TEXT(Healthcare_Data[[#This Row],[Visit_Date]],"mmm")</f>
        <v>Feb</v>
      </c>
      <c r="S111">
        <f>MONTH(Healthcare_Data[[#This Row],[Visit_Date]])</f>
        <v>2</v>
      </c>
      <c r="T111" t="str">
        <f>IF(Healthcare_Data[[#This Row],[Final_Bill]]&gt;=50000,"High",IF(Healthcare_Data[[#This Row],[Final_Bill]]&gt;=20000,"Medium","low"))</f>
        <v>Medium</v>
      </c>
    </row>
    <row r="112" spans="1:20" x14ac:dyDescent="0.3">
      <c r="A112" t="s">
        <v>167</v>
      </c>
      <c r="B112" s="3">
        <v>45699</v>
      </c>
      <c r="C112" t="s">
        <v>54</v>
      </c>
      <c r="D112" t="s">
        <v>28</v>
      </c>
      <c r="E112" t="s">
        <v>52</v>
      </c>
      <c r="F112" t="s">
        <v>40</v>
      </c>
      <c r="G112">
        <v>39</v>
      </c>
      <c r="H112" t="s">
        <v>56</v>
      </c>
      <c r="I112" t="s">
        <v>72</v>
      </c>
      <c r="J112" t="s">
        <v>36</v>
      </c>
      <c r="K112">
        <v>1</v>
      </c>
      <c r="L112" s="4">
        <v>34396</v>
      </c>
      <c r="M112">
        <v>500</v>
      </c>
      <c r="N112">
        <v>33896</v>
      </c>
      <c r="O112" t="s">
        <v>25</v>
      </c>
      <c r="P112">
        <v>2.9</v>
      </c>
      <c r="Q112">
        <v>56</v>
      </c>
      <c r="R112" t="str">
        <f>TEXT(Healthcare_Data[[#This Row],[Visit_Date]],"mmm")</f>
        <v>Feb</v>
      </c>
      <c r="S112">
        <f>MONTH(Healthcare_Data[[#This Row],[Visit_Date]])</f>
        <v>2</v>
      </c>
      <c r="T112" t="str">
        <f>IF(Healthcare_Data[[#This Row],[Final_Bill]]&gt;=50000,"High",IF(Healthcare_Data[[#This Row],[Final_Bill]]&gt;=20000,"Medium","low"))</f>
        <v>Medium</v>
      </c>
    </row>
    <row r="113" spans="1:20" x14ac:dyDescent="0.3">
      <c r="A113" t="s">
        <v>168</v>
      </c>
      <c r="B113" s="3">
        <v>45699</v>
      </c>
      <c r="C113" t="s">
        <v>50</v>
      </c>
      <c r="D113" t="s">
        <v>19</v>
      </c>
      <c r="E113" t="s">
        <v>52</v>
      </c>
      <c r="F113" t="s">
        <v>40</v>
      </c>
      <c r="G113">
        <v>57</v>
      </c>
      <c r="H113" t="s">
        <v>56</v>
      </c>
      <c r="I113" t="s">
        <v>61</v>
      </c>
      <c r="J113" t="s">
        <v>36</v>
      </c>
      <c r="K113">
        <v>14</v>
      </c>
      <c r="L113" s="4">
        <v>48979</v>
      </c>
      <c r="M113">
        <v>1000</v>
      </c>
      <c r="N113">
        <v>47979</v>
      </c>
      <c r="O113" t="s">
        <v>25</v>
      </c>
      <c r="P113">
        <v>3.1</v>
      </c>
      <c r="Q113">
        <v>31</v>
      </c>
      <c r="R113" t="str">
        <f>TEXT(Healthcare_Data[[#This Row],[Visit_Date]],"mmm")</f>
        <v>Feb</v>
      </c>
      <c r="S113">
        <f>MONTH(Healthcare_Data[[#This Row],[Visit_Date]])</f>
        <v>2</v>
      </c>
      <c r="T113" t="str">
        <f>IF(Healthcare_Data[[#This Row],[Final_Bill]]&gt;=50000,"High",IF(Healthcare_Data[[#This Row],[Final_Bill]]&gt;=20000,"Medium","low"))</f>
        <v>Medium</v>
      </c>
    </row>
    <row r="114" spans="1:20" x14ac:dyDescent="0.3">
      <c r="A114" t="s">
        <v>169</v>
      </c>
      <c r="B114" s="3">
        <v>45699</v>
      </c>
      <c r="C114" t="s">
        <v>44</v>
      </c>
      <c r="D114" t="s">
        <v>28</v>
      </c>
      <c r="E114" t="s">
        <v>54</v>
      </c>
      <c r="F114" t="s">
        <v>40</v>
      </c>
      <c r="G114">
        <v>30</v>
      </c>
      <c r="H114" t="s">
        <v>29</v>
      </c>
      <c r="I114" t="s">
        <v>69</v>
      </c>
      <c r="J114" t="s">
        <v>1057</v>
      </c>
      <c r="K114">
        <v>0</v>
      </c>
      <c r="L114" s="4">
        <v>17385</v>
      </c>
      <c r="M114">
        <v>1500</v>
      </c>
      <c r="N114">
        <v>15885</v>
      </c>
      <c r="O114" t="s">
        <v>25</v>
      </c>
      <c r="P114">
        <v>4.2</v>
      </c>
      <c r="Q114">
        <v>118</v>
      </c>
      <c r="R114" t="str">
        <f>TEXT(Healthcare_Data[[#This Row],[Visit_Date]],"mmm")</f>
        <v>Feb</v>
      </c>
      <c r="S114">
        <f>MONTH(Healthcare_Data[[#This Row],[Visit_Date]])</f>
        <v>2</v>
      </c>
      <c r="T114" t="str">
        <f>IF(Healthcare_Data[[#This Row],[Final_Bill]]&gt;=50000,"High",IF(Healthcare_Data[[#This Row],[Final_Bill]]&gt;=20000,"Medium","low"))</f>
        <v>low</v>
      </c>
    </row>
    <row r="115" spans="1:20" x14ac:dyDescent="0.3">
      <c r="A115" t="s">
        <v>170</v>
      </c>
      <c r="B115" s="3">
        <v>45700</v>
      </c>
      <c r="C115" t="s">
        <v>18</v>
      </c>
      <c r="D115" t="s">
        <v>19</v>
      </c>
      <c r="E115" t="s">
        <v>54</v>
      </c>
      <c r="F115" t="s">
        <v>21</v>
      </c>
      <c r="G115">
        <v>59</v>
      </c>
      <c r="H115" t="s">
        <v>115</v>
      </c>
      <c r="I115" t="s">
        <v>30</v>
      </c>
      <c r="J115" t="s">
        <v>36</v>
      </c>
      <c r="K115">
        <v>0</v>
      </c>
      <c r="L115" s="4">
        <v>28372</v>
      </c>
      <c r="M115">
        <v>1000</v>
      </c>
      <c r="N115">
        <v>27372</v>
      </c>
      <c r="O115" t="s">
        <v>25</v>
      </c>
      <c r="P115">
        <v>4.4000000000000004</v>
      </c>
      <c r="Q115">
        <v>19</v>
      </c>
      <c r="R115" t="str">
        <f>TEXT(Healthcare_Data[[#This Row],[Visit_Date]],"mmm")</f>
        <v>Feb</v>
      </c>
      <c r="S115">
        <f>MONTH(Healthcare_Data[[#This Row],[Visit_Date]])</f>
        <v>2</v>
      </c>
      <c r="T115" t="str">
        <f>IF(Healthcare_Data[[#This Row],[Final_Bill]]&gt;=50000,"High",IF(Healthcare_Data[[#This Row],[Final_Bill]]&gt;=20000,"Medium","low"))</f>
        <v>Medium</v>
      </c>
    </row>
    <row r="116" spans="1:20" x14ac:dyDescent="0.3">
      <c r="A116" t="s">
        <v>171</v>
      </c>
      <c r="B116" s="3">
        <v>45700</v>
      </c>
      <c r="C116" t="s">
        <v>48</v>
      </c>
      <c r="D116" t="s">
        <v>34</v>
      </c>
      <c r="E116" t="s">
        <v>20</v>
      </c>
      <c r="F116" t="s">
        <v>21</v>
      </c>
      <c r="G116">
        <v>47</v>
      </c>
      <c r="H116" t="s">
        <v>115</v>
      </c>
      <c r="I116" t="s">
        <v>30</v>
      </c>
      <c r="J116" t="s">
        <v>58</v>
      </c>
      <c r="K116">
        <v>0</v>
      </c>
      <c r="L116" s="4">
        <v>5121</v>
      </c>
      <c r="M116">
        <v>0</v>
      </c>
      <c r="N116">
        <v>5121</v>
      </c>
      <c r="O116" t="s">
        <v>25</v>
      </c>
      <c r="P116">
        <v>4</v>
      </c>
      <c r="Q116">
        <v>26</v>
      </c>
      <c r="R116" t="str">
        <f>TEXT(Healthcare_Data[[#This Row],[Visit_Date]],"mmm")</f>
        <v>Feb</v>
      </c>
      <c r="S116">
        <f>MONTH(Healthcare_Data[[#This Row],[Visit_Date]])</f>
        <v>2</v>
      </c>
      <c r="T116" t="str">
        <f>IF(Healthcare_Data[[#This Row],[Final_Bill]]&gt;=50000,"High",IF(Healthcare_Data[[#This Row],[Final_Bill]]&gt;=20000,"Medium","low"))</f>
        <v>low</v>
      </c>
    </row>
    <row r="117" spans="1:20" x14ac:dyDescent="0.3">
      <c r="A117" t="s">
        <v>172</v>
      </c>
      <c r="B117" s="3">
        <v>45701</v>
      </c>
      <c r="C117" t="s">
        <v>67</v>
      </c>
      <c r="D117" t="s">
        <v>28</v>
      </c>
      <c r="E117" t="s">
        <v>52</v>
      </c>
      <c r="F117" t="s">
        <v>21</v>
      </c>
      <c r="G117">
        <v>29</v>
      </c>
      <c r="H117" t="s">
        <v>41</v>
      </c>
      <c r="I117" t="s">
        <v>23</v>
      </c>
      <c r="J117" t="s">
        <v>36</v>
      </c>
      <c r="K117">
        <v>7</v>
      </c>
      <c r="L117" s="4">
        <v>71361</v>
      </c>
      <c r="M117">
        <v>0</v>
      </c>
      <c r="N117">
        <v>71361</v>
      </c>
      <c r="O117" t="s">
        <v>25</v>
      </c>
      <c r="P117">
        <v>4</v>
      </c>
      <c r="Q117">
        <v>8</v>
      </c>
      <c r="R117" t="str">
        <f>TEXT(Healthcare_Data[[#This Row],[Visit_Date]],"mmm")</f>
        <v>Feb</v>
      </c>
      <c r="S117">
        <f>MONTH(Healthcare_Data[[#This Row],[Visit_Date]])</f>
        <v>2</v>
      </c>
      <c r="T117" t="str">
        <f>IF(Healthcare_Data[[#This Row],[Final_Bill]]&gt;=50000,"High",IF(Healthcare_Data[[#This Row],[Final_Bill]]&gt;=20000,"Medium","low"))</f>
        <v>High</v>
      </c>
    </row>
    <row r="118" spans="1:20" x14ac:dyDescent="0.3">
      <c r="A118" t="s">
        <v>173</v>
      </c>
      <c r="B118" s="3">
        <v>45701</v>
      </c>
      <c r="C118" t="s">
        <v>48</v>
      </c>
      <c r="D118" t="s">
        <v>34</v>
      </c>
      <c r="E118" t="s">
        <v>20</v>
      </c>
      <c r="F118" t="s">
        <v>40</v>
      </c>
      <c r="G118">
        <v>23</v>
      </c>
      <c r="H118" t="s">
        <v>41</v>
      </c>
      <c r="I118" t="s">
        <v>57</v>
      </c>
      <c r="J118" t="s">
        <v>58</v>
      </c>
      <c r="K118">
        <v>0</v>
      </c>
      <c r="L118" s="4">
        <v>17616</v>
      </c>
      <c r="M118">
        <v>1000</v>
      </c>
      <c r="N118">
        <v>16616</v>
      </c>
      <c r="O118" t="s">
        <v>25</v>
      </c>
      <c r="P118">
        <v>4.3</v>
      </c>
      <c r="Q118">
        <v>26</v>
      </c>
      <c r="R118" t="str">
        <f>TEXT(Healthcare_Data[[#This Row],[Visit_Date]],"mmm")</f>
        <v>Feb</v>
      </c>
      <c r="S118">
        <f>MONTH(Healthcare_Data[[#This Row],[Visit_Date]])</f>
        <v>2</v>
      </c>
      <c r="T118" t="str">
        <f>IF(Healthcare_Data[[#This Row],[Final_Bill]]&gt;=50000,"High",IF(Healthcare_Data[[#This Row],[Final_Bill]]&gt;=20000,"Medium","low"))</f>
        <v>low</v>
      </c>
    </row>
    <row r="119" spans="1:20" x14ac:dyDescent="0.3">
      <c r="A119" t="s">
        <v>174</v>
      </c>
      <c r="B119" s="3">
        <v>45701</v>
      </c>
      <c r="C119" t="s">
        <v>38</v>
      </c>
      <c r="D119" t="s">
        <v>39</v>
      </c>
      <c r="E119" t="s">
        <v>20</v>
      </c>
      <c r="F119" t="s">
        <v>40</v>
      </c>
      <c r="G119">
        <v>20</v>
      </c>
      <c r="H119" t="s">
        <v>65</v>
      </c>
      <c r="I119" t="s">
        <v>23</v>
      </c>
      <c r="J119" t="s">
        <v>24</v>
      </c>
      <c r="K119">
        <v>0</v>
      </c>
      <c r="L119" s="4">
        <v>18638</v>
      </c>
      <c r="M119">
        <v>500</v>
      </c>
      <c r="N119">
        <v>18138</v>
      </c>
      <c r="O119" t="s">
        <v>25</v>
      </c>
      <c r="P119">
        <v>4.3</v>
      </c>
      <c r="Q119">
        <v>54</v>
      </c>
      <c r="R119" t="str">
        <f>TEXT(Healthcare_Data[[#This Row],[Visit_Date]],"mmm")</f>
        <v>Feb</v>
      </c>
      <c r="S119">
        <f>MONTH(Healthcare_Data[[#This Row],[Visit_Date]])</f>
        <v>2</v>
      </c>
      <c r="T119" t="str">
        <f>IF(Healthcare_Data[[#This Row],[Final_Bill]]&gt;=50000,"High",IF(Healthcare_Data[[#This Row],[Final_Bill]]&gt;=20000,"Medium","low"))</f>
        <v>low</v>
      </c>
    </row>
    <row r="120" spans="1:20" x14ac:dyDescent="0.3">
      <c r="A120" t="s">
        <v>175</v>
      </c>
      <c r="B120" s="3">
        <v>45701</v>
      </c>
      <c r="C120" t="s">
        <v>67</v>
      </c>
      <c r="D120" t="s">
        <v>19</v>
      </c>
      <c r="E120" t="s">
        <v>54</v>
      </c>
      <c r="F120" t="s">
        <v>21</v>
      </c>
      <c r="G120">
        <v>61</v>
      </c>
      <c r="H120" t="s">
        <v>56</v>
      </c>
      <c r="I120" t="s">
        <v>63</v>
      </c>
      <c r="J120" t="s">
        <v>31</v>
      </c>
      <c r="K120">
        <v>0</v>
      </c>
      <c r="L120" s="4">
        <v>12409</v>
      </c>
      <c r="M120">
        <v>0</v>
      </c>
      <c r="N120">
        <v>12409</v>
      </c>
      <c r="O120" t="s">
        <v>59</v>
      </c>
      <c r="P120">
        <v>3.7</v>
      </c>
      <c r="Q120">
        <v>53</v>
      </c>
      <c r="R120" t="str">
        <f>TEXT(Healthcare_Data[[#This Row],[Visit_Date]],"mmm")</f>
        <v>Feb</v>
      </c>
      <c r="S120">
        <f>MONTH(Healthcare_Data[[#This Row],[Visit_Date]])</f>
        <v>2</v>
      </c>
      <c r="T120" t="str">
        <f>IF(Healthcare_Data[[#This Row],[Final_Bill]]&gt;=50000,"High",IF(Healthcare_Data[[#This Row],[Final_Bill]]&gt;=20000,"Medium","low"))</f>
        <v>low</v>
      </c>
    </row>
    <row r="121" spans="1:20" x14ac:dyDescent="0.3">
      <c r="A121" t="s">
        <v>176</v>
      </c>
      <c r="B121" s="3">
        <v>45702</v>
      </c>
      <c r="C121" t="s">
        <v>50</v>
      </c>
      <c r="D121" t="s">
        <v>51</v>
      </c>
      <c r="E121" t="s">
        <v>20</v>
      </c>
      <c r="F121" t="s">
        <v>21</v>
      </c>
      <c r="G121">
        <v>38</v>
      </c>
      <c r="H121" t="s">
        <v>35</v>
      </c>
      <c r="I121" t="s">
        <v>23</v>
      </c>
      <c r="J121" t="s">
        <v>24</v>
      </c>
      <c r="K121">
        <v>0</v>
      </c>
      <c r="L121" s="4">
        <v>15877</v>
      </c>
      <c r="M121">
        <v>1000</v>
      </c>
      <c r="N121">
        <v>14877</v>
      </c>
      <c r="O121" t="s">
        <v>32</v>
      </c>
      <c r="P121">
        <v>4</v>
      </c>
      <c r="Q121">
        <v>65</v>
      </c>
      <c r="R121" t="str">
        <f>TEXT(Healthcare_Data[[#This Row],[Visit_Date]],"mmm")</f>
        <v>Feb</v>
      </c>
      <c r="S121">
        <f>MONTH(Healthcare_Data[[#This Row],[Visit_Date]])</f>
        <v>2</v>
      </c>
      <c r="T121" t="str">
        <f>IF(Healthcare_Data[[#This Row],[Final_Bill]]&gt;=50000,"High",IF(Healthcare_Data[[#This Row],[Final_Bill]]&gt;=20000,"Medium","low"))</f>
        <v>low</v>
      </c>
    </row>
    <row r="122" spans="1:20" x14ac:dyDescent="0.3">
      <c r="A122" t="s">
        <v>177</v>
      </c>
      <c r="B122" s="3">
        <v>45703</v>
      </c>
      <c r="C122" t="s">
        <v>50</v>
      </c>
      <c r="D122" t="s">
        <v>51</v>
      </c>
      <c r="E122" t="s">
        <v>20</v>
      </c>
      <c r="F122" t="s">
        <v>40</v>
      </c>
      <c r="G122">
        <v>52</v>
      </c>
      <c r="H122" t="s">
        <v>46</v>
      </c>
      <c r="I122" t="s">
        <v>57</v>
      </c>
      <c r="J122" t="s">
        <v>24</v>
      </c>
      <c r="K122">
        <v>0</v>
      </c>
      <c r="L122" s="4">
        <v>9374</v>
      </c>
      <c r="M122">
        <v>0</v>
      </c>
      <c r="N122">
        <v>9374</v>
      </c>
      <c r="O122" t="s">
        <v>32</v>
      </c>
      <c r="P122">
        <v>3.6</v>
      </c>
      <c r="Q122">
        <v>83</v>
      </c>
      <c r="R122" t="str">
        <f>TEXT(Healthcare_Data[[#This Row],[Visit_Date]],"mmm")</f>
        <v>Feb</v>
      </c>
      <c r="S122">
        <f>MONTH(Healthcare_Data[[#This Row],[Visit_Date]])</f>
        <v>2</v>
      </c>
      <c r="T122" t="str">
        <f>IF(Healthcare_Data[[#This Row],[Final_Bill]]&gt;=50000,"High",IF(Healthcare_Data[[#This Row],[Final_Bill]]&gt;=20000,"Medium","low"))</f>
        <v>low</v>
      </c>
    </row>
    <row r="123" spans="1:20" x14ac:dyDescent="0.3">
      <c r="A123" t="s">
        <v>178</v>
      </c>
      <c r="B123" s="3">
        <v>45703</v>
      </c>
      <c r="C123" t="s">
        <v>48</v>
      </c>
      <c r="D123" t="s">
        <v>39</v>
      </c>
      <c r="E123" t="s">
        <v>54</v>
      </c>
      <c r="F123" t="s">
        <v>40</v>
      </c>
      <c r="G123">
        <v>50</v>
      </c>
      <c r="H123" t="s">
        <v>29</v>
      </c>
      <c r="I123" t="s">
        <v>57</v>
      </c>
      <c r="J123" t="s">
        <v>31</v>
      </c>
      <c r="K123">
        <v>0</v>
      </c>
      <c r="L123" s="4">
        <v>21866</v>
      </c>
      <c r="M123">
        <v>500</v>
      </c>
      <c r="N123">
        <v>21366</v>
      </c>
      <c r="O123" t="s">
        <v>25</v>
      </c>
      <c r="P123">
        <v>4.4000000000000004</v>
      </c>
      <c r="Q123">
        <v>95</v>
      </c>
      <c r="R123" t="str">
        <f>TEXT(Healthcare_Data[[#This Row],[Visit_Date]],"mmm")</f>
        <v>Feb</v>
      </c>
      <c r="S123">
        <f>MONTH(Healthcare_Data[[#This Row],[Visit_Date]])</f>
        <v>2</v>
      </c>
      <c r="T123" t="str">
        <f>IF(Healthcare_Data[[#This Row],[Final_Bill]]&gt;=50000,"High",IF(Healthcare_Data[[#This Row],[Final_Bill]]&gt;=20000,"Medium","low"))</f>
        <v>Medium</v>
      </c>
    </row>
    <row r="124" spans="1:20" x14ac:dyDescent="0.3">
      <c r="A124" t="s">
        <v>179</v>
      </c>
      <c r="B124" s="3">
        <v>45703</v>
      </c>
      <c r="C124" t="s">
        <v>38</v>
      </c>
      <c r="D124" t="s">
        <v>39</v>
      </c>
      <c r="E124" t="s">
        <v>52</v>
      </c>
      <c r="F124" t="s">
        <v>21</v>
      </c>
      <c r="G124">
        <v>50</v>
      </c>
      <c r="H124" t="s">
        <v>56</v>
      </c>
      <c r="I124" t="s">
        <v>23</v>
      </c>
      <c r="J124" t="s">
        <v>24</v>
      </c>
      <c r="K124">
        <v>2</v>
      </c>
      <c r="L124" s="4">
        <v>76394</v>
      </c>
      <c r="M124">
        <v>500</v>
      </c>
      <c r="N124">
        <v>75894</v>
      </c>
      <c r="O124" t="s">
        <v>25</v>
      </c>
      <c r="P124">
        <v>3.1</v>
      </c>
      <c r="Q124">
        <v>13</v>
      </c>
      <c r="R124" t="str">
        <f>TEXT(Healthcare_Data[[#This Row],[Visit_Date]],"mmm")</f>
        <v>Feb</v>
      </c>
      <c r="S124">
        <f>MONTH(Healthcare_Data[[#This Row],[Visit_Date]])</f>
        <v>2</v>
      </c>
      <c r="T124" t="str">
        <f>IF(Healthcare_Data[[#This Row],[Final_Bill]]&gt;=50000,"High",IF(Healthcare_Data[[#This Row],[Final_Bill]]&gt;=20000,"Medium","low"))</f>
        <v>High</v>
      </c>
    </row>
    <row r="125" spans="1:20" x14ac:dyDescent="0.3">
      <c r="A125" t="s">
        <v>180</v>
      </c>
      <c r="B125" s="3">
        <v>45704</v>
      </c>
      <c r="C125" t="s">
        <v>18</v>
      </c>
      <c r="D125" t="s">
        <v>28</v>
      </c>
      <c r="E125" t="s">
        <v>20</v>
      </c>
      <c r="F125" t="s">
        <v>21</v>
      </c>
      <c r="G125">
        <v>36</v>
      </c>
      <c r="H125" t="s">
        <v>46</v>
      </c>
      <c r="I125" t="s">
        <v>72</v>
      </c>
      <c r="J125" t="s">
        <v>24</v>
      </c>
      <c r="K125">
        <v>0</v>
      </c>
      <c r="L125" s="4">
        <v>2008</v>
      </c>
      <c r="M125">
        <v>0</v>
      </c>
      <c r="N125">
        <v>2008</v>
      </c>
      <c r="O125" t="s">
        <v>32</v>
      </c>
      <c r="P125">
        <v>2.6</v>
      </c>
      <c r="Q125">
        <v>31</v>
      </c>
      <c r="R125" t="str">
        <f>TEXT(Healthcare_Data[[#This Row],[Visit_Date]],"mmm")</f>
        <v>Feb</v>
      </c>
      <c r="S125">
        <f>MONTH(Healthcare_Data[[#This Row],[Visit_Date]])</f>
        <v>2</v>
      </c>
      <c r="T125" t="str">
        <f>IF(Healthcare_Data[[#This Row],[Final_Bill]]&gt;=50000,"High",IF(Healthcare_Data[[#This Row],[Final_Bill]]&gt;=20000,"Medium","low"))</f>
        <v>low</v>
      </c>
    </row>
    <row r="126" spans="1:20" x14ac:dyDescent="0.3">
      <c r="A126" t="s">
        <v>181</v>
      </c>
      <c r="B126" s="3">
        <v>45704</v>
      </c>
      <c r="C126" t="s">
        <v>27</v>
      </c>
      <c r="D126" t="s">
        <v>28</v>
      </c>
      <c r="E126" t="s">
        <v>52</v>
      </c>
      <c r="F126" t="s">
        <v>21</v>
      </c>
      <c r="G126">
        <v>51</v>
      </c>
      <c r="H126" t="s">
        <v>35</v>
      </c>
      <c r="I126" t="s">
        <v>63</v>
      </c>
      <c r="J126" t="s">
        <v>36</v>
      </c>
      <c r="K126">
        <v>2</v>
      </c>
      <c r="L126" s="4">
        <v>34743</v>
      </c>
      <c r="M126">
        <v>0</v>
      </c>
      <c r="N126">
        <v>34743</v>
      </c>
      <c r="O126" t="s">
        <v>25</v>
      </c>
      <c r="P126">
        <v>4.0999999999999996</v>
      </c>
      <c r="Q126">
        <v>13</v>
      </c>
      <c r="R126" t="str">
        <f>TEXT(Healthcare_Data[[#This Row],[Visit_Date]],"mmm")</f>
        <v>Feb</v>
      </c>
      <c r="S126">
        <f>MONTH(Healthcare_Data[[#This Row],[Visit_Date]])</f>
        <v>2</v>
      </c>
      <c r="T126" t="str">
        <f>IF(Healthcare_Data[[#This Row],[Final_Bill]]&gt;=50000,"High",IF(Healthcare_Data[[#This Row],[Final_Bill]]&gt;=20000,"Medium","low"))</f>
        <v>Medium</v>
      </c>
    </row>
    <row r="127" spans="1:20" x14ac:dyDescent="0.3">
      <c r="A127" t="s">
        <v>182</v>
      </c>
      <c r="B127" s="3">
        <v>45704</v>
      </c>
      <c r="C127" t="s">
        <v>27</v>
      </c>
      <c r="D127" t="s">
        <v>28</v>
      </c>
      <c r="E127" t="s">
        <v>20</v>
      </c>
      <c r="F127" t="s">
        <v>40</v>
      </c>
      <c r="G127">
        <v>53</v>
      </c>
      <c r="H127" t="s">
        <v>29</v>
      </c>
      <c r="I127" t="s">
        <v>72</v>
      </c>
      <c r="J127" t="s">
        <v>58</v>
      </c>
      <c r="K127">
        <v>0</v>
      </c>
      <c r="L127" s="4">
        <v>13429</v>
      </c>
      <c r="M127">
        <v>1500</v>
      </c>
      <c r="N127">
        <v>11929</v>
      </c>
      <c r="O127" t="s">
        <v>25</v>
      </c>
      <c r="P127">
        <v>4.8</v>
      </c>
      <c r="Q127">
        <v>103</v>
      </c>
      <c r="R127" t="str">
        <f>TEXT(Healthcare_Data[[#This Row],[Visit_Date]],"mmm")</f>
        <v>Feb</v>
      </c>
      <c r="S127">
        <f>MONTH(Healthcare_Data[[#This Row],[Visit_Date]])</f>
        <v>2</v>
      </c>
      <c r="T127" t="str">
        <f>IF(Healthcare_Data[[#This Row],[Final_Bill]]&gt;=50000,"High",IF(Healthcare_Data[[#This Row],[Final_Bill]]&gt;=20000,"Medium","low"))</f>
        <v>low</v>
      </c>
    </row>
    <row r="128" spans="1:20" x14ac:dyDescent="0.3">
      <c r="A128" t="s">
        <v>183</v>
      </c>
      <c r="B128" s="3">
        <v>45704</v>
      </c>
      <c r="C128" t="s">
        <v>48</v>
      </c>
      <c r="D128" t="s">
        <v>19</v>
      </c>
      <c r="E128" t="s">
        <v>52</v>
      </c>
      <c r="F128" t="s">
        <v>21</v>
      </c>
      <c r="G128">
        <v>63</v>
      </c>
      <c r="H128" t="s">
        <v>35</v>
      </c>
      <c r="I128" t="s">
        <v>42</v>
      </c>
      <c r="J128" t="s">
        <v>36</v>
      </c>
      <c r="K128">
        <v>5</v>
      </c>
      <c r="L128" s="4">
        <v>72207</v>
      </c>
      <c r="M128">
        <v>2000</v>
      </c>
      <c r="N128">
        <v>70207</v>
      </c>
      <c r="O128" t="s">
        <v>32</v>
      </c>
      <c r="P128">
        <v>3</v>
      </c>
      <c r="Q128">
        <v>74</v>
      </c>
      <c r="R128" t="str">
        <f>TEXT(Healthcare_Data[[#This Row],[Visit_Date]],"mmm")</f>
        <v>Feb</v>
      </c>
      <c r="S128">
        <f>MONTH(Healthcare_Data[[#This Row],[Visit_Date]])</f>
        <v>2</v>
      </c>
      <c r="T128" t="str">
        <f>IF(Healthcare_Data[[#This Row],[Final_Bill]]&gt;=50000,"High",IF(Healthcare_Data[[#This Row],[Final_Bill]]&gt;=20000,"Medium","low"))</f>
        <v>High</v>
      </c>
    </row>
    <row r="129" spans="1:20" x14ac:dyDescent="0.3">
      <c r="A129" t="s">
        <v>184</v>
      </c>
      <c r="B129" s="3">
        <v>45704</v>
      </c>
      <c r="C129" t="s">
        <v>18</v>
      </c>
      <c r="D129" t="s">
        <v>19</v>
      </c>
      <c r="E129" t="s">
        <v>20</v>
      </c>
      <c r="F129" t="s">
        <v>21</v>
      </c>
      <c r="G129">
        <v>52</v>
      </c>
      <c r="H129" t="s">
        <v>29</v>
      </c>
      <c r="I129" t="s">
        <v>72</v>
      </c>
      <c r="J129" t="s">
        <v>36</v>
      </c>
      <c r="K129">
        <v>0</v>
      </c>
      <c r="L129" s="4">
        <v>14954</v>
      </c>
      <c r="M129">
        <v>0</v>
      </c>
      <c r="N129">
        <v>14954</v>
      </c>
      <c r="O129" t="s">
        <v>25</v>
      </c>
      <c r="P129">
        <v>2.8</v>
      </c>
      <c r="Q129">
        <v>113</v>
      </c>
      <c r="R129" t="str">
        <f>TEXT(Healthcare_Data[[#This Row],[Visit_Date]],"mmm")</f>
        <v>Feb</v>
      </c>
      <c r="S129">
        <f>MONTH(Healthcare_Data[[#This Row],[Visit_Date]])</f>
        <v>2</v>
      </c>
      <c r="T129" t="str">
        <f>IF(Healthcare_Data[[#This Row],[Final_Bill]]&gt;=50000,"High",IF(Healthcare_Data[[#This Row],[Final_Bill]]&gt;=20000,"Medium","low"))</f>
        <v>low</v>
      </c>
    </row>
    <row r="130" spans="1:20" x14ac:dyDescent="0.3">
      <c r="A130" t="s">
        <v>185</v>
      </c>
      <c r="B130" s="3">
        <v>45705</v>
      </c>
      <c r="C130" t="s">
        <v>44</v>
      </c>
      <c r="D130" t="s">
        <v>34</v>
      </c>
      <c r="E130" t="s">
        <v>52</v>
      </c>
      <c r="F130" t="s">
        <v>40</v>
      </c>
      <c r="G130">
        <v>33</v>
      </c>
      <c r="H130" t="s">
        <v>22</v>
      </c>
      <c r="I130" t="s">
        <v>72</v>
      </c>
      <c r="J130" t="s">
        <v>58</v>
      </c>
      <c r="K130">
        <v>11</v>
      </c>
      <c r="L130" s="4">
        <v>51310</v>
      </c>
      <c r="M130">
        <v>1000</v>
      </c>
      <c r="N130">
        <v>50310</v>
      </c>
      <c r="O130" t="s">
        <v>25</v>
      </c>
      <c r="P130">
        <v>2.6</v>
      </c>
      <c r="Q130">
        <v>44</v>
      </c>
      <c r="R130" t="str">
        <f>TEXT(Healthcare_Data[[#This Row],[Visit_Date]],"mmm")</f>
        <v>Feb</v>
      </c>
      <c r="S130">
        <f>MONTH(Healthcare_Data[[#This Row],[Visit_Date]])</f>
        <v>2</v>
      </c>
      <c r="T130" t="str">
        <f>IF(Healthcare_Data[[#This Row],[Final_Bill]]&gt;=50000,"High",IF(Healthcare_Data[[#This Row],[Final_Bill]]&gt;=20000,"Medium","low"))</f>
        <v>High</v>
      </c>
    </row>
    <row r="131" spans="1:20" x14ac:dyDescent="0.3">
      <c r="A131" t="s">
        <v>186</v>
      </c>
      <c r="B131" s="3">
        <v>45705</v>
      </c>
      <c r="C131" t="s">
        <v>38</v>
      </c>
      <c r="D131" t="s">
        <v>28</v>
      </c>
      <c r="E131" t="s">
        <v>20</v>
      </c>
      <c r="F131" t="s">
        <v>21</v>
      </c>
      <c r="G131">
        <v>42</v>
      </c>
      <c r="H131" t="s">
        <v>56</v>
      </c>
      <c r="I131" t="s">
        <v>57</v>
      </c>
      <c r="J131" t="s">
        <v>24</v>
      </c>
      <c r="K131">
        <v>0</v>
      </c>
      <c r="L131" s="4">
        <v>6471</v>
      </c>
      <c r="M131">
        <v>1000</v>
      </c>
      <c r="N131">
        <v>5471</v>
      </c>
      <c r="O131" t="s">
        <v>25</v>
      </c>
      <c r="P131">
        <v>3.9</v>
      </c>
      <c r="Q131">
        <v>12</v>
      </c>
      <c r="R131" t="str">
        <f>TEXT(Healthcare_Data[[#This Row],[Visit_Date]],"mmm")</f>
        <v>Feb</v>
      </c>
      <c r="S131">
        <f>MONTH(Healthcare_Data[[#This Row],[Visit_Date]])</f>
        <v>2</v>
      </c>
      <c r="T131" t="str">
        <f>IF(Healthcare_Data[[#This Row],[Final_Bill]]&gt;=50000,"High",IF(Healthcare_Data[[#This Row],[Final_Bill]]&gt;=20000,"Medium","low"))</f>
        <v>low</v>
      </c>
    </row>
    <row r="132" spans="1:20" x14ac:dyDescent="0.3">
      <c r="A132" t="s">
        <v>187</v>
      </c>
      <c r="B132" s="3">
        <v>45705</v>
      </c>
      <c r="C132" t="s">
        <v>44</v>
      </c>
      <c r="D132" t="s">
        <v>28</v>
      </c>
      <c r="E132" t="s">
        <v>20</v>
      </c>
      <c r="F132" t="s">
        <v>21</v>
      </c>
      <c r="G132">
        <v>63</v>
      </c>
      <c r="H132" t="s">
        <v>22</v>
      </c>
      <c r="I132" t="s">
        <v>23</v>
      </c>
      <c r="J132" t="s">
        <v>24</v>
      </c>
      <c r="K132">
        <v>0</v>
      </c>
      <c r="L132" s="4">
        <v>3306</v>
      </c>
      <c r="M132">
        <v>500</v>
      </c>
      <c r="N132">
        <v>2806</v>
      </c>
      <c r="O132" t="s">
        <v>25</v>
      </c>
      <c r="P132">
        <v>5</v>
      </c>
      <c r="Q132">
        <v>17</v>
      </c>
      <c r="R132" t="str">
        <f>TEXT(Healthcare_Data[[#This Row],[Visit_Date]],"mmm")</f>
        <v>Feb</v>
      </c>
      <c r="S132">
        <f>MONTH(Healthcare_Data[[#This Row],[Visit_Date]])</f>
        <v>2</v>
      </c>
      <c r="T132" t="str">
        <f>IF(Healthcare_Data[[#This Row],[Final_Bill]]&gt;=50000,"High",IF(Healthcare_Data[[#This Row],[Final_Bill]]&gt;=20000,"Medium","low"))</f>
        <v>low</v>
      </c>
    </row>
    <row r="133" spans="1:20" x14ac:dyDescent="0.3">
      <c r="A133" t="s">
        <v>188</v>
      </c>
      <c r="B133" s="3">
        <v>45706</v>
      </c>
      <c r="C133" t="s">
        <v>48</v>
      </c>
      <c r="D133" t="s">
        <v>28</v>
      </c>
      <c r="E133" t="s">
        <v>20</v>
      </c>
      <c r="F133" t="s">
        <v>40</v>
      </c>
      <c r="G133">
        <v>48</v>
      </c>
      <c r="H133" t="s">
        <v>65</v>
      </c>
      <c r="I133" t="s">
        <v>42</v>
      </c>
      <c r="J133" t="s">
        <v>24</v>
      </c>
      <c r="K133">
        <v>0</v>
      </c>
      <c r="L133" s="4">
        <v>6870</v>
      </c>
      <c r="M133">
        <v>2000</v>
      </c>
      <c r="N133">
        <v>4870</v>
      </c>
      <c r="O133" t="s">
        <v>32</v>
      </c>
      <c r="P133">
        <v>4.8</v>
      </c>
      <c r="Q133">
        <v>66</v>
      </c>
      <c r="R133" t="str">
        <f>TEXT(Healthcare_Data[[#This Row],[Visit_Date]],"mmm")</f>
        <v>Feb</v>
      </c>
      <c r="S133">
        <f>MONTH(Healthcare_Data[[#This Row],[Visit_Date]])</f>
        <v>2</v>
      </c>
      <c r="T133" t="str">
        <f>IF(Healthcare_Data[[#This Row],[Final_Bill]]&gt;=50000,"High",IF(Healthcare_Data[[#This Row],[Final_Bill]]&gt;=20000,"Medium","low"))</f>
        <v>low</v>
      </c>
    </row>
    <row r="134" spans="1:20" x14ac:dyDescent="0.3">
      <c r="A134" t="s">
        <v>189</v>
      </c>
      <c r="B134" s="3">
        <v>45706</v>
      </c>
      <c r="C134" t="s">
        <v>27</v>
      </c>
      <c r="D134" t="s">
        <v>34</v>
      </c>
      <c r="E134" t="s">
        <v>20</v>
      </c>
      <c r="F134" t="s">
        <v>40</v>
      </c>
      <c r="G134">
        <v>70</v>
      </c>
      <c r="H134" t="s">
        <v>22</v>
      </c>
      <c r="I134" t="s">
        <v>69</v>
      </c>
      <c r="J134" t="s">
        <v>24</v>
      </c>
      <c r="K134">
        <v>0</v>
      </c>
      <c r="L134" s="4">
        <v>15295</v>
      </c>
      <c r="M134">
        <v>1000</v>
      </c>
      <c r="N134">
        <v>14295</v>
      </c>
      <c r="O134" t="s">
        <v>25</v>
      </c>
      <c r="P134">
        <v>4.2</v>
      </c>
      <c r="Q134">
        <v>67</v>
      </c>
      <c r="R134" t="str">
        <f>TEXT(Healthcare_Data[[#This Row],[Visit_Date]],"mmm")</f>
        <v>Feb</v>
      </c>
      <c r="S134">
        <f>MONTH(Healthcare_Data[[#This Row],[Visit_Date]])</f>
        <v>2</v>
      </c>
      <c r="T134" t="str">
        <f>IF(Healthcare_Data[[#This Row],[Final_Bill]]&gt;=50000,"High",IF(Healthcare_Data[[#This Row],[Final_Bill]]&gt;=20000,"Medium","low"))</f>
        <v>low</v>
      </c>
    </row>
    <row r="135" spans="1:20" x14ac:dyDescent="0.3">
      <c r="A135" t="s">
        <v>190</v>
      </c>
      <c r="B135" s="3">
        <v>45707</v>
      </c>
      <c r="C135" t="s">
        <v>67</v>
      </c>
      <c r="D135" t="s">
        <v>19</v>
      </c>
      <c r="E135" t="s">
        <v>20</v>
      </c>
      <c r="F135" t="s">
        <v>40</v>
      </c>
      <c r="G135">
        <v>54</v>
      </c>
      <c r="H135" t="s">
        <v>29</v>
      </c>
      <c r="I135" t="s">
        <v>72</v>
      </c>
      <c r="J135" t="s">
        <v>36</v>
      </c>
      <c r="K135">
        <v>0</v>
      </c>
      <c r="L135" s="4">
        <v>19171</v>
      </c>
      <c r="M135">
        <v>500</v>
      </c>
      <c r="N135">
        <v>18671</v>
      </c>
      <c r="O135" t="s">
        <v>32</v>
      </c>
      <c r="P135">
        <v>3.8</v>
      </c>
      <c r="Q135">
        <v>27</v>
      </c>
      <c r="R135" t="str">
        <f>TEXT(Healthcare_Data[[#This Row],[Visit_Date]],"mmm")</f>
        <v>Feb</v>
      </c>
      <c r="S135">
        <f>MONTH(Healthcare_Data[[#This Row],[Visit_Date]])</f>
        <v>2</v>
      </c>
      <c r="T135" t="str">
        <f>IF(Healthcare_Data[[#This Row],[Final_Bill]]&gt;=50000,"High",IF(Healthcare_Data[[#This Row],[Final_Bill]]&gt;=20000,"Medium","low"))</f>
        <v>low</v>
      </c>
    </row>
    <row r="136" spans="1:20" x14ac:dyDescent="0.3">
      <c r="A136" t="s">
        <v>191</v>
      </c>
      <c r="B136" s="3">
        <v>45708</v>
      </c>
      <c r="C136" t="s">
        <v>18</v>
      </c>
      <c r="D136" t="s">
        <v>51</v>
      </c>
      <c r="E136" t="s">
        <v>20</v>
      </c>
      <c r="F136" t="s">
        <v>40</v>
      </c>
      <c r="G136">
        <v>66</v>
      </c>
      <c r="H136" t="s">
        <v>56</v>
      </c>
      <c r="I136" t="s">
        <v>30</v>
      </c>
      <c r="J136" t="s">
        <v>24</v>
      </c>
      <c r="K136">
        <v>0</v>
      </c>
      <c r="L136" s="4">
        <v>8752</v>
      </c>
      <c r="M136">
        <v>500</v>
      </c>
      <c r="N136">
        <v>8252</v>
      </c>
      <c r="O136" t="s">
        <v>25</v>
      </c>
      <c r="P136">
        <v>2.5</v>
      </c>
      <c r="Q136">
        <v>78</v>
      </c>
      <c r="R136" t="str">
        <f>TEXT(Healthcare_Data[[#This Row],[Visit_Date]],"mmm")</f>
        <v>Feb</v>
      </c>
      <c r="S136">
        <f>MONTH(Healthcare_Data[[#This Row],[Visit_Date]])</f>
        <v>2</v>
      </c>
      <c r="T136" t="str">
        <f>IF(Healthcare_Data[[#This Row],[Final_Bill]]&gt;=50000,"High",IF(Healthcare_Data[[#This Row],[Final_Bill]]&gt;=20000,"Medium","low"))</f>
        <v>low</v>
      </c>
    </row>
    <row r="137" spans="1:20" x14ac:dyDescent="0.3">
      <c r="A137" t="s">
        <v>192</v>
      </c>
      <c r="B137" s="3">
        <v>45708</v>
      </c>
      <c r="C137" t="s">
        <v>54</v>
      </c>
      <c r="D137" t="s">
        <v>19</v>
      </c>
      <c r="E137" t="s">
        <v>20</v>
      </c>
      <c r="F137" t="s">
        <v>21</v>
      </c>
      <c r="G137">
        <v>59</v>
      </c>
      <c r="H137" t="s">
        <v>41</v>
      </c>
      <c r="I137" t="s">
        <v>30</v>
      </c>
      <c r="J137" t="s">
        <v>58</v>
      </c>
      <c r="K137">
        <v>0</v>
      </c>
      <c r="L137" s="4">
        <v>18058</v>
      </c>
      <c r="M137">
        <v>1000</v>
      </c>
      <c r="N137">
        <v>17058</v>
      </c>
      <c r="O137" t="s">
        <v>25</v>
      </c>
      <c r="P137">
        <v>4.4000000000000004</v>
      </c>
      <c r="Q137">
        <v>25</v>
      </c>
      <c r="R137" t="str">
        <f>TEXT(Healthcare_Data[[#This Row],[Visit_Date]],"mmm")</f>
        <v>Feb</v>
      </c>
      <c r="S137">
        <f>MONTH(Healthcare_Data[[#This Row],[Visit_Date]])</f>
        <v>2</v>
      </c>
      <c r="T137" t="str">
        <f>IF(Healthcare_Data[[#This Row],[Final_Bill]]&gt;=50000,"High",IF(Healthcare_Data[[#This Row],[Final_Bill]]&gt;=20000,"Medium","low"))</f>
        <v>low</v>
      </c>
    </row>
    <row r="138" spans="1:20" x14ac:dyDescent="0.3">
      <c r="A138" t="s">
        <v>193</v>
      </c>
      <c r="B138" s="3">
        <v>45708</v>
      </c>
      <c r="C138" t="s">
        <v>54</v>
      </c>
      <c r="D138" t="s">
        <v>28</v>
      </c>
      <c r="E138" t="s">
        <v>20</v>
      </c>
      <c r="F138" t="s">
        <v>21</v>
      </c>
      <c r="G138">
        <v>39</v>
      </c>
      <c r="H138" t="s">
        <v>115</v>
      </c>
      <c r="I138" t="s">
        <v>69</v>
      </c>
      <c r="J138" t="s">
        <v>31</v>
      </c>
      <c r="K138">
        <v>0</v>
      </c>
      <c r="L138" s="4">
        <v>16859</v>
      </c>
      <c r="M138">
        <v>500</v>
      </c>
      <c r="N138">
        <v>16359</v>
      </c>
      <c r="O138" t="s">
        <v>25</v>
      </c>
      <c r="P138">
        <v>3.5</v>
      </c>
      <c r="Q138">
        <v>110</v>
      </c>
      <c r="R138" t="str">
        <f>TEXT(Healthcare_Data[[#This Row],[Visit_Date]],"mmm")</f>
        <v>Feb</v>
      </c>
      <c r="S138">
        <f>MONTH(Healthcare_Data[[#This Row],[Visit_Date]])</f>
        <v>2</v>
      </c>
      <c r="T138" t="str">
        <f>IF(Healthcare_Data[[#This Row],[Final_Bill]]&gt;=50000,"High",IF(Healthcare_Data[[#This Row],[Final_Bill]]&gt;=20000,"Medium","low"))</f>
        <v>low</v>
      </c>
    </row>
    <row r="139" spans="1:20" x14ac:dyDescent="0.3">
      <c r="A139" t="s">
        <v>194</v>
      </c>
      <c r="B139" s="3">
        <v>45708</v>
      </c>
      <c r="C139" t="s">
        <v>67</v>
      </c>
      <c r="D139" t="s">
        <v>28</v>
      </c>
      <c r="E139" t="s">
        <v>20</v>
      </c>
      <c r="F139" t="s">
        <v>21</v>
      </c>
      <c r="G139">
        <v>60</v>
      </c>
      <c r="H139" t="s">
        <v>65</v>
      </c>
      <c r="I139" t="s">
        <v>57</v>
      </c>
      <c r="J139" t="s">
        <v>36</v>
      </c>
      <c r="K139">
        <v>0</v>
      </c>
      <c r="L139" s="4">
        <v>6346</v>
      </c>
      <c r="M139">
        <v>500</v>
      </c>
      <c r="N139">
        <v>5846</v>
      </c>
      <c r="O139" t="s">
        <v>32</v>
      </c>
      <c r="Q139">
        <v>94</v>
      </c>
      <c r="R139" t="str">
        <f>TEXT(Healthcare_Data[[#This Row],[Visit_Date]],"mmm")</f>
        <v>Feb</v>
      </c>
      <c r="S139">
        <f>MONTH(Healthcare_Data[[#This Row],[Visit_Date]])</f>
        <v>2</v>
      </c>
      <c r="T139" t="str">
        <f>IF(Healthcare_Data[[#This Row],[Final_Bill]]&gt;=50000,"High",IF(Healthcare_Data[[#This Row],[Final_Bill]]&gt;=20000,"Medium","low"))</f>
        <v>low</v>
      </c>
    </row>
    <row r="140" spans="1:20" x14ac:dyDescent="0.3">
      <c r="A140" t="s">
        <v>195</v>
      </c>
      <c r="B140" s="3">
        <v>45708</v>
      </c>
      <c r="C140" t="s">
        <v>44</v>
      </c>
      <c r="D140" t="s">
        <v>34</v>
      </c>
      <c r="E140" t="s">
        <v>52</v>
      </c>
      <c r="F140" t="s">
        <v>21</v>
      </c>
      <c r="G140">
        <v>72</v>
      </c>
      <c r="H140" t="s">
        <v>22</v>
      </c>
      <c r="I140" t="s">
        <v>30</v>
      </c>
      <c r="J140" t="s">
        <v>24</v>
      </c>
      <c r="K140">
        <v>14</v>
      </c>
      <c r="L140" s="4">
        <v>20241</v>
      </c>
      <c r="M140">
        <v>1000</v>
      </c>
      <c r="N140">
        <v>19241</v>
      </c>
      <c r="O140" t="s">
        <v>25</v>
      </c>
      <c r="P140">
        <v>3.7</v>
      </c>
      <c r="Q140">
        <v>56</v>
      </c>
      <c r="R140" t="str">
        <f>TEXT(Healthcare_Data[[#This Row],[Visit_Date]],"mmm")</f>
        <v>Feb</v>
      </c>
      <c r="S140">
        <f>MONTH(Healthcare_Data[[#This Row],[Visit_Date]])</f>
        <v>2</v>
      </c>
      <c r="T140" t="str">
        <f>IF(Healthcare_Data[[#This Row],[Final_Bill]]&gt;=50000,"High",IF(Healthcare_Data[[#This Row],[Final_Bill]]&gt;=20000,"Medium","low"))</f>
        <v>low</v>
      </c>
    </row>
    <row r="141" spans="1:20" x14ac:dyDescent="0.3">
      <c r="A141" t="s">
        <v>196</v>
      </c>
      <c r="B141" s="3">
        <v>45708</v>
      </c>
      <c r="C141" t="s">
        <v>38</v>
      </c>
      <c r="D141" t="s">
        <v>34</v>
      </c>
      <c r="E141" t="s">
        <v>54</v>
      </c>
      <c r="F141" t="s">
        <v>21</v>
      </c>
      <c r="G141">
        <v>25</v>
      </c>
      <c r="H141" t="s">
        <v>115</v>
      </c>
      <c r="I141" t="s">
        <v>63</v>
      </c>
      <c r="J141" t="s">
        <v>58</v>
      </c>
      <c r="K141">
        <v>0</v>
      </c>
      <c r="L141" s="4">
        <v>15939</v>
      </c>
      <c r="M141">
        <v>1000</v>
      </c>
      <c r="N141">
        <v>14939</v>
      </c>
      <c r="O141" t="s">
        <v>25</v>
      </c>
      <c r="P141">
        <v>3.8</v>
      </c>
      <c r="Q141">
        <v>5</v>
      </c>
      <c r="R141" t="str">
        <f>TEXT(Healthcare_Data[[#This Row],[Visit_Date]],"mmm")</f>
        <v>Feb</v>
      </c>
      <c r="S141">
        <f>MONTH(Healthcare_Data[[#This Row],[Visit_Date]])</f>
        <v>2</v>
      </c>
      <c r="T141" t="str">
        <f>IF(Healthcare_Data[[#This Row],[Final_Bill]]&gt;=50000,"High",IF(Healthcare_Data[[#This Row],[Final_Bill]]&gt;=20000,"Medium","low"))</f>
        <v>low</v>
      </c>
    </row>
    <row r="142" spans="1:20" x14ac:dyDescent="0.3">
      <c r="A142" t="s">
        <v>197</v>
      </c>
      <c r="B142" s="3">
        <v>45709</v>
      </c>
      <c r="C142" t="s">
        <v>67</v>
      </c>
      <c r="D142" t="s">
        <v>51</v>
      </c>
      <c r="E142" t="s">
        <v>52</v>
      </c>
      <c r="F142" t="s">
        <v>40</v>
      </c>
      <c r="G142">
        <v>48</v>
      </c>
      <c r="H142" t="s">
        <v>22</v>
      </c>
      <c r="I142" t="s">
        <v>61</v>
      </c>
      <c r="J142" t="s">
        <v>36</v>
      </c>
      <c r="K142">
        <v>6</v>
      </c>
      <c r="L142" s="4">
        <v>30150</v>
      </c>
      <c r="M142">
        <v>0</v>
      </c>
      <c r="N142">
        <v>30150</v>
      </c>
      <c r="O142" t="s">
        <v>25</v>
      </c>
      <c r="P142">
        <v>3</v>
      </c>
      <c r="Q142">
        <v>90</v>
      </c>
      <c r="R142" t="str">
        <f>TEXT(Healthcare_Data[[#This Row],[Visit_Date]],"mmm")</f>
        <v>Feb</v>
      </c>
      <c r="S142">
        <f>MONTH(Healthcare_Data[[#This Row],[Visit_Date]])</f>
        <v>2</v>
      </c>
      <c r="T142" t="str">
        <f>IF(Healthcare_Data[[#This Row],[Final_Bill]]&gt;=50000,"High",IF(Healthcare_Data[[#This Row],[Final_Bill]]&gt;=20000,"Medium","low"))</f>
        <v>Medium</v>
      </c>
    </row>
    <row r="143" spans="1:20" x14ac:dyDescent="0.3">
      <c r="A143" t="s">
        <v>198</v>
      </c>
      <c r="B143" s="3">
        <v>45709</v>
      </c>
      <c r="C143" t="s">
        <v>38</v>
      </c>
      <c r="D143" t="s">
        <v>51</v>
      </c>
      <c r="E143" t="s">
        <v>20</v>
      </c>
      <c r="F143" t="s">
        <v>40</v>
      </c>
      <c r="G143">
        <v>29</v>
      </c>
      <c r="H143" t="s">
        <v>29</v>
      </c>
      <c r="I143" t="s">
        <v>23</v>
      </c>
      <c r="J143" t="s">
        <v>58</v>
      </c>
      <c r="K143">
        <v>0</v>
      </c>
      <c r="L143" s="4">
        <v>5014</v>
      </c>
      <c r="M143">
        <v>1000</v>
      </c>
      <c r="N143">
        <v>4014</v>
      </c>
      <c r="O143" t="s">
        <v>25</v>
      </c>
      <c r="P143">
        <v>4.7</v>
      </c>
      <c r="Q143">
        <v>80</v>
      </c>
      <c r="R143" t="str">
        <f>TEXT(Healthcare_Data[[#This Row],[Visit_Date]],"mmm")</f>
        <v>Feb</v>
      </c>
      <c r="S143">
        <f>MONTH(Healthcare_Data[[#This Row],[Visit_Date]])</f>
        <v>2</v>
      </c>
      <c r="T143" t="str">
        <f>IF(Healthcare_Data[[#This Row],[Final_Bill]]&gt;=50000,"High",IF(Healthcare_Data[[#This Row],[Final_Bill]]&gt;=20000,"Medium","low"))</f>
        <v>low</v>
      </c>
    </row>
    <row r="144" spans="1:20" x14ac:dyDescent="0.3">
      <c r="A144" t="s">
        <v>199</v>
      </c>
      <c r="B144" s="3">
        <v>45709</v>
      </c>
      <c r="C144" t="s">
        <v>54</v>
      </c>
      <c r="D144" t="s">
        <v>28</v>
      </c>
      <c r="E144" t="s">
        <v>20</v>
      </c>
      <c r="F144" t="s">
        <v>21</v>
      </c>
      <c r="G144">
        <v>72</v>
      </c>
      <c r="H144" t="s">
        <v>56</v>
      </c>
      <c r="I144" t="s">
        <v>23</v>
      </c>
      <c r="J144" t="s">
        <v>31</v>
      </c>
      <c r="K144">
        <v>0</v>
      </c>
      <c r="L144" s="4">
        <v>13448</v>
      </c>
      <c r="M144">
        <v>500</v>
      </c>
      <c r="N144">
        <v>12948</v>
      </c>
      <c r="O144" t="s">
        <v>25</v>
      </c>
      <c r="P144">
        <v>4.5999999999999996</v>
      </c>
      <c r="Q144">
        <v>53</v>
      </c>
      <c r="R144" t="str">
        <f>TEXT(Healthcare_Data[[#This Row],[Visit_Date]],"mmm")</f>
        <v>Feb</v>
      </c>
      <c r="S144">
        <f>MONTH(Healthcare_Data[[#This Row],[Visit_Date]])</f>
        <v>2</v>
      </c>
      <c r="T144" t="str">
        <f>IF(Healthcare_Data[[#This Row],[Final_Bill]]&gt;=50000,"High",IF(Healthcare_Data[[#This Row],[Final_Bill]]&gt;=20000,"Medium","low"))</f>
        <v>low</v>
      </c>
    </row>
    <row r="145" spans="1:20" x14ac:dyDescent="0.3">
      <c r="A145" t="s">
        <v>200</v>
      </c>
      <c r="B145" s="3">
        <v>45710</v>
      </c>
      <c r="C145" t="s">
        <v>44</v>
      </c>
      <c r="D145" t="s">
        <v>39</v>
      </c>
      <c r="E145" t="s">
        <v>52</v>
      </c>
      <c r="F145" t="s">
        <v>40</v>
      </c>
      <c r="G145">
        <v>43</v>
      </c>
      <c r="H145" t="s">
        <v>29</v>
      </c>
      <c r="I145" t="s">
        <v>61</v>
      </c>
      <c r="J145" t="s">
        <v>24</v>
      </c>
      <c r="K145">
        <v>5</v>
      </c>
      <c r="L145" s="4">
        <v>44414</v>
      </c>
      <c r="M145">
        <v>0</v>
      </c>
      <c r="N145">
        <v>44414</v>
      </c>
      <c r="O145" t="s">
        <v>32</v>
      </c>
      <c r="P145">
        <v>2.6</v>
      </c>
      <c r="Q145">
        <v>18</v>
      </c>
      <c r="R145" t="str">
        <f>TEXT(Healthcare_Data[[#This Row],[Visit_Date]],"mmm")</f>
        <v>Feb</v>
      </c>
      <c r="S145">
        <f>MONTH(Healthcare_Data[[#This Row],[Visit_Date]])</f>
        <v>2</v>
      </c>
      <c r="T145" t="str">
        <f>IF(Healthcare_Data[[#This Row],[Final_Bill]]&gt;=50000,"High",IF(Healthcare_Data[[#This Row],[Final_Bill]]&gt;=20000,"Medium","low"))</f>
        <v>Medium</v>
      </c>
    </row>
    <row r="146" spans="1:20" x14ac:dyDescent="0.3">
      <c r="A146" t="s">
        <v>201</v>
      </c>
      <c r="B146" s="3">
        <v>45710</v>
      </c>
      <c r="C146" t="s">
        <v>27</v>
      </c>
      <c r="D146" t="s">
        <v>34</v>
      </c>
      <c r="E146" t="s">
        <v>20</v>
      </c>
      <c r="F146" t="s">
        <v>40</v>
      </c>
      <c r="G146">
        <v>72</v>
      </c>
      <c r="H146" t="s">
        <v>115</v>
      </c>
      <c r="I146" t="s">
        <v>61</v>
      </c>
      <c r="J146" t="s">
        <v>24</v>
      </c>
      <c r="K146">
        <v>0</v>
      </c>
      <c r="L146" s="4">
        <v>17116</v>
      </c>
      <c r="M146">
        <v>500</v>
      </c>
      <c r="N146">
        <v>16616</v>
      </c>
      <c r="O146" t="s">
        <v>25</v>
      </c>
      <c r="P146">
        <v>3.3</v>
      </c>
      <c r="Q146">
        <v>30</v>
      </c>
      <c r="R146" t="str">
        <f>TEXT(Healthcare_Data[[#This Row],[Visit_Date]],"mmm")</f>
        <v>Feb</v>
      </c>
      <c r="S146">
        <f>MONTH(Healthcare_Data[[#This Row],[Visit_Date]])</f>
        <v>2</v>
      </c>
      <c r="T146" t="str">
        <f>IF(Healthcare_Data[[#This Row],[Final_Bill]]&gt;=50000,"High",IF(Healthcare_Data[[#This Row],[Final_Bill]]&gt;=20000,"Medium","low"))</f>
        <v>low</v>
      </c>
    </row>
    <row r="147" spans="1:20" x14ac:dyDescent="0.3">
      <c r="A147" t="s">
        <v>202</v>
      </c>
      <c r="B147" s="3">
        <v>45710</v>
      </c>
      <c r="C147" t="s">
        <v>50</v>
      </c>
      <c r="D147" t="s">
        <v>34</v>
      </c>
      <c r="E147" t="s">
        <v>54</v>
      </c>
      <c r="F147" t="s">
        <v>21</v>
      </c>
      <c r="G147">
        <v>45</v>
      </c>
      <c r="H147" t="s">
        <v>115</v>
      </c>
      <c r="I147" t="s">
        <v>57</v>
      </c>
      <c r="J147" t="s">
        <v>36</v>
      </c>
      <c r="K147">
        <v>0</v>
      </c>
      <c r="L147" s="4">
        <v>33761</v>
      </c>
      <c r="M147">
        <v>2000</v>
      </c>
      <c r="N147">
        <v>31761</v>
      </c>
      <c r="O147" t="s">
        <v>25</v>
      </c>
      <c r="P147">
        <v>2.9</v>
      </c>
      <c r="Q147">
        <v>97</v>
      </c>
      <c r="R147" t="str">
        <f>TEXT(Healthcare_Data[[#This Row],[Visit_Date]],"mmm")</f>
        <v>Feb</v>
      </c>
      <c r="S147">
        <f>MONTH(Healthcare_Data[[#This Row],[Visit_Date]])</f>
        <v>2</v>
      </c>
      <c r="T147" t="str">
        <f>IF(Healthcare_Data[[#This Row],[Final_Bill]]&gt;=50000,"High",IF(Healthcare_Data[[#This Row],[Final_Bill]]&gt;=20000,"Medium","low"))</f>
        <v>Medium</v>
      </c>
    </row>
    <row r="148" spans="1:20" x14ac:dyDescent="0.3">
      <c r="A148" t="s">
        <v>203</v>
      </c>
      <c r="B148" s="3">
        <v>45710</v>
      </c>
      <c r="C148" t="s">
        <v>38</v>
      </c>
      <c r="D148" t="s">
        <v>51</v>
      </c>
      <c r="E148" t="s">
        <v>20</v>
      </c>
      <c r="F148" t="s">
        <v>21</v>
      </c>
      <c r="G148">
        <v>46</v>
      </c>
      <c r="H148" t="s">
        <v>29</v>
      </c>
      <c r="I148" t="s">
        <v>57</v>
      </c>
      <c r="J148" t="s">
        <v>36</v>
      </c>
      <c r="K148">
        <v>0</v>
      </c>
      <c r="L148" s="4">
        <v>9922</v>
      </c>
      <c r="M148">
        <v>1500</v>
      </c>
      <c r="N148">
        <v>8422</v>
      </c>
      <c r="O148" t="s">
        <v>25</v>
      </c>
      <c r="P148">
        <v>2.7</v>
      </c>
      <c r="Q148">
        <v>117</v>
      </c>
      <c r="R148" t="str">
        <f>TEXT(Healthcare_Data[[#This Row],[Visit_Date]],"mmm")</f>
        <v>Feb</v>
      </c>
      <c r="S148">
        <f>MONTH(Healthcare_Data[[#This Row],[Visit_Date]])</f>
        <v>2</v>
      </c>
      <c r="T148" t="str">
        <f>IF(Healthcare_Data[[#This Row],[Final_Bill]]&gt;=50000,"High",IF(Healthcare_Data[[#This Row],[Final_Bill]]&gt;=20000,"Medium","low"))</f>
        <v>low</v>
      </c>
    </row>
    <row r="149" spans="1:20" x14ac:dyDescent="0.3">
      <c r="A149" t="s">
        <v>204</v>
      </c>
      <c r="B149" s="3">
        <v>45710</v>
      </c>
      <c r="C149" t="s">
        <v>44</v>
      </c>
      <c r="D149" t="s">
        <v>28</v>
      </c>
      <c r="E149" t="s">
        <v>20</v>
      </c>
      <c r="F149" t="s">
        <v>21</v>
      </c>
      <c r="G149">
        <v>73</v>
      </c>
      <c r="H149" t="s">
        <v>46</v>
      </c>
      <c r="I149" t="s">
        <v>30</v>
      </c>
      <c r="J149" t="s">
        <v>24</v>
      </c>
      <c r="K149">
        <v>0</v>
      </c>
      <c r="L149" s="4">
        <v>6502</v>
      </c>
      <c r="M149">
        <v>500</v>
      </c>
      <c r="N149">
        <v>6002</v>
      </c>
      <c r="O149" t="s">
        <v>25</v>
      </c>
      <c r="P149">
        <v>3.1</v>
      </c>
      <c r="Q149">
        <v>91</v>
      </c>
      <c r="R149" t="str">
        <f>TEXT(Healthcare_Data[[#This Row],[Visit_Date]],"mmm")</f>
        <v>Feb</v>
      </c>
      <c r="S149">
        <f>MONTH(Healthcare_Data[[#This Row],[Visit_Date]])</f>
        <v>2</v>
      </c>
      <c r="T149" t="str">
        <f>IF(Healthcare_Data[[#This Row],[Final_Bill]]&gt;=50000,"High",IF(Healthcare_Data[[#This Row],[Final_Bill]]&gt;=20000,"Medium","low"))</f>
        <v>low</v>
      </c>
    </row>
    <row r="150" spans="1:20" x14ac:dyDescent="0.3">
      <c r="A150" t="s">
        <v>205</v>
      </c>
      <c r="B150" s="3">
        <v>45710</v>
      </c>
      <c r="C150" t="s">
        <v>27</v>
      </c>
      <c r="D150" t="s">
        <v>34</v>
      </c>
      <c r="E150" t="s">
        <v>52</v>
      </c>
      <c r="F150" t="s">
        <v>40</v>
      </c>
      <c r="G150">
        <v>53</v>
      </c>
      <c r="H150" t="s">
        <v>22</v>
      </c>
      <c r="I150" t="s">
        <v>23</v>
      </c>
      <c r="J150" t="s">
        <v>58</v>
      </c>
      <c r="K150">
        <v>3</v>
      </c>
      <c r="L150" s="4">
        <v>63777</v>
      </c>
      <c r="M150">
        <v>1000</v>
      </c>
      <c r="N150">
        <v>62777</v>
      </c>
      <c r="O150" t="s">
        <v>32</v>
      </c>
      <c r="P150">
        <v>4.0999999999999996</v>
      </c>
      <c r="Q150">
        <v>56</v>
      </c>
      <c r="R150" t="str">
        <f>TEXT(Healthcare_Data[[#This Row],[Visit_Date]],"mmm")</f>
        <v>Feb</v>
      </c>
      <c r="S150">
        <f>MONTH(Healthcare_Data[[#This Row],[Visit_Date]])</f>
        <v>2</v>
      </c>
      <c r="T150" t="str">
        <f>IF(Healthcare_Data[[#This Row],[Final_Bill]]&gt;=50000,"High",IF(Healthcare_Data[[#This Row],[Final_Bill]]&gt;=20000,"Medium","low"))</f>
        <v>High</v>
      </c>
    </row>
    <row r="151" spans="1:20" x14ac:dyDescent="0.3">
      <c r="A151" t="s">
        <v>206</v>
      </c>
      <c r="B151" s="3">
        <v>45710</v>
      </c>
      <c r="C151" t="s">
        <v>54</v>
      </c>
      <c r="D151" t="s">
        <v>34</v>
      </c>
      <c r="E151" t="s">
        <v>20</v>
      </c>
      <c r="F151" t="s">
        <v>40</v>
      </c>
      <c r="G151">
        <v>67</v>
      </c>
      <c r="H151" t="s">
        <v>22</v>
      </c>
      <c r="I151" t="s">
        <v>61</v>
      </c>
      <c r="J151" t="s">
        <v>36</v>
      </c>
      <c r="K151">
        <v>0</v>
      </c>
      <c r="L151" s="4">
        <v>2961</v>
      </c>
      <c r="M151">
        <v>500</v>
      </c>
      <c r="N151">
        <v>2461</v>
      </c>
      <c r="O151" t="s">
        <v>25</v>
      </c>
      <c r="Q151">
        <v>37</v>
      </c>
      <c r="R151" t="str">
        <f>TEXT(Healthcare_Data[[#This Row],[Visit_Date]],"mmm")</f>
        <v>Feb</v>
      </c>
      <c r="S151">
        <f>MONTH(Healthcare_Data[[#This Row],[Visit_Date]])</f>
        <v>2</v>
      </c>
      <c r="T151" t="str">
        <f>IF(Healthcare_Data[[#This Row],[Final_Bill]]&gt;=50000,"High",IF(Healthcare_Data[[#This Row],[Final_Bill]]&gt;=20000,"Medium","low"))</f>
        <v>low</v>
      </c>
    </row>
    <row r="152" spans="1:20" x14ac:dyDescent="0.3">
      <c r="A152" t="s">
        <v>207</v>
      </c>
      <c r="B152" s="3">
        <v>45711</v>
      </c>
      <c r="C152" t="s">
        <v>48</v>
      </c>
      <c r="D152" t="s">
        <v>28</v>
      </c>
      <c r="E152" t="s">
        <v>20</v>
      </c>
      <c r="F152" t="s">
        <v>21</v>
      </c>
      <c r="G152">
        <v>45</v>
      </c>
      <c r="H152" t="s">
        <v>22</v>
      </c>
      <c r="I152" t="s">
        <v>61</v>
      </c>
      <c r="J152" t="s">
        <v>24</v>
      </c>
      <c r="K152">
        <v>0</v>
      </c>
      <c r="L152" s="4">
        <v>15370</v>
      </c>
      <c r="M152">
        <v>500</v>
      </c>
      <c r="N152">
        <v>14870</v>
      </c>
      <c r="O152" t="s">
        <v>25</v>
      </c>
      <c r="P152">
        <v>3.4</v>
      </c>
      <c r="Q152">
        <v>64</v>
      </c>
      <c r="R152" t="str">
        <f>TEXT(Healthcare_Data[[#This Row],[Visit_Date]],"mmm")</f>
        <v>Feb</v>
      </c>
      <c r="S152">
        <f>MONTH(Healthcare_Data[[#This Row],[Visit_Date]])</f>
        <v>2</v>
      </c>
      <c r="T152" t="str">
        <f>IF(Healthcare_Data[[#This Row],[Final_Bill]]&gt;=50000,"High",IF(Healthcare_Data[[#This Row],[Final_Bill]]&gt;=20000,"Medium","low"))</f>
        <v>low</v>
      </c>
    </row>
    <row r="153" spans="1:20" x14ac:dyDescent="0.3">
      <c r="A153" t="s">
        <v>208</v>
      </c>
      <c r="B153" s="3">
        <v>45711</v>
      </c>
      <c r="C153" t="s">
        <v>50</v>
      </c>
      <c r="D153" t="s">
        <v>19</v>
      </c>
      <c r="E153" t="s">
        <v>20</v>
      </c>
      <c r="F153" t="s">
        <v>40</v>
      </c>
      <c r="G153">
        <v>55</v>
      </c>
      <c r="H153" t="s">
        <v>22</v>
      </c>
      <c r="I153" t="s">
        <v>42</v>
      </c>
      <c r="J153" t="s">
        <v>24</v>
      </c>
      <c r="K153">
        <v>0</v>
      </c>
      <c r="L153" s="4">
        <v>7204</v>
      </c>
      <c r="M153">
        <v>500</v>
      </c>
      <c r="N153">
        <v>6704</v>
      </c>
      <c r="O153" t="s">
        <v>25</v>
      </c>
      <c r="P153">
        <v>2.8</v>
      </c>
      <c r="Q153">
        <v>18</v>
      </c>
      <c r="R153" t="str">
        <f>TEXT(Healthcare_Data[[#This Row],[Visit_Date]],"mmm")</f>
        <v>Feb</v>
      </c>
      <c r="S153">
        <f>MONTH(Healthcare_Data[[#This Row],[Visit_Date]])</f>
        <v>2</v>
      </c>
      <c r="T153" t="str">
        <f>IF(Healthcare_Data[[#This Row],[Final_Bill]]&gt;=50000,"High",IF(Healthcare_Data[[#This Row],[Final_Bill]]&gt;=20000,"Medium","low"))</f>
        <v>low</v>
      </c>
    </row>
    <row r="154" spans="1:20" x14ac:dyDescent="0.3">
      <c r="A154" t="s">
        <v>209</v>
      </c>
      <c r="B154" s="3">
        <v>45711</v>
      </c>
      <c r="C154" t="s">
        <v>48</v>
      </c>
      <c r="D154" t="s">
        <v>51</v>
      </c>
      <c r="E154" t="s">
        <v>52</v>
      </c>
      <c r="F154" t="s">
        <v>40</v>
      </c>
      <c r="G154">
        <v>74</v>
      </c>
      <c r="H154" t="s">
        <v>65</v>
      </c>
      <c r="I154" t="s">
        <v>57</v>
      </c>
      <c r="J154" t="s">
        <v>58</v>
      </c>
      <c r="K154">
        <v>8</v>
      </c>
      <c r="L154" s="4">
        <v>56833</v>
      </c>
      <c r="M154">
        <v>0</v>
      </c>
      <c r="N154">
        <v>56833</v>
      </c>
      <c r="O154" t="s">
        <v>59</v>
      </c>
      <c r="P154">
        <v>4.8</v>
      </c>
      <c r="Q154">
        <v>26</v>
      </c>
      <c r="R154" t="str">
        <f>TEXT(Healthcare_Data[[#This Row],[Visit_Date]],"mmm")</f>
        <v>Feb</v>
      </c>
      <c r="S154">
        <f>MONTH(Healthcare_Data[[#This Row],[Visit_Date]])</f>
        <v>2</v>
      </c>
      <c r="T154" t="str">
        <f>IF(Healthcare_Data[[#This Row],[Final_Bill]]&gt;=50000,"High",IF(Healthcare_Data[[#This Row],[Final_Bill]]&gt;=20000,"Medium","low"))</f>
        <v>High</v>
      </c>
    </row>
    <row r="155" spans="1:20" x14ac:dyDescent="0.3">
      <c r="A155" t="s">
        <v>210</v>
      </c>
      <c r="B155" s="3">
        <v>45711</v>
      </c>
      <c r="C155" t="s">
        <v>27</v>
      </c>
      <c r="D155" t="s">
        <v>34</v>
      </c>
      <c r="E155" t="s">
        <v>52</v>
      </c>
      <c r="F155" t="s">
        <v>40</v>
      </c>
      <c r="G155">
        <v>66</v>
      </c>
      <c r="H155" t="s">
        <v>56</v>
      </c>
      <c r="I155" t="s">
        <v>57</v>
      </c>
      <c r="J155" t="s">
        <v>24</v>
      </c>
      <c r="K155">
        <v>4</v>
      </c>
      <c r="L155" s="4">
        <v>53562</v>
      </c>
      <c r="M155">
        <v>0</v>
      </c>
      <c r="N155">
        <v>53562</v>
      </c>
      <c r="O155" t="s">
        <v>25</v>
      </c>
      <c r="P155">
        <v>4.8</v>
      </c>
      <c r="Q155">
        <v>91</v>
      </c>
      <c r="R155" t="str">
        <f>TEXT(Healthcare_Data[[#This Row],[Visit_Date]],"mmm")</f>
        <v>Feb</v>
      </c>
      <c r="S155">
        <f>MONTH(Healthcare_Data[[#This Row],[Visit_Date]])</f>
        <v>2</v>
      </c>
      <c r="T155" t="str">
        <f>IF(Healthcare_Data[[#This Row],[Final_Bill]]&gt;=50000,"High",IF(Healthcare_Data[[#This Row],[Final_Bill]]&gt;=20000,"Medium","low"))</f>
        <v>High</v>
      </c>
    </row>
    <row r="156" spans="1:20" x14ac:dyDescent="0.3">
      <c r="A156" t="s">
        <v>211</v>
      </c>
      <c r="B156" s="3">
        <v>45711</v>
      </c>
      <c r="C156" t="s">
        <v>18</v>
      </c>
      <c r="D156" t="s">
        <v>39</v>
      </c>
      <c r="E156" t="s">
        <v>20</v>
      </c>
      <c r="F156" t="s">
        <v>21</v>
      </c>
      <c r="G156">
        <v>25</v>
      </c>
      <c r="H156" t="s">
        <v>41</v>
      </c>
      <c r="I156" t="s">
        <v>63</v>
      </c>
      <c r="J156" t="s">
        <v>24</v>
      </c>
      <c r="K156">
        <v>0</v>
      </c>
      <c r="L156" s="4">
        <v>11607</v>
      </c>
      <c r="M156">
        <v>2000</v>
      </c>
      <c r="N156">
        <v>9607</v>
      </c>
      <c r="O156" t="s">
        <v>25</v>
      </c>
      <c r="P156">
        <v>4.2</v>
      </c>
      <c r="Q156">
        <v>99</v>
      </c>
      <c r="R156" t="str">
        <f>TEXT(Healthcare_Data[[#This Row],[Visit_Date]],"mmm")</f>
        <v>Feb</v>
      </c>
      <c r="S156">
        <f>MONTH(Healthcare_Data[[#This Row],[Visit_Date]])</f>
        <v>2</v>
      </c>
      <c r="T156" t="str">
        <f>IF(Healthcare_Data[[#This Row],[Final_Bill]]&gt;=50000,"High",IF(Healthcare_Data[[#This Row],[Final_Bill]]&gt;=20000,"Medium","low"))</f>
        <v>low</v>
      </c>
    </row>
    <row r="157" spans="1:20" x14ac:dyDescent="0.3">
      <c r="A157" t="s">
        <v>212</v>
      </c>
      <c r="B157" s="3">
        <v>45711</v>
      </c>
      <c r="C157" t="s">
        <v>50</v>
      </c>
      <c r="D157" t="s">
        <v>28</v>
      </c>
      <c r="E157" t="s">
        <v>20</v>
      </c>
      <c r="F157" t="s">
        <v>21</v>
      </c>
      <c r="G157">
        <v>54</v>
      </c>
      <c r="H157" t="s">
        <v>22</v>
      </c>
      <c r="I157" t="s">
        <v>72</v>
      </c>
      <c r="J157" t="s">
        <v>36</v>
      </c>
      <c r="K157">
        <v>0</v>
      </c>
      <c r="L157" s="4">
        <v>2160</v>
      </c>
      <c r="M157">
        <v>2000</v>
      </c>
      <c r="N157">
        <v>160</v>
      </c>
      <c r="O157" t="s">
        <v>25</v>
      </c>
      <c r="P157">
        <v>2.8</v>
      </c>
      <c r="Q157">
        <v>25</v>
      </c>
      <c r="R157" t="str">
        <f>TEXT(Healthcare_Data[[#This Row],[Visit_Date]],"mmm")</f>
        <v>Feb</v>
      </c>
      <c r="S157">
        <f>MONTH(Healthcare_Data[[#This Row],[Visit_Date]])</f>
        <v>2</v>
      </c>
      <c r="T157" t="str">
        <f>IF(Healthcare_Data[[#This Row],[Final_Bill]]&gt;=50000,"High",IF(Healthcare_Data[[#This Row],[Final_Bill]]&gt;=20000,"Medium","low"))</f>
        <v>low</v>
      </c>
    </row>
    <row r="158" spans="1:20" x14ac:dyDescent="0.3">
      <c r="A158" t="s">
        <v>213</v>
      </c>
      <c r="B158" s="3">
        <v>45711</v>
      </c>
      <c r="C158" t="s">
        <v>50</v>
      </c>
      <c r="D158" t="s">
        <v>51</v>
      </c>
      <c r="E158" t="s">
        <v>20</v>
      </c>
      <c r="F158" t="s">
        <v>21</v>
      </c>
      <c r="G158">
        <v>25</v>
      </c>
      <c r="H158" t="s">
        <v>22</v>
      </c>
      <c r="I158" t="s">
        <v>63</v>
      </c>
      <c r="J158" t="s">
        <v>58</v>
      </c>
      <c r="K158">
        <v>0</v>
      </c>
      <c r="L158" s="4">
        <v>11109</v>
      </c>
      <c r="M158">
        <v>1000</v>
      </c>
      <c r="N158">
        <v>10109</v>
      </c>
      <c r="O158" t="s">
        <v>25</v>
      </c>
      <c r="P158">
        <v>3.7</v>
      </c>
      <c r="Q158">
        <v>89</v>
      </c>
      <c r="R158" t="str">
        <f>TEXT(Healthcare_Data[[#This Row],[Visit_Date]],"mmm")</f>
        <v>Feb</v>
      </c>
      <c r="S158">
        <f>MONTH(Healthcare_Data[[#This Row],[Visit_Date]])</f>
        <v>2</v>
      </c>
      <c r="T158" t="str">
        <f>IF(Healthcare_Data[[#This Row],[Final_Bill]]&gt;=50000,"High",IF(Healthcare_Data[[#This Row],[Final_Bill]]&gt;=20000,"Medium","low"))</f>
        <v>low</v>
      </c>
    </row>
    <row r="159" spans="1:20" x14ac:dyDescent="0.3">
      <c r="A159" t="s">
        <v>214</v>
      </c>
      <c r="B159" s="3">
        <v>45712</v>
      </c>
      <c r="C159" t="s">
        <v>18</v>
      </c>
      <c r="D159" t="s">
        <v>51</v>
      </c>
      <c r="E159" t="s">
        <v>20</v>
      </c>
      <c r="F159" t="s">
        <v>21</v>
      </c>
      <c r="G159">
        <v>66</v>
      </c>
      <c r="H159" t="s">
        <v>46</v>
      </c>
      <c r="I159" t="s">
        <v>61</v>
      </c>
      <c r="J159" t="s">
        <v>24</v>
      </c>
      <c r="K159">
        <v>0</v>
      </c>
      <c r="L159" s="4">
        <v>8053</v>
      </c>
      <c r="M159">
        <v>0</v>
      </c>
      <c r="N159">
        <v>8053</v>
      </c>
      <c r="O159" t="s">
        <v>25</v>
      </c>
      <c r="P159">
        <v>5</v>
      </c>
      <c r="Q159">
        <v>86</v>
      </c>
      <c r="R159" t="str">
        <f>TEXT(Healthcare_Data[[#This Row],[Visit_Date]],"mmm")</f>
        <v>Feb</v>
      </c>
      <c r="S159">
        <f>MONTH(Healthcare_Data[[#This Row],[Visit_Date]])</f>
        <v>2</v>
      </c>
      <c r="T159" t="str">
        <f>IF(Healthcare_Data[[#This Row],[Final_Bill]]&gt;=50000,"High",IF(Healthcare_Data[[#This Row],[Final_Bill]]&gt;=20000,"Medium","low"))</f>
        <v>low</v>
      </c>
    </row>
    <row r="160" spans="1:20" x14ac:dyDescent="0.3">
      <c r="A160" t="s">
        <v>215</v>
      </c>
      <c r="B160" s="3">
        <v>45713</v>
      </c>
      <c r="C160" t="s">
        <v>18</v>
      </c>
      <c r="D160" t="s">
        <v>28</v>
      </c>
      <c r="E160" t="s">
        <v>20</v>
      </c>
      <c r="F160" t="s">
        <v>21</v>
      </c>
      <c r="G160">
        <v>47</v>
      </c>
      <c r="H160" t="s">
        <v>46</v>
      </c>
      <c r="I160" t="s">
        <v>72</v>
      </c>
      <c r="J160" t="s">
        <v>24</v>
      </c>
      <c r="K160">
        <v>0</v>
      </c>
      <c r="L160" s="4">
        <v>5027</v>
      </c>
      <c r="M160">
        <v>1000</v>
      </c>
      <c r="N160">
        <v>4027</v>
      </c>
      <c r="O160" t="s">
        <v>59</v>
      </c>
      <c r="P160">
        <v>2.8</v>
      </c>
      <c r="Q160">
        <v>78</v>
      </c>
      <c r="R160" t="str">
        <f>TEXT(Healthcare_Data[[#This Row],[Visit_Date]],"mmm")</f>
        <v>Feb</v>
      </c>
      <c r="S160">
        <f>MONTH(Healthcare_Data[[#This Row],[Visit_Date]])</f>
        <v>2</v>
      </c>
      <c r="T160" t="str">
        <f>IF(Healthcare_Data[[#This Row],[Final_Bill]]&gt;=50000,"High",IF(Healthcare_Data[[#This Row],[Final_Bill]]&gt;=20000,"Medium","low"))</f>
        <v>low</v>
      </c>
    </row>
    <row r="161" spans="1:20" x14ac:dyDescent="0.3">
      <c r="A161" t="s">
        <v>216</v>
      </c>
      <c r="B161" s="3">
        <v>45713</v>
      </c>
      <c r="C161" t="s">
        <v>67</v>
      </c>
      <c r="D161" t="s">
        <v>51</v>
      </c>
      <c r="E161" t="s">
        <v>54</v>
      </c>
      <c r="F161" t="s">
        <v>21</v>
      </c>
      <c r="G161">
        <v>64</v>
      </c>
      <c r="H161" t="s">
        <v>65</v>
      </c>
      <c r="I161" t="s">
        <v>30</v>
      </c>
      <c r="J161" t="s">
        <v>1057</v>
      </c>
      <c r="K161">
        <v>0</v>
      </c>
      <c r="L161" s="4">
        <v>21025</v>
      </c>
      <c r="M161">
        <v>500</v>
      </c>
      <c r="N161">
        <v>20525</v>
      </c>
      <c r="O161" t="s">
        <v>25</v>
      </c>
      <c r="P161">
        <v>4.9000000000000004</v>
      </c>
      <c r="Q161">
        <v>100</v>
      </c>
      <c r="R161" t="str">
        <f>TEXT(Healthcare_Data[[#This Row],[Visit_Date]],"mmm")</f>
        <v>Feb</v>
      </c>
      <c r="S161">
        <f>MONTH(Healthcare_Data[[#This Row],[Visit_Date]])</f>
        <v>2</v>
      </c>
      <c r="T161" t="str">
        <f>IF(Healthcare_Data[[#This Row],[Final_Bill]]&gt;=50000,"High",IF(Healthcare_Data[[#This Row],[Final_Bill]]&gt;=20000,"Medium","low"))</f>
        <v>Medium</v>
      </c>
    </row>
    <row r="162" spans="1:20" x14ac:dyDescent="0.3">
      <c r="A162" t="s">
        <v>217</v>
      </c>
      <c r="B162" s="3">
        <v>45714</v>
      </c>
      <c r="C162" t="s">
        <v>44</v>
      </c>
      <c r="D162" t="s">
        <v>19</v>
      </c>
      <c r="E162" t="s">
        <v>20</v>
      </c>
      <c r="F162" t="s">
        <v>40</v>
      </c>
      <c r="G162">
        <v>76</v>
      </c>
      <c r="H162" t="s">
        <v>41</v>
      </c>
      <c r="I162" t="s">
        <v>23</v>
      </c>
      <c r="J162" t="s">
        <v>31</v>
      </c>
      <c r="K162">
        <v>0</v>
      </c>
      <c r="L162" s="4">
        <v>8491</v>
      </c>
      <c r="M162">
        <v>0</v>
      </c>
      <c r="N162">
        <v>8491</v>
      </c>
      <c r="O162" t="s">
        <v>25</v>
      </c>
      <c r="P162">
        <v>4</v>
      </c>
      <c r="Q162">
        <v>11</v>
      </c>
      <c r="R162" t="str">
        <f>TEXT(Healthcare_Data[[#This Row],[Visit_Date]],"mmm")</f>
        <v>Feb</v>
      </c>
      <c r="S162">
        <f>MONTH(Healthcare_Data[[#This Row],[Visit_Date]])</f>
        <v>2</v>
      </c>
      <c r="T162" t="str">
        <f>IF(Healthcare_Data[[#This Row],[Final_Bill]]&gt;=50000,"High",IF(Healthcare_Data[[#This Row],[Final_Bill]]&gt;=20000,"Medium","low"))</f>
        <v>low</v>
      </c>
    </row>
    <row r="163" spans="1:20" x14ac:dyDescent="0.3">
      <c r="A163" t="s">
        <v>218</v>
      </c>
      <c r="B163" s="3">
        <v>45715</v>
      </c>
      <c r="C163" t="s">
        <v>18</v>
      </c>
      <c r="D163" t="s">
        <v>28</v>
      </c>
      <c r="E163" t="s">
        <v>20</v>
      </c>
      <c r="F163" t="s">
        <v>40</v>
      </c>
      <c r="G163">
        <v>64</v>
      </c>
      <c r="H163" t="s">
        <v>35</v>
      </c>
      <c r="I163" t="s">
        <v>61</v>
      </c>
      <c r="J163" t="s">
        <v>24</v>
      </c>
      <c r="K163">
        <v>0</v>
      </c>
      <c r="L163" s="4">
        <v>5098</v>
      </c>
      <c r="M163">
        <v>0</v>
      </c>
      <c r="N163">
        <v>5098</v>
      </c>
      <c r="O163" t="s">
        <v>25</v>
      </c>
      <c r="P163">
        <v>4.5</v>
      </c>
      <c r="Q163">
        <v>5</v>
      </c>
      <c r="R163" t="str">
        <f>TEXT(Healthcare_Data[[#This Row],[Visit_Date]],"mmm")</f>
        <v>Feb</v>
      </c>
      <c r="S163">
        <f>MONTH(Healthcare_Data[[#This Row],[Visit_Date]])</f>
        <v>2</v>
      </c>
      <c r="T163" t="str">
        <f>IF(Healthcare_Data[[#This Row],[Final_Bill]]&gt;=50000,"High",IF(Healthcare_Data[[#This Row],[Final_Bill]]&gt;=20000,"Medium","low"))</f>
        <v>low</v>
      </c>
    </row>
    <row r="164" spans="1:20" x14ac:dyDescent="0.3">
      <c r="A164" t="s">
        <v>219</v>
      </c>
      <c r="B164" s="3">
        <v>45715</v>
      </c>
      <c r="C164" t="s">
        <v>54</v>
      </c>
      <c r="D164" t="s">
        <v>34</v>
      </c>
      <c r="E164" t="s">
        <v>20</v>
      </c>
      <c r="F164" t="s">
        <v>40</v>
      </c>
      <c r="G164">
        <v>44</v>
      </c>
      <c r="H164" t="s">
        <v>22</v>
      </c>
      <c r="I164" t="s">
        <v>42</v>
      </c>
      <c r="J164" t="s">
        <v>36</v>
      </c>
      <c r="K164">
        <v>0</v>
      </c>
      <c r="L164" s="4">
        <v>3257</v>
      </c>
      <c r="M164">
        <v>1500</v>
      </c>
      <c r="N164">
        <v>1757</v>
      </c>
      <c r="O164" t="s">
        <v>25</v>
      </c>
      <c r="Q164">
        <v>79</v>
      </c>
      <c r="R164" t="str">
        <f>TEXT(Healthcare_Data[[#This Row],[Visit_Date]],"mmm")</f>
        <v>Feb</v>
      </c>
      <c r="S164">
        <f>MONTH(Healthcare_Data[[#This Row],[Visit_Date]])</f>
        <v>2</v>
      </c>
      <c r="T164" t="str">
        <f>IF(Healthcare_Data[[#This Row],[Final_Bill]]&gt;=50000,"High",IF(Healthcare_Data[[#This Row],[Final_Bill]]&gt;=20000,"Medium","low"))</f>
        <v>low</v>
      </c>
    </row>
    <row r="165" spans="1:20" x14ac:dyDescent="0.3">
      <c r="A165" t="s">
        <v>220</v>
      </c>
      <c r="B165" s="3">
        <v>45715</v>
      </c>
      <c r="C165" t="s">
        <v>50</v>
      </c>
      <c r="D165" t="s">
        <v>19</v>
      </c>
      <c r="E165" t="s">
        <v>54</v>
      </c>
      <c r="F165" t="s">
        <v>21</v>
      </c>
      <c r="G165">
        <v>45</v>
      </c>
      <c r="H165" t="s">
        <v>56</v>
      </c>
      <c r="I165" t="s">
        <v>69</v>
      </c>
      <c r="J165" t="s">
        <v>36</v>
      </c>
      <c r="K165">
        <v>0</v>
      </c>
      <c r="L165" s="4">
        <v>35757</v>
      </c>
      <c r="M165">
        <v>0</v>
      </c>
      <c r="N165">
        <v>35757</v>
      </c>
      <c r="O165" t="s">
        <v>25</v>
      </c>
      <c r="P165">
        <v>3.7</v>
      </c>
      <c r="Q165">
        <v>14</v>
      </c>
      <c r="R165" t="str">
        <f>TEXT(Healthcare_Data[[#This Row],[Visit_Date]],"mmm")</f>
        <v>Feb</v>
      </c>
      <c r="S165">
        <f>MONTH(Healthcare_Data[[#This Row],[Visit_Date]])</f>
        <v>2</v>
      </c>
      <c r="T165" t="str">
        <f>IF(Healthcare_Data[[#This Row],[Final_Bill]]&gt;=50000,"High",IF(Healthcare_Data[[#This Row],[Final_Bill]]&gt;=20000,"Medium","low"))</f>
        <v>Medium</v>
      </c>
    </row>
    <row r="166" spans="1:20" x14ac:dyDescent="0.3">
      <c r="A166" t="s">
        <v>221</v>
      </c>
      <c r="B166" s="3">
        <v>45715</v>
      </c>
      <c r="C166" t="s">
        <v>50</v>
      </c>
      <c r="D166" t="s">
        <v>28</v>
      </c>
      <c r="E166" t="s">
        <v>20</v>
      </c>
      <c r="F166" t="s">
        <v>21</v>
      </c>
      <c r="G166">
        <v>62</v>
      </c>
      <c r="H166" t="s">
        <v>35</v>
      </c>
      <c r="I166" t="s">
        <v>61</v>
      </c>
      <c r="J166" t="s">
        <v>24</v>
      </c>
      <c r="K166">
        <v>0</v>
      </c>
      <c r="L166" s="4">
        <v>9666</v>
      </c>
      <c r="M166">
        <v>500</v>
      </c>
      <c r="N166">
        <v>9166</v>
      </c>
      <c r="O166" t="s">
        <v>25</v>
      </c>
      <c r="P166">
        <v>4.9000000000000004</v>
      </c>
      <c r="Q166">
        <v>53</v>
      </c>
      <c r="R166" t="str">
        <f>TEXT(Healthcare_Data[[#This Row],[Visit_Date]],"mmm")</f>
        <v>Feb</v>
      </c>
      <c r="S166">
        <f>MONTH(Healthcare_Data[[#This Row],[Visit_Date]])</f>
        <v>2</v>
      </c>
      <c r="T166" t="str">
        <f>IF(Healthcare_Data[[#This Row],[Final_Bill]]&gt;=50000,"High",IF(Healthcare_Data[[#This Row],[Final_Bill]]&gt;=20000,"Medium","low"))</f>
        <v>low</v>
      </c>
    </row>
    <row r="167" spans="1:20" x14ac:dyDescent="0.3">
      <c r="A167" t="s">
        <v>222</v>
      </c>
      <c r="B167" s="3">
        <v>45715</v>
      </c>
      <c r="C167" t="s">
        <v>44</v>
      </c>
      <c r="D167" t="s">
        <v>34</v>
      </c>
      <c r="E167" t="s">
        <v>52</v>
      </c>
      <c r="F167" t="s">
        <v>21</v>
      </c>
      <c r="G167">
        <v>35</v>
      </c>
      <c r="H167" t="s">
        <v>46</v>
      </c>
      <c r="I167" t="s">
        <v>63</v>
      </c>
      <c r="J167" t="s">
        <v>24</v>
      </c>
      <c r="K167">
        <v>10</v>
      </c>
      <c r="L167" s="4">
        <v>30732</v>
      </c>
      <c r="M167">
        <v>0</v>
      </c>
      <c r="N167">
        <v>30732</v>
      </c>
      <c r="O167" t="s">
        <v>25</v>
      </c>
      <c r="P167">
        <v>3.1</v>
      </c>
      <c r="Q167">
        <v>16</v>
      </c>
      <c r="R167" t="str">
        <f>TEXT(Healthcare_Data[[#This Row],[Visit_Date]],"mmm")</f>
        <v>Feb</v>
      </c>
      <c r="S167">
        <f>MONTH(Healthcare_Data[[#This Row],[Visit_Date]])</f>
        <v>2</v>
      </c>
      <c r="T167" t="str">
        <f>IF(Healthcare_Data[[#This Row],[Final_Bill]]&gt;=50000,"High",IF(Healthcare_Data[[#This Row],[Final_Bill]]&gt;=20000,"Medium","low"))</f>
        <v>Medium</v>
      </c>
    </row>
    <row r="168" spans="1:20" x14ac:dyDescent="0.3">
      <c r="A168" t="s">
        <v>223</v>
      </c>
      <c r="B168" s="3">
        <v>45715</v>
      </c>
      <c r="C168" t="s">
        <v>44</v>
      </c>
      <c r="D168" t="s">
        <v>19</v>
      </c>
      <c r="E168" t="s">
        <v>20</v>
      </c>
      <c r="F168" t="s">
        <v>21</v>
      </c>
      <c r="G168">
        <v>52</v>
      </c>
      <c r="H168" t="s">
        <v>22</v>
      </c>
      <c r="I168" t="s">
        <v>72</v>
      </c>
      <c r="J168" t="s">
        <v>58</v>
      </c>
      <c r="K168">
        <v>0</v>
      </c>
      <c r="L168" s="4">
        <v>15679</v>
      </c>
      <c r="M168">
        <v>0</v>
      </c>
      <c r="N168">
        <v>15679</v>
      </c>
      <c r="O168" t="s">
        <v>32</v>
      </c>
      <c r="P168">
        <v>3.8</v>
      </c>
      <c r="Q168">
        <v>49</v>
      </c>
      <c r="R168" t="str">
        <f>TEXT(Healthcare_Data[[#This Row],[Visit_Date]],"mmm")</f>
        <v>Feb</v>
      </c>
      <c r="S168">
        <f>MONTH(Healthcare_Data[[#This Row],[Visit_Date]])</f>
        <v>2</v>
      </c>
      <c r="T168" t="str">
        <f>IF(Healthcare_Data[[#This Row],[Final_Bill]]&gt;=50000,"High",IF(Healthcare_Data[[#This Row],[Final_Bill]]&gt;=20000,"Medium","low"))</f>
        <v>low</v>
      </c>
    </row>
    <row r="169" spans="1:20" x14ac:dyDescent="0.3">
      <c r="A169" t="s">
        <v>224</v>
      </c>
      <c r="B169" s="3">
        <v>45716</v>
      </c>
      <c r="C169" t="s">
        <v>54</v>
      </c>
      <c r="D169" t="s">
        <v>34</v>
      </c>
      <c r="E169" t="s">
        <v>52</v>
      </c>
      <c r="F169" t="s">
        <v>40</v>
      </c>
      <c r="G169">
        <v>47</v>
      </c>
      <c r="H169" t="s">
        <v>65</v>
      </c>
      <c r="I169" t="s">
        <v>57</v>
      </c>
      <c r="J169" t="s">
        <v>24</v>
      </c>
      <c r="K169">
        <v>13</v>
      </c>
      <c r="L169" s="4">
        <v>22396</v>
      </c>
      <c r="M169">
        <v>1500</v>
      </c>
      <c r="N169">
        <v>20896</v>
      </c>
      <c r="O169" t="s">
        <v>59</v>
      </c>
      <c r="P169">
        <v>3.6</v>
      </c>
      <c r="Q169">
        <v>12</v>
      </c>
      <c r="R169" t="str">
        <f>TEXT(Healthcare_Data[[#This Row],[Visit_Date]],"mmm")</f>
        <v>Feb</v>
      </c>
      <c r="S169">
        <f>MONTH(Healthcare_Data[[#This Row],[Visit_Date]])</f>
        <v>2</v>
      </c>
      <c r="T169" t="str">
        <f>IF(Healthcare_Data[[#This Row],[Final_Bill]]&gt;=50000,"High",IF(Healthcare_Data[[#This Row],[Final_Bill]]&gt;=20000,"Medium","low"))</f>
        <v>Medium</v>
      </c>
    </row>
    <row r="170" spans="1:20" x14ac:dyDescent="0.3">
      <c r="A170" t="s">
        <v>225</v>
      </c>
      <c r="B170" s="3">
        <v>45717</v>
      </c>
      <c r="C170" t="s">
        <v>67</v>
      </c>
      <c r="D170" t="s">
        <v>19</v>
      </c>
      <c r="E170" t="s">
        <v>52</v>
      </c>
      <c r="F170" t="s">
        <v>21</v>
      </c>
      <c r="G170">
        <v>54</v>
      </c>
      <c r="H170" t="s">
        <v>46</v>
      </c>
      <c r="I170" t="s">
        <v>57</v>
      </c>
      <c r="J170" t="s">
        <v>31</v>
      </c>
      <c r="K170">
        <v>7</v>
      </c>
      <c r="L170" s="4">
        <v>27047</v>
      </c>
      <c r="M170">
        <v>0</v>
      </c>
      <c r="N170">
        <v>27047</v>
      </c>
      <c r="O170" t="s">
        <v>25</v>
      </c>
      <c r="P170">
        <v>4.9000000000000004</v>
      </c>
      <c r="Q170">
        <v>31</v>
      </c>
      <c r="R170" t="str">
        <f>TEXT(Healthcare_Data[[#This Row],[Visit_Date]],"mmm")</f>
        <v>Mar</v>
      </c>
      <c r="S170">
        <f>MONTH(Healthcare_Data[[#This Row],[Visit_Date]])</f>
        <v>3</v>
      </c>
      <c r="T170" t="str">
        <f>IF(Healthcare_Data[[#This Row],[Final_Bill]]&gt;=50000,"High",IF(Healthcare_Data[[#This Row],[Final_Bill]]&gt;=20000,"Medium","low"))</f>
        <v>Medium</v>
      </c>
    </row>
    <row r="171" spans="1:20" x14ac:dyDescent="0.3">
      <c r="A171" t="s">
        <v>226</v>
      </c>
      <c r="B171" s="3">
        <v>45717</v>
      </c>
      <c r="C171" t="s">
        <v>38</v>
      </c>
      <c r="D171" t="s">
        <v>19</v>
      </c>
      <c r="E171" t="s">
        <v>20</v>
      </c>
      <c r="F171" t="s">
        <v>40</v>
      </c>
      <c r="G171">
        <v>67</v>
      </c>
      <c r="H171" t="s">
        <v>46</v>
      </c>
      <c r="I171" t="s">
        <v>63</v>
      </c>
      <c r="J171" t="s">
        <v>58</v>
      </c>
      <c r="K171">
        <v>0</v>
      </c>
      <c r="L171" s="4">
        <v>5877</v>
      </c>
      <c r="M171">
        <v>500</v>
      </c>
      <c r="N171">
        <v>5377</v>
      </c>
      <c r="O171" t="s">
        <v>25</v>
      </c>
      <c r="P171">
        <v>4.9000000000000004</v>
      </c>
      <c r="Q171">
        <v>112</v>
      </c>
      <c r="R171" t="str">
        <f>TEXT(Healthcare_Data[[#This Row],[Visit_Date]],"mmm")</f>
        <v>Mar</v>
      </c>
      <c r="S171">
        <f>MONTH(Healthcare_Data[[#This Row],[Visit_Date]])</f>
        <v>3</v>
      </c>
      <c r="T171" t="str">
        <f>IF(Healthcare_Data[[#This Row],[Final_Bill]]&gt;=50000,"High",IF(Healthcare_Data[[#This Row],[Final_Bill]]&gt;=20000,"Medium","low"))</f>
        <v>low</v>
      </c>
    </row>
    <row r="172" spans="1:20" x14ac:dyDescent="0.3">
      <c r="A172" t="s">
        <v>227</v>
      </c>
      <c r="B172" s="3">
        <v>45718</v>
      </c>
      <c r="C172" t="s">
        <v>67</v>
      </c>
      <c r="D172" t="s">
        <v>28</v>
      </c>
      <c r="E172" t="s">
        <v>52</v>
      </c>
      <c r="F172" t="s">
        <v>21</v>
      </c>
      <c r="G172">
        <v>45</v>
      </c>
      <c r="H172" t="s">
        <v>46</v>
      </c>
      <c r="I172" t="s">
        <v>69</v>
      </c>
      <c r="J172" t="s">
        <v>58</v>
      </c>
      <c r="K172">
        <v>10</v>
      </c>
      <c r="L172" s="4">
        <v>51135</v>
      </c>
      <c r="M172">
        <v>2000</v>
      </c>
      <c r="N172">
        <v>49135</v>
      </c>
      <c r="O172" t="s">
        <v>25</v>
      </c>
      <c r="P172">
        <v>4.2</v>
      </c>
      <c r="Q172">
        <v>26</v>
      </c>
      <c r="R172" t="str">
        <f>TEXT(Healthcare_Data[[#This Row],[Visit_Date]],"mmm")</f>
        <v>Mar</v>
      </c>
      <c r="S172">
        <f>MONTH(Healthcare_Data[[#This Row],[Visit_Date]])</f>
        <v>3</v>
      </c>
      <c r="T172" t="str">
        <f>IF(Healthcare_Data[[#This Row],[Final_Bill]]&gt;=50000,"High",IF(Healthcare_Data[[#This Row],[Final_Bill]]&gt;=20000,"Medium","low"))</f>
        <v>Medium</v>
      </c>
    </row>
    <row r="173" spans="1:20" x14ac:dyDescent="0.3">
      <c r="A173" t="s">
        <v>228</v>
      </c>
      <c r="B173" s="3">
        <v>45718</v>
      </c>
      <c r="C173" t="s">
        <v>38</v>
      </c>
      <c r="D173" t="s">
        <v>34</v>
      </c>
      <c r="E173" t="s">
        <v>20</v>
      </c>
      <c r="F173" t="s">
        <v>21</v>
      </c>
      <c r="G173">
        <v>18</v>
      </c>
      <c r="H173" t="s">
        <v>35</v>
      </c>
      <c r="I173" t="s">
        <v>23</v>
      </c>
      <c r="J173" t="s">
        <v>31</v>
      </c>
      <c r="K173">
        <v>0</v>
      </c>
      <c r="L173" s="4">
        <v>7397</v>
      </c>
      <c r="M173">
        <v>1000</v>
      </c>
      <c r="N173">
        <v>6397</v>
      </c>
      <c r="O173" t="s">
        <v>25</v>
      </c>
      <c r="P173">
        <v>4.4000000000000004</v>
      </c>
      <c r="Q173">
        <v>100</v>
      </c>
      <c r="R173" t="str">
        <f>TEXT(Healthcare_Data[[#This Row],[Visit_Date]],"mmm")</f>
        <v>Mar</v>
      </c>
      <c r="S173">
        <f>MONTH(Healthcare_Data[[#This Row],[Visit_Date]])</f>
        <v>3</v>
      </c>
      <c r="T173" t="str">
        <f>IF(Healthcare_Data[[#This Row],[Final_Bill]]&gt;=50000,"High",IF(Healthcare_Data[[#This Row],[Final_Bill]]&gt;=20000,"Medium","low"))</f>
        <v>low</v>
      </c>
    </row>
    <row r="174" spans="1:20" x14ac:dyDescent="0.3">
      <c r="A174" t="s">
        <v>229</v>
      </c>
      <c r="B174" s="3">
        <v>45719</v>
      </c>
      <c r="C174" t="s">
        <v>38</v>
      </c>
      <c r="D174" t="s">
        <v>34</v>
      </c>
      <c r="E174" t="s">
        <v>52</v>
      </c>
      <c r="F174" t="s">
        <v>40</v>
      </c>
      <c r="G174">
        <v>35</v>
      </c>
      <c r="H174" t="s">
        <v>29</v>
      </c>
      <c r="I174" t="s">
        <v>57</v>
      </c>
      <c r="J174" t="s">
        <v>58</v>
      </c>
      <c r="K174">
        <v>10</v>
      </c>
      <c r="L174" s="4">
        <v>20206</v>
      </c>
      <c r="M174">
        <v>0</v>
      </c>
      <c r="N174">
        <v>20206</v>
      </c>
      <c r="O174" t="s">
        <v>32</v>
      </c>
      <c r="P174">
        <v>4.5999999999999996</v>
      </c>
      <c r="Q174">
        <v>106</v>
      </c>
      <c r="R174" t="str">
        <f>TEXT(Healthcare_Data[[#This Row],[Visit_Date]],"mmm")</f>
        <v>Mar</v>
      </c>
      <c r="S174">
        <f>MONTH(Healthcare_Data[[#This Row],[Visit_Date]])</f>
        <v>3</v>
      </c>
      <c r="T174" t="str">
        <f>IF(Healthcare_Data[[#This Row],[Final_Bill]]&gt;=50000,"High",IF(Healthcare_Data[[#This Row],[Final_Bill]]&gt;=20000,"Medium","low"))</f>
        <v>Medium</v>
      </c>
    </row>
    <row r="175" spans="1:20" x14ac:dyDescent="0.3">
      <c r="A175" t="s">
        <v>230</v>
      </c>
      <c r="B175" s="3">
        <v>45719</v>
      </c>
      <c r="C175" t="s">
        <v>54</v>
      </c>
      <c r="D175" t="s">
        <v>28</v>
      </c>
      <c r="E175" t="s">
        <v>20</v>
      </c>
      <c r="F175" t="s">
        <v>21</v>
      </c>
      <c r="G175">
        <v>57</v>
      </c>
      <c r="H175" t="s">
        <v>65</v>
      </c>
      <c r="I175" t="s">
        <v>63</v>
      </c>
      <c r="J175" t="s">
        <v>31</v>
      </c>
      <c r="K175">
        <v>0</v>
      </c>
      <c r="L175" s="4">
        <v>17578</v>
      </c>
      <c r="M175">
        <v>0</v>
      </c>
      <c r="N175">
        <v>17578</v>
      </c>
      <c r="O175" t="s">
        <v>32</v>
      </c>
      <c r="P175">
        <v>4.0999999999999996</v>
      </c>
      <c r="Q175">
        <v>13</v>
      </c>
      <c r="R175" t="str">
        <f>TEXT(Healthcare_Data[[#This Row],[Visit_Date]],"mmm")</f>
        <v>Mar</v>
      </c>
      <c r="S175">
        <f>MONTH(Healthcare_Data[[#This Row],[Visit_Date]])</f>
        <v>3</v>
      </c>
      <c r="T175" t="str">
        <f>IF(Healthcare_Data[[#This Row],[Final_Bill]]&gt;=50000,"High",IF(Healthcare_Data[[#This Row],[Final_Bill]]&gt;=20000,"Medium","low"))</f>
        <v>low</v>
      </c>
    </row>
    <row r="176" spans="1:20" x14ac:dyDescent="0.3">
      <c r="A176" t="s">
        <v>231</v>
      </c>
      <c r="B176" s="3">
        <v>45719</v>
      </c>
      <c r="C176" t="s">
        <v>38</v>
      </c>
      <c r="D176" t="s">
        <v>51</v>
      </c>
      <c r="E176" t="s">
        <v>52</v>
      </c>
      <c r="F176" t="s">
        <v>21</v>
      </c>
      <c r="G176">
        <v>54</v>
      </c>
      <c r="H176" t="s">
        <v>35</v>
      </c>
      <c r="I176" t="s">
        <v>69</v>
      </c>
      <c r="J176" t="s">
        <v>58</v>
      </c>
      <c r="K176">
        <v>13</v>
      </c>
      <c r="L176" s="4">
        <v>47848</v>
      </c>
      <c r="M176">
        <v>0</v>
      </c>
      <c r="N176">
        <v>47848</v>
      </c>
      <c r="O176" t="s">
        <v>25</v>
      </c>
      <c r="P176">
        <v>2.9</v>
      </c>
      <c r="Q176">
        <v>113</v>
      </c>
      <c r="R176" t="str">
        <f>TEXT(Healthcare_Data[[#This Row],[Visit_Date]],"mmm")</f>
        <v>Mar</v>
      </c>
      <c r="S176">
        <f>MONTH(Healthcare_Data[[#This Row],[Visit_Date]])</f>
        <v>3</v>
      </c>
      <c r="T176" t="str">
        <f>IF(Healthcare_Data[[#This Row],[Final_Bill]]&gt;=50000,"High",IF(Healthcare_Data[[#This Row],[Final_Bill]]&gt;=20000,"Medium","low"))</f>
        <v>Medium</v>
      </c>
    </row>
    <row r="177" spans="1:20" x14ac:dyDescent="0.3">
      <c r="A177" t="s">
        <v>232</v>
      </c>
      <c r="B177" s="3">
        <v>45719</v>
      </c>
      <c r="C177" t="s">
        <v>27</v>
      </c>
      <c r="D177" t="s">
        <v>28</v>
      </c>
      <c r="E177" t="s">
        <v>20</v>
      </c>
      <c r="F177" t="s">
        <v>21</v>
      </c>
      <c r="G177">
        <v>41</v>
      </c>
      <c r="H177" t="s">
        <v>41</v>
      </c>
      <c r="I177" t="s">
        <v>57</v>
      </c>
      <c r="J177" t="s">
        <v>24</v>
      </c>
      <c r="K177">
        <v>0</v>
      </c>
      <c r="L177" s="4">
        <v>7164</v>
      </c>
      <c r="M177">
        <v>0</v>
      </c>
      <c r="N177">
        <v>7164</v>
      </c>
      <c r="O177" t="s">
        <v>25</v>
      </c>
      <c r="P177">
        <v>3.4</v>
      </c>
      <c r="Q177">
        <v>7</v>
      </c>
      <c r="R177" t="str">
        <f>TEXT(Healthcare_Data[[#This Row],[Visit_Date]],"mmm")</f>
        <v>Mar</v>
      </c>
      <c r="S177">
        <f>MONTH(Healthcare_Data[[#This Row],[Visit_Date]])</f>
        <v>3</v>
      </c>
      <c r="T177" t="str">
        <f>IF(Healthcare_Data[[#This Row],[Final_Bill]]&gt;=50000,"High",IF(Healthcare_Data[[#This Row],[Final_Bill]]&gt;=20000,"Medium","low"))</f>
        <v>low</v>
      </c>
    </row>
    <row r="178" spans="1:20" x14ac:dyDescent="0.3">
      <c r="A178" t="s">
        <v>233</v>
      </c>
      <c r="B178" s="3">
        <v>45720</v>
      </c>
      <c r="C178" t="s">
        <v>44</v>
      </c>
      <c r="D178" t="s">
        <v>19</v>
      </c>
      <c r="E178" t="s">
        <v>20</v>
      </c>
      <c r="F178" t="s">
        <v>21</v>
      </c>
      <c r="G178">
        <v>40</v>
      </c>
      <c r="H178" t="s">
        <v>22</v>
      </c>
      <c r="I178" t="s">
        <v>23</v>
      </c>
      <c r="J178" t="s">
        <v>31</v>
      </c>
      <c r="K178">
        <v>0</v>
      </c>
      <c r="L178" s="4">
        <v>17620</v>
      </c>
      <c r="M178">
        <v>0</v>
      </c>
      <c r="N178">
        <v>17620</v>
      </c>
      <c r="O178" t="s">
        <v>25</v>
      </c>
      <c r="P178">
        <v>4.9000000000000004</v>
      </c>
      <c r="Q178">
        <v>110</v>
      </c>
      <c r="R178" t="str">
        <f>TEXT(Healthcare_Data[[#This Row],[Visit_Date]],"mmm")</f>
        <v>Mar</v>
      </c>
      <c r="S178">
        <f>MONTH(Healthcare_Data[[#This Row],[Visit_Date]])</f>
        <v>3</v>
      </c>
      <c r="T178" t="str">
        <f>IF(Healthcare_Data[[#This Row],[Final_Bill]]&gt;=50000,"High",IF(Healthcare_Data[[#This Row],[Final_Bill]]&gt;=20000,"Medium","low"))</f>
        <v>low</v>
      </c>
    </row>
    <row r="179" spans="1:20" x14ac:dyDescent="0.3">
      <c r="A179" t="s">
        <v>234</v>
      </c>
      <c r="B179" s="3">
        <v>45720</v>
      </c>
      <c r="C179" t="s">
        <v>48</v>
      </c>
      <c r="D179" t="s">
        <v>34</v>
      </c>
      <c r="E179" t="s">
        <v>20</v>
      </c>
      <c r="F179" t="s">
        <v>40</v>
      </c>
      <c r="G179">
        <v>19</v>
      </c>
      <c r="H179" t="s">
        <v>22</v>
      </c>
      <c r="I179" t="s">
        <v>42</v>
      </c>
      <c r="J179" t="s">
        <v>24</v>
      </c>
      <c r="K179">
        <v>0</v>
      </c>
      <c r="L179" s="4">
        <v>13325</v>
      </c>
      <c r="M179">
        <v>0</v>
      </c>
      <c r="N179">
        <v>13325</v>
      </c>
      <c r="O179" t="s">
        <v>25</v>
      </c>
      <c r="P179">
        <v>3.2</v>
      </c>
      <c r="Q179">
        <v>44</v>
      </c>
      <c r="R179" t="str">
        <f>TEXT(Healthcare_Data[[#This Row],[Visit_Date]],"mmm")</f>
        <v>Mar</v>
      </c>
      <c r="S179">
        <f>MONTH(Healthcare_Data[[#This Row],[Visit_Date]])</f>
        <v>3</v>
      </c>
      <c r="T179" t="str">
        <f>IF(Healthcare_Data[[#This Row],[Final_Bill]]&gt;=50000,"High",IF(Healthcare_Data[[#This Row],[Final_Bill]]&gt;=20000,"Medium","low"))</f>
        <v>low</v>
      </c>
    </row>
    <row r="180" spans="1:20" x14ac:dyDescent="0.3">
      <c r="A180" t="s">
        <v>235</v>
      </c>
      <c r="B180" s="3">
        <v>45720</v>
      </c>
      <c r="C180" t="s">
        <v>54</v>
      </c>
      <c r="D180" t="s">
        <v>39</v>
      </c>
      <c r="E180" t="s">
        <v>20</v>
      </c>
      <c r="F180" t="s">
        <v>40</v>
      </c>
      <c r="G180">
        <v>23</v>
      </c>
      <c r="H180" t="s">
        <v>56</v>
      </c>
      <c r="I180" t="s">
        <v>69</v>
      </c>
      <c r="J180" t="s">
        <v>24</v>
      </c>
      <c r="K180">
        <v>0</v>
      </c>
      <c r="L180" s="4">
        <v>8732</v>
      </c>
      <c r="M180">
        <v>1000</v>
      </c>
      <c r="N180">
        <v>7732</v>
      </c>
      <c r="O180" t="s">
        <v>59</v>
      </c>
      <c r="P180">
        <v>2.8</v>
      </c>
      <c r="Q180">
        <v>93</v>
      </c>
      <c r="R180" t="str">
        <f>TEXT(Healthcare_Data[[#This Row],[Visit_Date]],"mmm")</f>
        <v>Mar</v>
      </c>
      <c r="S180">
        <f>MONTH(Healthcare_Data[[#This Row],[Visit_Date]])</f>
        <v>3</v>
      </c>
      <c r="T180" t="str">
        <f>IF(Healthcare_Data[[#This Row],[Final_Bill]]&gt;=50000,"High",IF(Healthcare_Data[[#This Row],[Final_Bill]]&gt;=20000,"Medium","low"))</f>
        <v>low</v>
      </c>
    </row>
    <row r="181" spans="1:20" x14ac:dyDescent="0.3">
      <c r="A181" t="s">
        <v>236</v>
      </c>
      <c r="B181" s="3">
        <v>45720</v>
      </c>
      <c r="C181" t="s">
        <v>44</v>
      </c>
      <c r="D181" t="s">
        <v>51</v>
      </c>
      <c r="E181" t="s">
        <v>52</v>
      </c>
      <c r="F181" t="s">
        <v>21</v>
      </c>
      <c r="G181">
        <v>42</v>
      </c>
      <c r="H181" t="s">
        <v>35</v>
      </c>
      <c r="I181" t="s">
        <v>69</v>
      </c>
      <c r="J181" t="s">
        <v>24</v>
      </c>
      <c r="K181">
        <v>6</v>
      </c>
      <c r="L181" s="4">
        <v>54032</v>
      </c>
      <c r="M181">
        <v>1000</v>
      </c>
      <c r="N181">
        <v>53032</v>
      </c>
      <c r="O181" t="s">
        <v>32</v>
      </c>
      <c r="P181">
        <v>3.5</v>
      </c>
      <c r="Q181">
        <v>51</v>
      </c>
      <c r="R181" t="str">
        <f>TEXT(Healthcare_Data[[#This Row],[Visit_Date]],"mmm")</f>
        <v>Mar</v>
      </c>
      <c r="S181">
        <f>MONTH(Healthcare_Data[[#This Row],[Visit_Date]])</f>
        <v>3</v>
      </c>
      <c r="T181" t="str">
        <f>IF(Healthcare_Data[[#This Row],[Final_Bill]]&gt;=50000,"High",IF(Healthcare_Data[[#This Row],[Final_Bill]]&gt;=20000,"Medium","low"))</f>
        <v>High</v>
      </c>
    </row>
    <row r="182" spans="1:20" x14ac:dyDescent="0.3">
      <c r="A182" t="s">
        <v>237</v>
      </c>
      <c r="B182" s="3">
        <v>45722</v>
      </c>
      <c r="C182" t="s">
        <v>48</v>
      </c>
      <c r="D182" t="s">
        <v>51</v>
      </c>
      <c r="E182" t="s">
        <v>20</v>
      </c>
      <c r="F182" t="s">
        <v>21</v>
      </c>
      <c r="G182">
        <v>71</v>
      </c>
      <c r="H182" t="s">
        <v>41</v>
      </c>
      <c r="I182" t="s">
        <v>23</v>
      </c>
      <c r="J182" t="s">
        <v>24</v>
      </c>
      <c r="K182">
        <v>0</v>
      </c>
      <c r="L182" s="4">
        <v>19298</v>
      </c>
      <c r="M182">
        <v>1000</v>
      </c>
      <c r="N182">
        <v>18298</v>
      </c>
      <c r="O182" t="s">
        <v>32</v>
      </c>
      <c r="P182">
        <v>2.8</v>
      </c>
      <c r="Q182">
        <v>43</v>
      </c>
      <c r="R182" t="str">
        <f>TEXT(Healthcare_Data[[#This Row],[Visit_Date]],"mmm")</f>
        <v>Mar</v>
      </c>
      <c r="S182">
        <f>MONTH(Healthcare_Data[[#This Row],[Visit_Date]])</f>
        <v>3</v>
      </c>
      <c r="T182" t="str">
        <f>IF(Healthcare_Data[[#This Row],[Final_Bill]]&gt;=50000,"High",IF(Healthcare_Data[[#This Row],[Final_Bill]]&gt;=20000,"Medium","low"))</f>
        <v>low</v>
      </c>
    </row>
    <row r="183" spans="1:20" x14ac:dyDescent="0.3">
      <c r="A183" t="s">
        <v>238</v>
      </c>
      <c r="B183" s="3">
        <v>45722</v>
      </c>
      <c r="C183" t="s">
        <v>44</v>
      </c>
      <c r="D183" t="s">
        <v>19</v>
      </c>
      <c r="E183" t="s">
        <v>20</v>
      </c>
      <c r="F183" t="s">
        <v>40</v>
      </c>
      <c r="G183">
        <v>48</v>
      </c>
      <c r="H183" t="s">
        <v>46</v>
      </c>
      <c r="I183" t="s">
        <v>57</v>
      </c>
      <c r="J183" t="s">
        <v>24</v>
      </c>
      <c r="K183">
        <v>0</v>
      </c>
      <c r="L183" s="4">
        <v>19550</v>
      </c>
      <c r="M183">
        <v>1500</v>
      </c>
      <c r="N183">
        <v>18050</v>
      </c>
      <c r="O183" t="s">
        <v>25</v>
      </c>
      <c r="P183">
        <v>4.5</v>
      </c>
      <c r="Q183">
        <v>13</v>
      </c>
      <c r="R183" t="str">
        <f>TEXT(Healthcare_Data[[#This Row],[Visit_Date]],"mmm")</f>
        <v>Mar</v>
      </c>
      <c r="S183">
        <f>MONTH(Healthcare_Data[[#This Row],[Visit_Date]])</f>
        <v>3</v>
      </c>
      <c r="T183" t="str">
        <f>IF(Healthcare_Data[[#This Row],[Final_Bill]]&gt;=50000,"High",IF(Healthcare_Data[[#This Row],[Final_Bill]]&gt;=20000,"Medium","low"))</f>
        <v>low</v>
      </c>
    </row>
    <row r="184" spans="1:20" x14ac:dyDescent="0.3">
      <c r="A184" t="s">
        <v>239</v>
      </c>
      <c r="B184" s="3">
        <v>45722</v>
      </c>
      <c r="C184" t="s">
        <v>54</v>
      </c>
      <c r="D184" t="s">
        <v>19</v>
      </c>
      <c r="E184" t="s">
        <v>20</v>
      </c>
      <c r="F184" t="s">
        <v>21</v>
      </c>
      <c r="G184">
        <v>24</v>
      </c>
      <c r="H184" t="s">
        <v>46</v>
      </c>
      <c r="I184" t="s">
        <v>61</v>
      </c>
      <c r="J184" t="s">
        <v>36</v>
      </c>
      <c r="K184">
        <v>0</v>
      </c>
      <c r="L184" s="4">
        <v>18606</v>
      </c>
      <c r="M184">
        <v>0</v>
      </c>
      <c r="N184">
        <v>18606</v>
      </c>
      <c r="O184" t="s">
        <v>25</v>
      </c>
      <c r="Q184">
        <v>66</v>
      </c>
      <c r="R184" t="str">
        <f>TEXT(Healthcare_Data[[#This Row],[Visit_Date]],"mmm")</f>
        <v>Mar</v>
      </c>
      <c r="S184">
        <f>MONTH(Healthcare_Data[[#This Row],[Visit_Date]])</f>
        <v>3</v>
      </c>
      <c r="T184" t="str">
        <f>IF(Healthcare_Data[[#This Row],[Final_Bill]]&gt;=50000,"High",IF(Healthcare_Data[[#This Row],[Final_Bill]]&gt;=20000,"Medium","low"))</f>
        <v>low</v>
      </c>
    </row>
    <row r="185" spans="1:20" x14ac:dyDescent="0.3">
      <c r="A185" t="s">
        <v>240</v>
      </c>
      <c r="B185" s="3">
        <v>45723</v>
      </c>
      <c r="C185" t="s">
        <v>27</v>
      </c>
      <c r="D185" t="s">
        <v>28</v>
      </c>
      <c r="E185" t="s">
        <v>20</v>
      </c>
      <c r="F185" t="s">
        <v>21</v>
      </c>
      <c r="G185">
        <v>43</v>
      </c>
      <c r="H185" t="s">
        <v>115</v>
      </c>
      <c r="I185" t="s">
        <v>72</v>
      </c>
      <c r="J185" t="s">
        <v>36</v>
      </c>
      <c r="K185">
        <v>0</v>
      </c>
      <c r="L185" s="4">
        <v>7397</v>
      </c>
      <c r="M185">
        <v>1000</v>
      </c>
      <c r="N185">
        <v>6397</v>
      </c>
      <c r="O185" t="s">
        <v>59</v>
      </c>
      <c r="P185">
        <v>4.2</v>
      </c>
      <c r="Q185">
        <v>91</v>
      </c>
      <c r="R185" t="str">
        <f>TEXT(Healthcare_Data[[#This Row],[Visit_Date]],"mmm")</f>
        <v>Mar</v>
      </c>
      <c r="S185">
        <f>MONTH(Healthcare_Data[[#This Row],[Visit_Date]])</f>
        <v>3</v>
      </c>
      <c r="T185" t="str">
        <f>IF(Healthcare_Data[[#This Row],[Final_Bill]]&gt;=50000,"High",IF(Healthcare_Data[[#This Row],[Final_Bill]]&gt;=20000,"Medium","low"))</f>
        <v>low</v>
      </c>
    </row>
    <row r="186" spans="1:20" x14ac:dyDescent="0.3">
      <c r="A186" t="s">
        <v>241</v>
      </c>
      <c r="B186" s="3">
        <v>45723</v>
      </c>
      <c r="C186" t="s">
        <v>67</v>
      </c>
      <c r="D186" t="s">
        <v>39</v>
      </c>
      <c r="E186" t="s">
        <v>54</v>
      </c>
      <c r="F186" t="s">
        <v>40</v>
      </c>
      <c r="G186">
        <v>56</v>
      </c>
      <c r="H186" t="s">
        <v>115</v>
      </c>
      <c r="I186" t="s">
        <v>61</v>
      </c>
      <c r="J186" t="s">
        <v>24</v>
      </c>
      <c r="K186">
        <v>0</v>
      </c>
      <c r="L186" s="4">
        <v>30391</v>
      </c>
      <c r="M186">
        <v>0</v>
      </c>
      <c r="N186">
        <v>30391</v>
      </c>
      <c r="O186" t="s">
        <v>32</v>
      </c>
      <c r="P186">
        <v>3.5</v>
      </c>
      <c r="Q186">
        <v>83</v>
      </c>
      <c r="R186" t="str">
        <f>TEXT(Healthcare_Data[[#This Row],[Visit_Date]],"mmm")</f>
        <v>Mar</v>
      </c>
      <c r="S186">
        <f>MONTH(Healthcare_Data[[#This Row],[Visit_Date]])</f>
        <v>3</v>
      </c>
      <c r="T186" t="str">
        <f>IF(Healthcare_Data[[#This Row],[Final_Bill]]&gt;=50000,"High",IF(Healthcare_Data[[#This Row],[Final_Bill]]&gt;=20000,"Medium","low"))</f>
        <v>Medium</v>
      </c>
    </row>
    <row r="187" spans="1:20" x14ac:dyDescent="0.3">
      <c r="A187" t="s">
        <v>242</v>
      </c>
      <c r="B187" s="3">
        <v>45724</v>
      </c>
      <c r="C187" t="s">
        <v>27</v>
      </c>
      <c r="D187" t="s">
        <v>19</v>
      </c>
      <c r="E187" t="s">
        <v>20</v>
      </c>
      <c r="F187" t="s">
        <v>40</v>
      </c>
      <c r="G187">
        <v>43</v>
      </c>
      <c r="H187" t="s">
        <v>22</v>
      </c>
      <c r="I187" t="s">
        <v>57</v>
      </c>
      <c r="J187" t="s">
        <v>36</v>
      </c>
      <c r="K187">
        <v>0</v>
      </c>
      <c r="L187" s="4">
        <v>10613</v>
      </c>
      <c r="M187">
        <v>500</v>
      </c>
      <c r="N187">
        <v>10113</v>
      </c>
      <c r="O187" t="s">
        <v>25</v>
      </c>
      <c r="P187">
        <v>4</v>
      </c>
      <c r="Q187">
        <v>102</v>
      </c>
      <c r="R187" t="str">
        <f>TEXT(Healthcare_Data[[#This Row],[Visit_Date]],"mmm")</f>
        <v>Mar</v>
      </c>
      <c r="S187">
        <f>MONTH(Healthcare_Data[[#This Row],[Visit_Date]])</f>
        <v>3</v>
      </c>
      <c r="T187" t="str">
        <f>IF(Healthcare_Data[[#This Row],[Final_Bill]]&gt;=50000,"High",IF(Healthcare_Data[[#This Row],[Final_Bill]]&gt;=20000,"Medium","low"))</f>
        <v>low</v>
      </c>
    </row>
    <row r="188" spans="1:20" x14ac:dyDescent="0.3">
      <c r="A188" t="s">
        <v>243</v>
      </c>
      <c r="B188" s="3">
        <v>45725</v>
      </c>
      <c r="C188" t="s">
        <v>54</v>
      </c>
      <c r="D188" t="s">
        <v>34</v>
      </c>
      <c r="E188" t="s">
        <v>20</v>
      </c>
      <c r="F188" t="s">
        <v>21</v>
      </c>
      <c r="G188">
        <v>19</v>
      </c>
      <c r="H188" t="s">
        <v>56</v>
      </c>
      <c r="I188" t="s">
        <v>61</v>
      </c>
      <c r="J188" t="s">
        <v>24</v>
      </c>
      <c r="K188">
        <v>0</v>
      </c>
      <c r="L188" s="4">
        <v>19253</v>
      </c>
      <c r="M188">
        <v>1000</v>
      </c>
      <c r="N188">
        <v>18253</v>
      </c>
      <c r="O188" t="s">
        <v>25</v>
      </c>
      <c r="P188">
        <v>4.4000000000000004</v>
      </c>
      <c r="Q188">
        <v>10</v>
      </c>
      <c r="R188" t="str">
        <f>TEXT(Healthcare_Data[[#This Row],[Visit_Date]],"mmm")</f>
        <v>Mar</v>
      </c>
      <c r="S188">
        <f>MONTH(Healthcare_Data[[#This Row],[Visit_Date]])</f>
        <v>3</v>
      </c>
      <c r="T188" t="str">
        <f>IF(Healthcare_Data[[#This Row],[Final_Bill]]&gt;=50000,"High",IF(Healthcare_Data[[#This Row],[Final_Bill]]&gt;=20000,"Medium","low"))</f>
        <v>low</v>
      </c>
    </row>
    <row r="189" spans="1:20" x14ac:dyDescent="0.3">
      <c r="A189" t="s">
        <v>244</v>
      </c>
      <c r="B189" s="3">
        <v>45725</v>
      </c>
      <c r="C189" t="s">
        <v>27</v>
      </c>
      <c r="D189" t="s">
        <v>28</v>
      </c>
      <c r="E189" t="s">
        <v>20</v>
      </c>
      <c r="F189" t="s">
        <v>40</v>
      </c>
      <c r="G189">
        <v>76</v>
      </c>
      <c r="H189" t="s">
        <v>115</v>
      </c>
      <c r="I189" t="s">
        <v>30</v>
      </c>
      <c r="J189" t="s">
        <v>36</v>
      </c>
      <c r="K189">
        <v>0</v>
      </c>
      <c r="L189" s="4">
        <v>14676</v>
      </c>
      <c r="M189">
        <v>1000</v>
      </c>
      <c r="N189">
        <v>13676</v>
      </c>
      <c r="O189" t="s">
        <v>25</v>
      </c>
      <c r="P189">
        <v>4.4000000000000004</v>
      </c>
      <c r="Q189">
        <v>107</v>
      </c>
      <c r="R189" t="str">
        <f>TEXT(Healthcare_Data[[#This Row],[Visit_Date]],"mmm")</f>
        <v>Mar</v>
      </c>
      <c r="S189">
        <f>MONTH(Healthcare_Data[[#This Row],[Visit_Date]])</f>
        <v>3</v>
      </c>
      <c r="T189" t="str">
        <f>IF(Healthcare_Data[[#This Row],[Final_Bill]]&gt;=50000,"High",IF(Healthcare_Data[[#This Row],[Final_Bill]]&gt;=20000,"Medium","low"))</f>
        <v>low</v>
      </c>
    </row>
    <row r="190" spans="1:20" x14ac:dyDescent="0.3">
      <c r="A190" t="s">
        <v>245</v>
      </c>
      <c r="B190" s="3">
        <v>45726</v>
      </c>
      <c r="C190" t="s">
        <v>48</v>
      </c>
      <c r="D190" t="s">
        <v>39</v>
      </c>
      <c r="E190" t="s">
        <v>20</v>
      </c>
      <c r="F190" t="s">
        <v>40</v>
      </c>
      <c r="G190">
        <v>80</v>
      </c>
      <c r="H190" t="s">
        <v>35</v>
      </c>
      <c r="I190" t="s">
        <v>63</v>
      </c>
      <c r="J190" t="s">
        <v>31</v>
      </c>
      <c r="K190">
        <v>0</v>
      </c>
      <c r="L190" s="4">
        <v>19361</v>
      </c>
      <c r="M190">
        <v>0</v>
      </c>
      <c r="N190">
        <v>19361</v>
      </c>
      <c r="O190" t="s">
        <v>25</v>
      </c>
      <c r="P190">
        <v>4.3</v>
      </c>
      <c r="Q190">
        <v>49</v>
      </c>
      <c r="R190" t="str">
        <f>TEXT(Healthcare_Data[[#This Row],[Visit_Date]],"mmm")</f>
        <v>Mar</v>
      </c>
      <c r="S190">
        <f>MONTH(Healthcare_Data[[#This Row],[Visit_Date]])</f>
        <v>3</v>
      </c>
      <c r="T190" t="str">
        <f>IF(Healthcare_Data[[#This Row],[Final_Bill]]&gt;=50000,"High",IF(Healthcare_Data[[#This Row],[Final_Bill]]&gt;=20000,"Medium","low"))</f>
        <v>low</v>
      </c>
    </row>
    <row r="191" spans="1:20" x14ac:dyDescent="0.3">
      <c r="A191" t="s">
        <v>246</v>
      </c>
      <c r="B191" s="3">
        <v>45726</v>
      </c>
      <c r="C191" t="s">
        <v>50</v>
      </c>
      <c r="D191" t="s">
        <v>39</v>
      </c>
      <c r="E191" t="s">
        <v>20</v>
      </c>
      <c r="F191" t="s">
        <v>21</v>
      </c>
      <c r="G191">
        <v>76</v>
      </c>
      <c r="H191" t="s">
        <v>115</v>
      </c>
      <c r="I191" t="s">
        <v>30</v>
      </c>
      <c r="J191" t="s">
        <v>24</v>
      </c>
      <c r="K191">
        <v>0</v>
      </c>
      <c r="L191" s="4">
        <v>7313</v>
      </c>
      <c r="M191">
        <v>0</v>
      </c>
      <c r="N191">
        <v>7313</v>
      </c>
      <c r="O191" t="s">
        <v>59</v>
      </c>
      <c r="Q191">
        <v>77</v>
      </c>
      <c r="R191" t="str">
        <f>TEXT(Healthcare_Data[[#This Row],[Visit_Date]],"mmm")</f>
        <v>Mar</v>
      </c>
      <c r="S191">
        <f>MONTH(Healthcare_Data[[#This Row],[Visit_Date]])</f>
        <v>3</v>
      </c>
      <c r="T191" t="str">
        <f>IF(Healthcare_Data[[#This Row],[Final_Bill]]&gt;=50000,"High",IF(Healthcare_Data[[#This Row],[Final_Bill]]&gt;=20000,"Medium","low"))</f>
        <v>low</v>
      </c>
    </row>
    <row r="192" spans="1:20" x14ac:dyDescent="0.3">
      <c r="A192" t="s">
        <v>247</v>
      </c>
      <c r="B192" s="3">
        <v>45726</v>
      </c>
      <c r="C192" t="s">
        <v>27</v>
      </c>
      <c r="D192" t="s">
        <v>19</v>
      </c>
      <c r="E192" t="s">
        <v>52</v>
      </c>
      <c r="F192" t="s">
        <v>40</v>
      </c>
      <c r="G192">
        <v>26</v>
      </c>
      <c r="H192" t="s">
        <v>56</v>
      </c>
      <c r="I192" t="s">
        <v>23</v>
      </c>
      <c r="J192" t="s">
        <v>24</v>
      </c>
      <c r="K192">
        <v>11</v>
      </c>
      <c r="L192" s="4">
        <v>26525</v>
      </c>
      <c r="M192">
        <v>500</v>
      </c>
      <c r="N192">
        <v>26025</v>
      </c>
      <c r="O192" t="s">
        <v>32</v>
      </c>
      <c r="P192">
        <v>3.7</v>
      </c>
      <c r="Q192">
        <v>54</v>
      </c>
      <c r="R192" t="str">
        <f>TEXT(Healthcare_Data[[#This Row],[Visit_Date]],"mmm")</f>
        <v>Mar</v>
      </c>
      <c r="S192">
        <f>MONTH(Healthcare_Data[[#This Row],[Visit_Date]])</f>
        <v>3</v>
      </c>
      <c r="T192" t="str">
        <f>IF(Healthcare_Data[[#This Row],[Final_Bill]]&gt;=50000,"High",IF(Healthcare_Data[[#This Row],[Final_Bill]]&gt;=20000,"Medium","low"))</f>
        <v>Medium</v>
      </c>
    </row>
    <row r="193" spans="1:20" x14ac:dyDescent="0.3">
      <c r="A193" t="s">
        <v>248</v>
      </c>
      <c r="B193" s="3">
        <v>45726</v>
      </c>
      <c r="C193" t="s">
        <v>50</v>
      </c>
      <c r="D193" t="s">
        <v>19</v>
      </c>
      <c r="E193" t="s">
        <v>20</v>
      </c>
      <c r="F193" t="s">
        <v>40</v>
      </c>
      <c r="G193">
        <v>37</v>
      </c>
      <c r="H193" t="s">
        <v>29</v>
      </c>
      <c r="I193" t="s">
        <v>23</v>
      </c>
      <c r="J193" t="s">
        <v>31</v>
      </c>
      <c r="K193">
        <v>0</v>
      </c>
      <c r="L193" s="4">
        <v>16503</v>
      </c>
      <c r="M193">
        <v>1500</v>
      </c>
      <c r="N193">
        <v>15003</v>
      </c>
      <c r="O193" t="s">
        <v>25</v>
      </c>
      <c r="P193">
        <v>3.8</v>
      </c>
      <c r="Q193">
        <v>28</v>
      </c>
      <c r="R193" t="str">
        <f>TEXT(Healthcare_Data[[#This Row],[Visit_Date]],"mmm")</f>
        <v>Mar</v>
      </c>
      <c r="S193">
        <f>MONTH(Healthcare_Data[[#This Row],[Visit_Date]])</f>
        <v>3</v>
      </c>
      <c r="T193" t="str">
        <f>IF(Healthcare_Data[[#This Row],[Final_Bill]]&gt;=50000,"High",IF(Healthcare_Data[[#This Row],[Final_Bill]]&gt;=20000,"Medium","low"))</f>
        <v>low</v>
      </c>
    </row>
    <row r="194" spans="1:20" x14ac:dyDescent="0.3">
      <c r="A194" t="s">
        <v>249</v>
      </c>
      <c r="B194" s="3">
        <v>45727</v>
      </c>
      <c r="C194" t="s">
        <v>18</v>
      </c>
      <c r="D194" t="s">
        <v>28</v>
      </c>
      <c r="E194" t="s">
        <v>54</v>
      </c>
      <c r="F194" t="s">
        <v>21</v>
      </c>
      <c r="G194">
        <v>18</v>
      </c>
      <c r="H194" t="s">
        <v>115</v>
      </c>
      <c r="I194" t="s">
        <v>57</v>
      </c>
      <c r="J194" t="s">
        <v>31</v>
      </c>
      <c r="K194">
        <v>0</v>
      </c>
      <c r="L194" s="4">
        <v>14475</v>
      </c>
      <c r="M194">
        <v>1000</v>
      </c>
      <c r="N194">
        <v>13475</v>
      </c>
      <c r="O194" t="s">
        <v>25</v>
      </c>
      <c r="P194">
        <v>3.9</v>
      </c>
      <c r="Q194">
        <v>48</v>
      </c>
      <c r="R194" t="str">
        <f>TEXT(Healthcare_Data[[#This Row],[Visit_Date]],"mmm")</f>
        <v>Mar</v>
      </c>
      <c r="S194">
        <f>MONTH(Healthcare_Data[[#This Row],[Visit_Date]])</f>
        <v>3</v>
      </c>
      <c r="T194" t="str">
        <f>IF(Healthcare_Data[[#This Row],[Final_Bill]]&gt;=50000,"High",IF(Healthcare_Data[[#This Row],[Final_Bill]]&gt;=20000,"Medium","low"))</f>
        <v>low</v>
      </c>
    </row>
    <row r="195" spans="1:20" x14ac:dyDescent="0.3">
      <c r="A195" t="s">
        <v>250</v>
      </c>
      <c r="B195" s="3">
        <v>45727</v>
      </c>
      <c r="C195" t="s">
        <v>27</v>
      </c>
      <c r="D195" t="s">
        <v>51</v>
      </c>
      <c r="E195" t="s">
        <v>20</v>
      </c>
      <c r="F195" t="s">
        <v>40</v>
      </c>
      <c r="G195">
        <v>64</v>
      </c>
      <c r="H195" t="s">
        <v>115</v>
      </c>
      <c r="I195" t="s">
        <v>72</v>
      </c>
      <c r="J195" t="s">
        <v>58</v>
      </c>
      <c r="K195">
        <v>0</v>
      </c>
      <c r="L195" s="4">
        <v>2915</v>
      </c>
      <c r="M195">
        <v>0</v>
      </c>
      <c r="N195">
        <v>2915</v>
      </c>
      <c r="O195" t="s">
        <v>25</v>
      </c>
      <c r="P195">
        <v>3</v>
      </c>
      <c r="Q195">
        <v>61</v>
      </c>
      <c r="R195" t="str">
        <f>TEXT(Healthcare_Data[[#This Row],[Visit_Date]],"mmm")</f>
        <v>Mar</v>
      </c>
      <c r="S195">
        <f>MONTH(Healthcare_Data[[#This Row],[Visit_Date]])</f>
        <v>3</v>
      </c>
      <c r="T195" t="str">
        <f>IF(Healthcare_Data[[#This Row],[Final_Bill]]&gt;=50000,"High",IF(Healthcare_Data[[#This Row],[Final_Bill]]&gt;=20000,"Medium","low"))</f>
        <v>low</v>
      </c>
    </row>
    <row r="196" spans="1:20" x14ac:dyDescent="0.3">
      <c r="A196" t="s">
        <v>251</v>
      </c>
      <c r="B196" s="3">
        <v>45729</v>
      </c>
      <c r="C196" t="s">
        <v>44</v>
      </c>
      <c r="D196" t="s">
        <v>39</v>
      </c>
      <c r="E196" t="s">
        <v>20</v>
      </c>
      <c r="F196" t="s">
        <v>40</v>
      </c>
      <c r="G196">
        <v>19</v>
      </c>
      <c r="H196" t="s">
        <v>35</v>
      </c>
      <c r="I196" t="s">
        <v>72</v>
      </c>
      <c r="J196" t="s">
        <v>36</v>
      </c>
      <c r="K196">
        <v>0</v>
      </c>
      <c r="L196" s="4">
        <v>12358</v>
      </c>
      <c r="M196">
        <v>0</v>
      </c>
      <c r="N196">
        <v>12358</v>
      </c>
      <c r="O196" t="s">
        <v>25</v>
      </c>
      <c r="P196">
        <v>4.3</v>
      </c>
      <c r="Q196">
        <v>69</v>
      </c>
      <c r="R196" t="str">
        <f>TEXT(Healthcare_Data[[#This Row],[Visit_Date]],"mmm")</f>
        <v>Mar</v>
      </c>
      <c r="S196">
        <f>MONTH(Healthcare_Data[[#This Row],[Visit_Date]])</f>
        <v>3</v>
      </c>
      <c r="T196" t="str">
        <f>IF(Healthcare_Data[[#This Row],[Final_Bill]]&gt;=50000,"High",IF(Healthcare_Data[[#This Row],[Final_Bill]]&gt;=20000,"Medium","low"))</f>
        <v>low</v>
      </c>
    </row>
    <row r="197" spans="1:20" x14ac:dyDescent="0.3">
      <c r="A197" t="s">
        <v>252</v>
      </c>
      <c r="B197" s="3">
        <v>45729</v>
      </c>
      <c r="C197" t="s">
        <v>48</v>
      </c>
      <c r="D197" t="s">
        <v>39</v>
      </c>
      <c r="E197" t="s">
        <v>20</v>
      </c>
      <c r="F197" t="s">
        <v>21</v>
      </c>
      <c r="G197">
        <v>33</v>
      </c>
      <c r="H197" t="s">
        <v>46</v>
      </c>
      <c r="I197" t="s">
        <v>72</v>
      </c>
      <c r="J197" t="s">
        <v>31</v>
      </c>
      <c r="K197">
        <v>0</v>
      </c>
      <c r="L197" s="4">
        <v>13457</v>
      </c>
      <c r="M197">
        <v>1000</v>
      </c>
      <c r="N197">
        <v>12457</v>
      </c>
      <c r="O197" t="s">
        <v>25</v>
      </c>
      <c r="P197">
        <v>3.5</v>
      </c>
      <c r="Q197">
        <v>75</v>
      </c>
      <c r="R197" t="str">
        <f>TEXT(Healthcare_Data[[#This Row],[Visit_Date]],"mmm")</f>
        <v>Mar</v>
      </c>
      <c r="S197">
        <f>MONTH(Healthcare_Data[[#This Row],[Visit_Date]])</f>
        <v>3</v>
      </c>
      <c r="T197" t="str">
        <f>IF(Healthcare_Data[[#This Row],[Final_Bill]]&gt;=50000,"High",IF(Healthcare_Data[[#This Row],[Final_Bill]]&gt;=20000,"Medium","low"))</f>
        <v>low</v>
      </c>
    </row>
    <row r="198" spans="1:20" x14ac:dyDescent="0.3">
      <c r="A198" t="s">
        <v>253</v>
      </c>
      <c r="B198" s="3">
        <v>45730</v>
      </c>
      <c r="C198" t="s">
        <v>18</v>
      </c>
      <c r="D198" t="s">
        <v>39</v>
      </c>
      <c r="E198" t="s">
        <v>54</v>
      </c>
      <c r="F198" t="s">
        <v>40</v>
      </c>
      <c r="G198">
        <v>26</v>
      </c>
      <c r="H198" t="s">
        <v>46</v>
      </c>
      <c r="I198" t="s">
        <v>57</v>
      </c>
      <c r="J198" t="s">
        <v>24</v>
      </c>
      <c r="K198">
        <v>0</v>
      </c>
      <c r="L198" s="4">
        <v>12512</v>
      </c>
      <c r="M198">
        <v>1000</v>
      </c>
      <c r="N198">
        <v>11512</v>
      </c>
      <c r="O198" t="s">
        <v>25</v>
      </c>
      <c r="P198">
        <v>3.2</v>
      </c>
      <c r="Q198">
        <v>106</v>
      </c>
      <c r="R198" t="str">
        <f>TEXT(Healthcare_Data[[#This Row],[Visit_Date]],"mmm")</f>
        <v>Mar</v>
      </c>
      <c r="S198">
        <f>MONTH(Healthcare_Data[[#This Row],[Visit_Date]])</f>
        <v>3</v>
      </c>
      <c r="T198" t="str">
        <f>IF(Healthcare_Data[[#This Row],[Final_Bill]]&gt;=50000,"High",IF(Healthcare_Data[[#This Row],[Final_Bill]]&gt;=20000,"Medium","low"))</f>
        <v>low</v>
      </c>
    </row>
    <row r="199" spans="1:20" x14ac:dyDescent="0.3">
      <c r="A199" t="s">
        <v>254</v>
      </c>
      <c r="B199" s="3">
        <v>45731</v>
      </c>
      <c r="C199" t="s">
        <v>44</v>
      </c>
      <c r="D199" t="s">
        <v>34</v>
      </c>
      <c r="E199" t="s">
        <v>52</v>
      </c>
      <c r="F199" t="s">
        <v>21</v>
      </c>
      <c r="G199">
        <v>78</v>
      </c>
      <c r="H199" t="s">
        <v>35</v>
      </c>
      <c r="I199" t="s">
        <v>72</v>
      </c>
      <c r="J199" t="s">
        <v>24</v>
      </c>
      <c r="K199">
        <v>11</v>
      </c>
      <c r="L199" s="4">
        <v>60657</v>
      </c>
      <c r="M199">
        <v>500</v>
      </c>
      <c r="N199">
        <v>60157</v>
      </c>
      <c r="O199" t="s">
        <v>25</v>
      </c>
      <c r="P199">
        <v>4.7</v>
      </c>
      <c r="Q199">
        <v>11</v>
      </c>
      <c r="R199" t="str">
        <f>TEXT(Healthcare_Data[[#This Row],[Visit_Date]],"mmm")</f>
        <v>Mar</v>
      </c>
      <c r="S199">
        <f>MONTH(Healthcare_Data[[#This Row],[Visit_Date]])</f>
        <v>3</v>
      </c>
      <c r="T199" t="str">
        <f>IF(Healthcare_Data[[#This Row],[Final_Bill]]&gt;=50000,"High",IF(Healthcare_Data[[#This Row],[Final_Bill]]&gt;=20000,"Medium","low"))</f>
        <v>High</v>
      </c>
    </row>
    <row r="200" spans="1:20" x14ac:dyDescent="0.3">
      <c r="A200" t="s">
        <v>255</v>
      </c>
      <c r="B200" s="3">
        <v>45732</v>
      </c>
      <c r="C200" t="s">
        <v>48</v>
      </c>
      <c r="D200" t="s">
        <v>51</v>
      </c>
      <c r="E200" t="s">
        <v>20</v>
      </c>
      <c r="F200" t="s">
        <v>40</v>
      </c>
      <c r="G200">
        <v>40</v>
      </c>
      <c r="H200" t="s">
        <v>46</v>
      </c>
      <c r="I200" t="s">
        <v>57</v>
      </c>
      <c r="J200" t="s">
        <v>24</v>
      </c>
      <c r="K200">
        <v>0</v>
      </c>
      <c r="L200" s="4">
        <v>15957</v>
      </c>
      <c r="M200">
        <v>1000</v>
      </c>
      <c r="N200">
        <v>14957</v>
      </c>
      <c r="O200" t="s">
        <v>25</v>
      </c>
      <c r="P200">
        <v>2.9</v>
      </c>
      <c r="Q200">
        <v>74</v>
      </c>
      <c r="R200" t="str">
        <f>TEXT(Healthcare_Data[[#This Row],[Visit_Date]],"mmm")</f>
        <v>Mar</v>
      </c>
      <c r="S200">
        <f>MONTH(Healthcare_Data[[#This Row],[Visit_Date]])</f>
        <v>3</v>
      </c>
      <c r="T200" t="str">
        <f>IF(Healthcare_Data[[#This Row],[Final_Bill]]&gt;=50000,"High",IF(Healthcare_Data[[#This Row],[Final_Bill]]&gt;=20000,"Medium","low"))</f>
        <v>low</v>
      </c>
    </row>
    <row r="201" spans="1:20" x14ac:dyDescent="0.3">
      <c r="A201" t="s">
        <v>256</v>
      </c>
      <c r="B201" s="3">
        <v>45732</v>
      </c>
      <c r="C201" t="s">
        <v>50</v>
      </c>
      <c r="D201" t="s">
        <v>28</v>
      </c>
      <c r="E201" t="s">
        <v>20</v>
      </c>
      <c r="F201" t="s">
        <v>21</v>
      </c>
      <c r="G201">
        <v>77</v>
      </c>
      <c r="H201" t="s">
        <v>115</v>
      </c>
      <c r="I201" t="s">
        <v>61</v>
      </c>
      <c r="J201" t="s">
        <v>36</v>
      </c>
      <c r="K201">
        <v>0</v>
      </c>
      <c r="L201" s="4">
        <v>13383</v>
      </c>
      <c r="M201">
        <v>2000</v>
      </c>
      <c r="N201">
        <v>11383</v>
      </c>
      <c r="O201" t="s">
        <v>59</v>
      </c>
      <c r="P201">
        <v>4.2</v>
      </c>
      <c r="Q201">
        <v>78</v>
      </c>
      <c r="R201" t="str">
        <f>TEXT(Healthcare_Data[[#This Row],[Visit_Date]],"mmm")</f>
        <v>Mar</v>
      </c>
      <c r="S201">
        <f>MONTH(Healthcare_Data[[#This Row],[Visit_Date]])</f>
        <v>3</v>
      </c>
      <c r="T201" t="str">
        <f>IF(Healthcare_Data[[#This Row],[Final_Bill]]&gt;=50000,"High",IF(Healthcare_Data[[#This Row],[Final_Bill]]&gt;=20000,"Medium","low"))</f>
        <v>low</v>
      </c>
    </row>
    <row r="202" spans="1:20" x14ac:dyDescent="0.3">
      <c r="A202" t="s">
        <v>257</v>
      </c>
      <c r="B202" s="3">
        <v>45732</v>
      </c>
      <c r="C202" t="s">
        <v>18</v>
      </c>
      <c r="D202" t="s">
        <v>28</v>
      </c>
      <c r="E202" t="s">
        <v>54</v>
      </c>
      <c r="F202" t="s">
        <v>21</v>
      </c>
      <c r="G202">
        <v>69</v>
      </c>
      <c r="H202" t="s">
        <v>29</v>
      </c>
      <c r="I202" t="s">
        <v>69</v>
      </c>
      <c r="J202" t="s">
        <v>31</v>
      </c>
      <c r="K202">
        <v>0</v>
      </c>
      <c r="L202" s="4">
        <v>35624</v>
      </c>
      <c r="M202">
        <v>1000</v>
      </c>
      <c r="N202">
        <v>34624</v>
      </c>
      <c r="O202" t="s">
        <v>32</v>
      </c>
      <c r="P202">
        <v>2.8</v>
      </c>
      <c r="Q202">
        <v>120</v>
      </c>
      <c r="R202" t="str">
        <f>TEXT(Healthcare_Data[[#This Row],[Visit_Date]],"mmm")</f>
        <v>Mar</v>
      </c>
      <c r="S202">
        <f>MONTH(Healthcare_Data[[#This Row],[Visit_Date]])</f>
        <v>3</v>
      </c>
      <c r="T202" t="str">
        <f>IF(Healthcare_Data[[#This Row],[Final_Bill]]&gt;=50000,"High",IF(Healthcare_Data[[#This Row],[Final_Bill]]&gt;=20000,"Medium","low"))</f>
        <v>Medium</v>
      </c>
    </row>
    <row r="203" spans="1:20" x14ac:dyDescent="0.3">
      <c r="A203" t="s">
        <v>258</v>
      </c>
      <c r="B203" s="3">
        <v>45732</v>
      </c>
      <c r="C203" t="s">
        <v>67</v>
      </c>
      <c r="D203" t="s">
        <v>51</v>
      </c>
      <c r="E203" t="s">
        <v>20</v>
      </c>
      <c r="F203" t="s">
        <v>21</v>
      </c>
      <c r="G203">
        <v>53</v>
      </c>
      <c r="H203" t="s">
        <v>29</v>
      </c>
      <c r="I203" t="s">
        <v>63</v>
      </c>
      <c r="J203" t="s">
        <v>24</v>
      </c>
      <c r="K203">
        <v>0</v>
      </c>
      <c r="L203" s="4">
        <v>11827</v>
      </c>
      <c r="M203">
        <v>1000</v>
      </c>
      <c r="N203">
        <v>10827</v>
      </c>
      <c r="O203" t="s">
        <v>25</v>
      </c>
      <c r="Q203">
        <v>19</v>
      </c>
      <c r="R203" t="str">
        <f>TEXT(Healthcare_Data[[#This Row],[Visit_Date]],"mmm")</f>
        <v>Mar</v>
      </c>
      <c r="S203">
        <f>MONTH(Healthcare_Data[[#This Row],[Visit_Date]])</f>
        <v>3</v>
      </c>
      <c r="T203" t="str">
        <f>IF(Healthcare_Data[[#This Row],[Final_Bill]]&gt;=50000,"High",IF(Healthcare_Data[[#This Row],[Final_Bill]]&gt;=20000,"Medium","low"))</f>
        <v>low</v>
      </c>
    </row>
    <row r="204" spans="1:20" x14ac:dyDescent="0.3">
      <c r="A204" t="s">
        <v>259</v>
      </c>
      <c r="B204" s="3">
        <v>45733</v>
      </c>
      <c r="C204" t="s">
        <v>27</v>
      </c>
      <c r="D204" t="s">
        <v>19</v>
      </c>
      <c r="E204" t="s">
        <v>20</v>
      </c>
      <c r="F204" t="s">
        <v>40</v>
      </c>
      <c r="G204">
        <v>25</v>
      </c>
      <c r="H204" t="s">
        <v>65</v>
      </c>
      <c r="I204" t="s">
        <v>57</v>
      </c>
      <c r="J204" t="s">
        <v>24</v>
      </c>
      <c r="K204">
        <v>0</v>
      </c>
      <c r="L204" s="4">
        <v>17907</v>
      </c>
      <c r="M204">
        <v>2000</v>
      </c>
      <c r="N204">
        <v>15907</v>
      </c>
      <c r="O204" t="s">
        <v>59</v>
      </c>
      <c r="P204">
        <v>4.9000000000000004</v>
      </c>
      <c r="Q204">
        <v>118</v>
      </c>
      <c r="R204" t="str">
        <f>TEXT(Healthcare_Data[[#This Row],[Visit_Date]],"mmm")</f>
        <v>Mar</v>
      </c>
      <c r="S204">
        <f>MONTH(Healthcare_Data[[#This Row],[Visit_Date]])</f>
        <v>3</v>
      </c>
      <c r="T204" t="str">
        <f>IF(Healthcare_Data[[#This Row],[Final_Bill]]&gt;=50000,"High",IF(Healthcare_Data[[#This Row],[Final_Bill]]&gt;=20000,"Medium","low"))</f>
        <v>low</v>
      </c>
    </row>
    <row r="205" spans="1:20" x14ac:dyDescent="0.3">
      <c r="A205" t="s">
        <v>260</v>
      </c>
      <c r="B205" s="3">
        <v>45733</v>
      </c>
      <c r="C205" t="s">
        <v>50</v>
      </c>
      <c r="D205" t="s">
        <v>19</v>
      </c>
      <c r="E205" t="s">
        <v>54</v>
      </c>
      <c r="F205" t="s">
        <v>40</v>
      </c>
      <c r="G205">
        <v>29</v>
      </c>
      <c r="H205" t="s">
        <v>41</v>
      </c>
      <c r="I205" t="s">
        <v>57</v>
      </c>
      <c r="J205" t="s">
        <v>58</v>
      </c>
      <c r="K205">
        <v>0</v>
      </c>
      <c r="L205" s="4">
        <v>12083</v>
      </c>
      <c r="M205">
        <v>1000</v>
      </c>
      <c r="N205">
        <v>11083</v>
      </c>
      <c r="O205" t="s">
        <v>32</v>
      </c>
      <c r="P205">
        <v>3.3</v>
      </c>
      <c r="Q205">
        <v>96</v>
      </c>
      <c r="R205" t="str">
        <f>TEXT(Healthcare_Data[[#This Row],[Visit_Date]],"mmm")</f>
        <v>Mar</v>
      </c>
      <c r="S205">
        <f>MONTH(Healthcare_Data[[#This Row],[Visit_Date]])</f>
        <v>3</v>
      </c>
      <c r="T205" t="str">
        <f>IF(Healthcare_Data[[#This Row],[Final_Bill]]&gt;=50000,"High",IF(Healthcare_Data[[#This Row],[Final_Bill]]&gt;=20000,"Medium","low"))</f>
        <v>low</v>
      </c>
    </row>
    <row r="206" spans="1:20" x14ac:dyDescent="0.3">
      <c r="A206" t="s">
        <v>261</v>
      </c>
      <c r="B206" s="3">
        <v>45733</v>
      </c>
      <c r="C206" t="s">
        <v>54</v>
      </c>
      <c r="D206" t="s">
        <v>28</v>
      </c>
      <c r="E206" t="s">
        <v>52</v>
      </c>
      <c r="F206" t="s">
        <v>40</v>
      </c>
      <c r="G206">
        <v>78</v>
      </c>
      <c r="H206" t="s">
        <v>115</v>
      </c>
      <c r="I206" t="s">
        <v>63</v>
      </c>
      <c r="J206" t="s">
        <v>36</v>
      </c>
      <c r="K206">
        <v>1</v>
      </c>
      <c r="L206" s="4">
        <v>28435</v>
      </c>
      <c r="M206">
        <v>0</v>
      </c>
      <c r="N206">
        <v>28435</v>
      </c>
      <c r="O206" t="s">
        <v>25</v>
      </c>
      <c r="P206">
        <v>2.6</v>
      </c>
      <c r="Q206">
        <v>69</v>
      </c>
      <c r="R206" t="str">
        <f>TEXT(Healthcare_Data[[#This Row],[Visit_Date]],"mmm")</f>
        <v>Mar</v>
      </c>
      <c r="S206">
        <f>MONTH(Healthcare_Data[[#This Row],[Visit_Date]])</f>
        <v>3</v>
      </c>
      <c r="T206" t="str">
        <f>IF(Healthcare_Data[[#This Row],[Final_Bill]]&gt;=50000,"High",IF(Healthcare_Data[[#This Row],[Final_Bill]]&gt;=20000,"Medium","low"))</f>
        <v>Medium</v>
      </c>
    </row>
    <row r="207" spans="1:20" x14ac:dyDescent="0.3">
      <c r="A207" t="s">
        <v>262</v>
      </c>
      <c r="B207" s="3">
        <v>45735</v>
      </c>
      <c r="C207" t="s">
        <v>38</v>
      </c>
      <c r="D207" t="s">
        <v>51</v>
      </c>
      <c r="E207" t="s">
        <v>20</v>
      </c>
      <c r="F207" t="s">
        <v>40</v>
      </c>
      <c r="G207">
        <v>66</v>
      </c>
      <c r="H207" t="s">
        <v>46</v>
      </c>
      <c r="I207" t="s">
        <v>30</v>
      </c>
      <c r="J207" t="s">
        <v>31</v>
      </c>
      <c r="K207">
        <v>0</v>
      </c>
      <c r="L207" s="4">
        <v>9808</v>
      </c>
      <c r="M207">
        <v>0</v>
      </c>
      <c r="N207">
        <v>9808</v>
      </c>
      <c r="O207" t="s">
        <v>25</v>
      </c>
      <c r="P207">
        <v>3.6</v>
      </c>
      <c r="Q207">
        <v>34</v>
      </c>
      <c r="R207" t="str">
        <f>TEXT(Healthcare_Data[[#This Row],[Visit_Date]],"mmm")</f>
        <v>Mar</v>
      </c>
      <c r="S207">
        <f>MONTH(Healthcare_Data[[#This Row],[Visit_Date]])</f>
        <v>3</v>
      </c>
      <c r="T207" t="str">
        <f>IF(Healthcare_Data[[#This Row],[Final_Bill]]&gt;=50000,"High",IF(Healthcare_Data[[#This Row],[Final_Bill]]&gt;=20000,"Medium","low"))</f>
        <v>low</v>
      </c>
    </row>
    <row r="208" spans="1:20" x14ac:dyDescent="0.3">
      <c r="A208" t="s">
        <v>263</v>
      </c>
      <c r="B208" s="3">
        <v>45735</v>
      </c>
      <c r="C208" t="s">
        <v>18</v>
      </c>
      <c r="D208" t="s">
        <v>19</v>
      </c>
      <c r="E208" t="s">
        <v>54</v>
      </c>
      <c r="F208" t="s">
        <v>21</v>
      </c>
      <c r="G208">
        <v>20</v>
      </c>
      <c r="H208" t="s">
        <v>56</v>
      </c>
      <c r="I208" t="s">
        <v>61</v>
      </c>
      <c r="J208" t="s">
        <v>24</v>
      </c>
      <c r="K208">
        <v>0</v>
      </c>
      <c r="L208" s="4">
        <v>40535</v>
      </c>
      <c r="M208">
        <v>500</v>
      </c>
      <c r="N208">
        <v>40035</v>
      </c>
      <c r="O208" t="s">
        <v>25</v>
      </c>
      <c r="P208">
        <v>4.7</v>
      </c>
      <c r="Q208">
        <v>60</v>
      </c>
      <c r="R208" t="str">
        <f>TEXT(Healthcare_Data[[#This Row],[Visit_Date]],"mmm")</f>
        <v>Mar</v>
      </c>
      <c r="S208">
        <f>MONTH(Healthcare_Data[[#This Row],[Visit_Date]])</f>
        <v>3</v>
      </c>
      <c r="T208" t="str">
        <f>IF(Healthcare_Data[[#This Row],[Final_Bill]]&gt;=50000,"High",IF(Healthcare_Data[[#This Row],[Final_Bill]]&gt;=20000,"Medium","low"))</f>
        <v>Medium</v>
      </c>
    </row>
    <row r="209" spans="1:20" x14ac:dyDescent="0.3">
      <c r="A209" t="s">
        <v>264</v>
      </c>
      <c r="B209" s="3">
        <v>45735</v>
      </c>
      <c r="C209" t="s">
        <v>67</v>
      </c>
      <c r="D209" t="s">
        <v>39</v>
      </c>
      <c r="E209" t="s">
        <v>20</v>
      </c>
      <c r="F209" t="s">
        <v>21</v>
      </c>
      <c r="G209">
        <v>42</v>
      </c>
      <c r="H209" t="s">
        <v>35</v>
      </c>
      <c r="I209" t="s">
        <v>42</v>
      </c>
      <c r="J209" t="s">
        <v>58</v>
      </c>
      <c r="K209">
        <v>0</v>
      </c>
      <c r="L209" s="4">
        <v>14377</v>
      </c>
      <c r="M209">
        <v>0</v>
      </c>
      <c r="N209">
        <v>14377</v>
      </c>
      <c r="O209" t="s">
        <v>25</v>
      </c>
      <c r="P209">
        <v>4.4000000000000004</v>
      </c>
      <c r="Q209">
        <v>86</v>
      </c>
      <c r="R209" t="str">
        <f>TEXT(Healthcare_Data[[#This Row],[Visit_Date]],"mmm")</f>
        <v>Mar</v>
      </c>
      <c r="S209">
        <f>MONTH(Healthcare_Data[[#This Row],[Visit_Date]])</f>
        <v>3</v>
      </c>
      <c r="T209" t="str">
        <f>IF(Healthcare_Data[[#This Row],[Final_Bill]]&gt;=50000,"High",IF(Healthcare_Data[[#This Row],[Final_Bill]]&gt;=20000,"Medium","low"))</f>
        <v>low</v>
      </c>
    </row>
    <row r="210" spans="1:20" x14ac:dyDescent="0.3">
      <c r="A210" t="s">
        <v>265</v>
      </c>
      <c r="B210" s="3">
        <v>45737</v>
      </c>
      <c r="C210" t="s">
        <v>18</v>
      </c>
      <c r="D210" t="s">
        <v>19</v>
      </c>
      <c r="E210" t="s">
        <v>20</v>
      </c>
      <c r="F210" t="s">
        <v>21</v>
      </c>
      <c r="G210">
        <v>32</v>
      </c>
      <c r="H210" t="s">
        <v>35</v>
      </c>
      <c r="I210" t="s">
        <v>42</v>
      </c>
      <c r="J210" t="s">
        <v>31</v>
      </c>
      <c r="K210">
        <v>0</v>
      </c>
      <c r="L210" s="4">
        <v>16700</v>
      </c>
      <c r="M210">
        <v>0</v>
      </c>
      <c r="N210">
        <v>16700</v>
      </c>
      <c r="O210" t="s">
        <v>25</v>
      </c>
      <c r="P210">
        <v>3.7</v>
      </c>
      <c r="Q210">
        <v>41</v>
      </c>
      <c r="R210" t="str">
        <f>TEXT(Healthcare_Data[[#This Row],[Visit_Date]],"mmm")</f>
        <v>Mar</v>
      </c>
      <c r="S210">
        <f>MONTH(Healthcare_Data[[#This Row],[Visit_Date]])</f>
        <v>3</v>
      </c>
      <c r="T210" t="str">
        <f>IF(Healthcare_Data[[#This Row],[Final_Bill]]&gt;=50000,"High",IF(Healthcare_Data[[#This Row],[Final_Bill]]&gt;=20000,"Medium","low"))</f>
        <v>low</v>
      </c>
    </row>
    <row r="211" spans="1:20" x14ac:dyDescent="0.3">
      <c r="A211" t="s">
        <v>266</v>
      </c>
      <c r="B211" s="3">
        <v>45738</v>
      </c>
      <c r="C211" t="s">
        <v>67</v>
      </c>
      <c r="D211" t="s">
        <v>34</v>
      </c>
      <c r="E211" t="s">
        <v>52</v>
      </c>
      <c r="F211" t="s">
        <v>21</v>
      </c>
      <c r="G211">
        <v>32</v>
      </c>
      <c r="H211" t="s">
        <v>65</v>
      </c>
      <c r="I211" t="s">
        <v>57</v>
      </c>
      <c r="J211" t="s">
        <v>31</v>
      </c>
      <c r="K211">
        <v>10</v>
      </c>
      <c r="L211" s="4">
        <v>29379</v>
      </c>
      <c r="M211">
        <v>0</v>
      </c>
      <c r="N211">
        <v>29379</v>
      </c>
      <c r="O211" t="s">
        <v>25</v>
      </c>
      <c r="Q211">
        <v>92</v>
      </c>
      <c r="R211" t="str">
        <f>TEXT(Healthcare_Data[[#This Row],[Visit_Date]],"mmm")</f>
        <v>Mar</v>
      </c>
      <c r="S211">
        <f>MONTH(Healthcare_Data[[#This Row],[Visit_Date]])</f>
        <v>3</v>
      </c>
      <c r="T211" t="str">
        <f>IF(Healthcare_Data[[#This Row],[Final_Bill]]&gt;=50000,"High",IF(Healthcare_Data[[#This Row],[Final_Bill]]&gt;=20000,"Medium","low"))</f>
        <v>Medium</v>
      </c>
    </row>
    <row r="212" spans="1:20" x14ac:dyDescent="0.3">
      <c r="A212" t="s">
        <v>267</v>
      </c>
      <c r="B212" s="3">
        <v>45738</v>
      </c>
      <c r="C212" t="s">
        <v>50</v>
      </c>
      <c r="D212" t="s">
        <v>28</v>
      </c>
      <c r="E212" t="s">
        <v>20</v>
      </c>
      <c r="F212" t="s">
        <v>40</v>
      </c>
      <c r="G212">
        <v>19</v>
      </c>
      <c r="H212" t="s">
        <v>29</v>
      </c>
      <c r="I212" t="s">
        <v>69</v>
      </c>
      <c r="J212" t="s">
        <v>24</v>
      </c>
      <c r="K212">
        <v>0</v>
      </c>
      <c r="L212" s="4">
        <v>10164</v>
      </c>
      <c r="M212">
        <v>0</v>
      </c>
      <c r="N212">
        <v>10164</v>
      </c>
      <c r="O212" t="s">
        <v>25</v>
      </c>
      <c r="P212">
        <v>4</v>
      </c>
      <c r="Q212">
        <v>95</v>
      </c>
      <c r="R212" t="str">
        <f>TEXT(Healthcare_Data[[#This Row],[Visit_Date]],"mmm")</f>
        <v>Mar</v>
      </c>
      <c r="S212">
        <f>MONTH(Healthcare_Data[[#This Row],[Visit_Date]])</f>
        <v>3</v>
      </c>
      <c r="T212" t="str">
        <f>IF(Healthcare_Data[[#This Row],[Final_Bill]]&gt;=50000,"High",IF(Healthcare_Data[[#This Row],[Final_Bill]]&gt;=20000,"Medium","low"))</f>
        <v>low</v>
      </c>
    </row>
    <row r="213" spans="1:20" x14ac:dyDescent="0.3">
      <c r="A213" t="s">
        <v>268</v>
      </c>
      <c r="B213" s="3">
        <v>45738</v>
      </c>
      <c r="C213" t="s">
        <v>54</v>
      </c>
      <c r="D213" t="s">
        <v>28</v>
      </c>
      <c r="E213" t="s">
        <v>20</v>
      </c>
      <c r="F213" t="s">
        <v>40</v>
      </c>
      <c r="G213">
        <v>35</v>
      </c>
      <c r="H213" t="s">
        <v>56</v>
      </c>
      <c r="I213" t="s">
        <v>61</v>
      </c>
      <c r="J213" t="s">
        <v>58</v>
      </c>
      <c r="K213">
        <v>0</v>
      </c>
      <c r="L213" s="4">
        <v>19218</v>
      </c>
      <c r="M213">
        <v>1500</v>
      </c>
      <c r="N213">
        <v>17718</v>
      </c>
      <c r="O213" t="s">
        <v>25</v>
      </c>
      <c r="P213">
        <v>4.5999999999999996</v>
      </c>
      <c r="Q213">
        <v>99</v>
      </c>
      <c r="R213" t="str">
        <f>TEXT(Healthcare_Data[[#This Row],[Visit_Date]],"mmm")</f>
        <v>Mar</v>
      </c>
      <c r="S213">
        <f>MONTH(Healthcare_Data[[#This Row],[Visit_Date]])</f>
        <v>3</v>
      </c>
      <c r="T213" t="str">
        <f>IF(Healthcare_Data[[#This Row],[Final_Bill]]&gt;=50000,"High",IF(Healthcare_Data[[#This Row],[Final_Bill]]&gt;=20000,"Medium","low"))</f>
        <v>low</v>
      </c>
    </row>
    <row r="214" spans="1:20" x14ac:dyDescent="0.3">
      <c r="A214" t="s">
        <v>269</v>
      </c>
      <c r="B214" s="3">
        <v>45738</v>
      </c>
      <c r="C214" t="s">
        <v>54</v>
      </c>
      <c r="D214" t="s">
        <v>34</v>
      </c>
      <c r="E214" t="s">
        <v>20</v>
      </c>
      <c r="F214" t="s">
        <v>40</v>
      </c>
      <c r="G214">
        <v>42</v>
      </c>
      <c r="H214" t="s">
        <v>46</v>
      </c>
      <c r="I214" t="s">
        <v>23</v>
      </c>
      <c r="J214" t="s">
        <v>31</v>
      </c>
      <c r="K214">
        <v>0</v>
      </c>
      <c r="L214" s="4">
        <v>7685</v>
      </c>
      <c r="M214">
        <v>500</v>
      </c>
      <c r="N214">
        <v>7185</v>
      </c>
      <c r="O214" t="s">
        <v>25</v>
      </c>
      <c r="P214">
        <v>4.0999999999999996</v>
      </c>
      <c r="Q214">
        <v>24</v>
      </c>
      <c r="R214" t="str">
        <f>TEXT(Healthcare_Data[[#This Row],[Visit_Date]],"mmm")</f>
        <v>Mar</v>
      </c>
      <c r="S214">
        <f>MONTH(Healthcare_Data[[#This Row],[Visit_Date]])</f>
        <v>3</v>
      </c>
      <c r="T214" t="str">
        <f>IF(Healthcare_Data[[#This Row],[Final_Bill]]&gt;=50000,"High",IF(Healthcare_Data[[#This Row],[Final_Bill]]&gt;=20000,"Medium","low"))</f>
        <v>low</v>
      </c>
    </row>
    <row r="215" spans="1:20" x14ac:dyDescent="0.3">
      <c r="A215" t="s">
        <v>270</v>
      </c>
      <c r="B215" s="3">
        <v>45739</v>
      </c>
      <c r="C215" t="s">
        <v>38</v>
      </c>
      <c r="D215" t="s">
        <v>51</v>
      </c>
      <c r="E215" t="s">
        <v>20</v>
      </c>
      <c r="F215" t="s">
        <v>21</v>
      </c>
      <c r="G215">
        <v>36</v>
      </c>
      <c r="H215" t="s">
        <v>29</v>
      </c>
      <c r="I215" t="s">
        <v>23</v>
      </c>
      <c r="J215" t="s">
        <v>24</v>
      </c>
      <c r="K215">
        <v>0</v>
      </c>
      <c r="L215" s="4">
        <v>4000</v>
      </c>
      <c r="M215">
        <v>0</v>
      </c>
      <c r="N215">
        <v>4000</v>
      </c>
      <c r="O215" t="s">
        <v>25</v>
      </c>
      <c r="P215">
        <v>3.7</v>
      </c>
      <c r="Q215">
        <v>86</v>
      </c>
      <c r="R215" t="str">
        <f>TEXT(Healthcare_Data[[#This Row],[Visit_Date]],"mmm")</f>
        <v>Mar</v>
      </c>
      <c r="S215">
        <f>MONTH(Healthcare_Data[[#This Row],[Visit_Date]])</f>
        <v>3</v>
      </c>
      <c r="T215" t="str">
        <f>IF(Healthcare_Data[[#This Row],[Final_Bill]]&gt;=50000,"High",IF(Healthcare_Data[[#This Row],[Final_Bill]]&gt;=20000,"Medium","low"))</f>
        <v>low</v>
      </c>
    </row>
    <row r="216" spans="1:20" x14ac:dyDescent="0.3">
      <c r="A216" t="s">
        <v>271</v>
      </c>
      <c r="B216" s="3">
        <v>45740</v>
      </c>
      <c r="C216" t="s">
        <v>48</v>
      </c>
      <c r="D216" t="s">
        <v>19</v>
      </c>
      <c r="E216" t="s">
        <v>20</v>
      </c>
      <c r="F216" t="s">
        <v>21</v>
      </c>
      <c r="G216">
        <v>77</v>
      </c>
      <c r="H216" t="s">
        <v>41</v>
      </c>
      <c r="I216" t="s">
        <v>42</v>
      </c>
      <c r="J216" t="s">
        <v>58</v>
      </c>
      <c r="K216">
        <v>0</v>
      </c>
      <c r="L216" s="4">
        <v>9170</v>
      </c>
      <c r="M216">
        <v>0</v>
      </c>
      <c r="N216">
        <v>9170</v>
      </c>
      <c r="O216" t="s">
        <v>25</v>
      </c>
      <c r="P216">
        <v>3.6</v>
      </c>
      <c r="Q216">
        <v>63</v>
      </c>
      <c r="R216" t="str">
        <f>TEXT(Healthcare_Data[[#This Row],[Visit_Date]],"mmm")</f>
        <v>Mar</v>
      </c>
      <c r="S216">
        <f>MONTH(Healthcare_Data[[#This Row],[Visit_Date]])</f>
        <v>3</v>
      </c>
      <c r="T216" t="str">
        <f>IF(Healthcare_Data[[#This Row],[Final_Bill]]&gt;=50000,"High",IF(Healthcare_Data[[#This Row],[Final_Bill]]&gt;=20000,"Medium","low"))</f>
        <v>low</v>
      </c>
    </row>
    <row r="217" spans="1:20" x14ac:dyDescent="0.3">
      <c r="A217" t="s">
        <v>272</v>
      </c>
      <c r="B217" s="3">
        <v>45740</v>
      </c>
      <c r="C217" t="s">
        <v>27</v>
      </c>
      <c r="D217" t="s">
        <v>34</v>
      </c>
      <c r="E217" t="s">
        <v>52</v>
      </c>
      <c r="F217" t="s">
        <v>40</v>
      </c>
      <c r="G217">
        <v>62</v>
      </c>
      <c r="H217" t="s">
        <v>22</v>
      </c>
      <c r="I217" t="s">
        <v>63</v>
      </c>
      <c r="J217" t="s">
        <v>36</v>
      </c>
      <c r="K217">
        <v>11</v>
      </c>
      <c r="L217" s="4">
        <v>20947</v>
      </c>
      <c r="M217">
        <v>500</v>
      </c>
      <c r="N217">
        <v>20447</v>
      </c>
      <c r="O217" t="s">
        <v>25</v>
      </c>
      <c r="P217">
        <v>3.8</v>
      </c>
      <c r="Q217">
        <v>109</v>
      </c>
      <c r="R217" t="str">
        <f>TEXT(Healthcare_Data[[#This Row],[Visit_Date]],"mmm")</f>
        <v>Mar</v>
      </c>
      <c r="S217">
        <f>MONTH(Healthcare_Data[[#This Row],[Visit_Date]])</f>
        <v>3</v>
      </c>
      <c r="T217" t="str">
        <f>IF(Healthcare_Data[[#This Row],[Final_Bill]]&gt;=50000,"High",IF(Healthcare_Data[[#This Row],[Final_Bill]]&gt;=20000,"Medium","low"))</f>
        <v>Medium</v>
      </c>
    </row>
    <row r="218" spans="1:20" x14ac:dyDescent="0.3">
      <c r="A218" t="s">
        <v>273</v>
      </c>
      <c r="B218" s="3">
        <v>45741</v>
      </c>
      <c r="C218" t="s">
        <v>48</v>
      </c>
      <c r="D218" t="s">
        <v>39</v>
      </c>
      <c r="E218" t="s">
        <v>20</v>
      </c>
      <c r="F218" t="s">
        <v>21</v>
      </c>
      <c r="G218">
        <v>67</v>
      </c>
      <c r="H218" t="s">
        <v>46</v>
      </c>
      <c r="I218" t="s">
        <v>42</v>
      </c>
      <c r="J218" t="s">
        <v>36</v>
      </c>
      <c r="K218">
        <v>0</v>
      </c>
      <c r="L218" s="4">
        <v>17036</v>
      </c>
      <c r="M218">
        <v>1000</v>
      </c>
      <c r="N218">
        <v>16036</v>
      </c>
      <c r="O218" t="s">
        <v>25</v>
      </c>
      <c r="P218">
        <v>2.8</v>
      </c>
      <c r="Q218">
        <v>9</v>
      </c>
      <c r="R218" t="str">
        <f>TEXT(Healthcare_Data[[#This Row],[Visit_Date]],"mmm")</f>
        <v>Mar</v>
      </c>
      <c r="S218">
        <f>MONTH(Healthcare_Data[[#This Row],[Visit_Date]])</f>
        <v>3</v>
      </c>
      <c r="T218" t="str">
        <f>IF(Healthcare_Data[[#This Row],[Final_Bill]]&gt;=50000,"High",IF(Healthcare_Data[[#This Row],[Final_Bill]]&gt;=20000,"Medium","low"))</f>
        <v>low</v>
      </c>
    </row>
    <row r="219" spans="1:20" x14ac:dyDescent="0.3">
      <c r="A219" t="s">
        <v>274</v>
      </c>
      <c r="B219" s="3">
        <v>45742</v>
      </c>
      <c r="C219" t="s">
        <v>54</v>
      </c>
      <c r="D219" t="s">
        <v>34</v>
      </c>
      <c r="E219" t="s">
        <v>20</v>
      </c>
      <c r="F219" t="s">
        <v>21</v>
      </c>
      <c r="G219">
        <v>48</v>
      </c>
      <c r="H219" t="s">
        <v>41</v>
      </c>
      <c r="I219" t="s">
        <v>57</v>
      </c>
      <c r="J219" t="s">
        <v>58</v>
      </c>
      <c r="K219">
        <v>0</v>
      </c>
      <c r="L219" s="4">
        <v>4111</v>
      </c>
      <c r="M219">
        <v>500</v>
      </c>
      <c r="N219">
        <v>3611</v>
      </c>
      <c r="O219" t="s">
        <v>25</v>
      </c>
      <c r="P219">
        <v>3.3</v>
      </c>
      <c r="Q219">
        <v>33</v>
      </c>
      <c r="R219" t="str">
        <f>TEXT(Healthcare_Data[[#This Row],[Visit_Date]],"mmm")</f>
        <v>Mar</v>
      </c>
      <c r="S219">
        <f>MONTH(Healthcare_Data[[#This Row],[Visit_Date]])</f>
        <v>3</v>
      </c>
      <c r="T219" t="str">
        <f>IF(Healthcare_Data[[#This Row],[Final_Bill]]&gt;=50000,"High",IF(Healthcare_Data[[#This Row],[Final_Bill]]&gt;=20000,"Medium","low"))</f>
        <v>low</v>
      </c>
    </row>
    <row r="220" spans="1:20" x14ac:dyDescent="0.3">
      <c r="A220" t="s">
        <v>275</v>
      </c>
      <c r="B220" s="3">
        <v>45743</v>
      </c>
      <c r="C220" t="s">
        <v>48</v>
      </c>
      <c r="D220" t="s">
        <v>28</v>
      </c>
      <c r="E220" t="s">
        <v>20</v>
      </c>
      <c r="F220" t="s">
        <v>40</v>
      </c>
      <c r="G220">
        <v>72</v>
      </c>
      <c r="H220" t="s">
        <v>65</v>
      </c>
      <c r="I220" t="s">
        <v>69</v>
      </c>
      <c r="J220" t="s">
        <v>24</v>
      </c>
      <c r="K220">
        <v>0</v>
      </c>
      <c r="L220" s="4">
        <v>16987</v>
      </c>
      <c r="M220">
        <v>0</v>
      </c>
      <c r="N220">
        <v>16987</v>
      </c>
      <c r="O220" t="s">
        <v>25</v>
      </c>
      <c r="P220">
        <v>3.5</v>
      </c>
      <c r="Q220">
        <v>25</v>
      </c>
      <c r="R220" t="str">
        <f>TEXT(Healthcare_Data[[#This Row],[Visit_Date]],"mmm")</f>
        <v>Mar</v>
      </c>
      <c r="S220">
        <f>MONTH(Healthcare_Data[[#This Row],[Visit_Date]])</f>
        <v>3</v>
      </c>
      <c r="T220" t="str">
        <f>IF(Healthcare_Data[[#This Row],[Final_Bill]]&gt;=50000,"High",IF(Healthcare_Data[[#This Row],[Final_Bill]]&gt;=20000,"Medium","low"))</f>
        <v>low</v>
      </c>
    </row>
    <row r="221" spans="1:20" x14ac:dyDescent="0.3">
      <c r="A221" t="s">
        <v>276</v>
      </c>
      <c r="B221" s="3">
        <v>45743</v>
      </c>
      <c r="C221" t="s">
        <v>48</v>
      </c>
      <c r="D221" t="s">
        <v>51</v>
      </c>
      <c r="E221" t="s">
        <v>54</v>
      </c>
      <c r="F221" t="s">
        <v>40</v>
      </c>
      <c r="G221">
        <v>57</v>
      </c>
      <c r="H221" t="s">
        <v>65</v>
      </c>
      <c r="I221" t="s">
        <v>30</v>
      </c>
      <c r="J221" t="s">
        <v>31</v>
      </c>
      <c r="K221">
        <v>0</v>
      </c>
      <c r="L221" s="4">
        <v>24940</v>
      </c>
      <c r="M221">
        <v>500</v>
      </c>
      <c r="N221">
        <v>24440</v>
      </c>
      <c r="O221" t="s">
        <v>25</v>
      </c>
      <c r="P221">
        <v>4.5</v>
      </c>
      <c r="Q221">
        <v>67</v>
      </c>
      <c r="R221" t="str">
        <f>TEXT(Healthcare_Data[[#This Row],[Visit_Date]],"mmm")</f>
        <v>Mar</v>
      </c>
      <c r="S221">
        <f>MONTH(Healthcare_Data[[#This Row],[Visit_Date]])</f>
        <v>3</v>
      </c>
      <c r="T221" t="str">
        <f>IF(Healthcare_Data[[#This Row],[Final_Bill]]&gt;=50000,"High",IF(Healthcare_Data[[#This Row],[Final_Bill]]&gt;=20000,"Medium","low"))</f>
        <v>Medium</v>
      </c>
    </row>
    <row r="222" spans="1:20" x14ac:dyDescent="0.3">
      <c r="A222" t="s">
        <v>277</v>
      </c>
      <c r="B222" s="3">
        <v>45743</v>
      </c>
      <c r="C222" t="s">
        <v>38</v>
      </c>
      <c r="D222" t="s">
        <v>39</v>
      </c>
      <c r="E222" t="s">
        <v>20</v>
      </c>
      <c r="F222" t="s">
        <v>21</v>
      </c>
      <c r="G222">
        <v>76</v>
      </c>
      <c r="H222" t="s">
        <v>115</v>
      </c>
      <c r="I222" t="s">
        <v>57</v>
      </c>
      <c r="J222" t="s">
        <v>24</v>
      </c>
      <c r="K222">
        <v>0</v>
      </c>
      <c r="L222" s="4">
        <v>3956</v>
      </c>
      <c r="M222">
        <v>1000</v>
      </c>
      <c r="N222">
        <v>2956</v>
      </c>
      <c r="O222" t="s">
        <v>25</v>
      </c>
      <c r="P222">
        <v>2.6</v>
      </c>
      <c r="Q222">
        <v>58</v>
      </c>
      <c r="R222" t="str">
        <f>TEXT(Healthcare_Data[[#This Row],[Visit_Date]],"mmm")</f>
        <v>Mar</v>
      </c>
      <c r="S222">
        <f>MONTH(Healthcare_Data[[#This Row],[Visit_Date]])</f>
        <v>3</v>
      </c>
      <c r="T222" t="str">
        <f>IF(Healthcare_Data[[#This Row],[Final_Bill]]&gt;=50000,"High",IF(Healthcare_Data[[#This Row],[Final_Bill]]&gt;=20000,"Medium","low"))</f>
        <v>low</v>
      </c>
    </row>
    <row r="223" spans="1:20" x14ac:dyDescent="0.3">
      <c r="A223" t="s">
        <v>278</v>
      </c>
      <c r="B223" s="3">
        <v>45745</v>
      </c>
      <c r="C223" t="s">
        <v>48</v>
      </c>
      <c r="D223" t="s">
        <v>34</v>
      </c>
      <c r="E223" t="s">
        <v>20</v>
      </c>
      <c r="F223" t="s">
        <v>40</v>
      </c>
      <c r="G223">
        <v>70</v>
      </c>
      <c r="H223" t="s">
        <v>41</v>
      </c>
      <c r="I223" t="s">
        <v>61</v>
      </c>
      <c r="J223" t="s">
        <v>24</v>
      </c>
      <c r="K223">
        <v>0</v>
      </c>
      <c r="L223" s="4">
        <v>18377</v>
      </c>
      <c r="M223">
        <v>0</v>
      </c>
      <c r="N223">
        <v>18377</v>
      </c>
      <c r="O223" t="s">
        <v>32</v>
      </c>
      <c r="P223">
        <v>2.7</v>
      </c>
      <c r="Q223">
        <v>29</v>
      </c>
      <c r="R223" t="str">
        <f>TEXT(Healthcare_Data[[#This Row],[Visit_Date]],"mmm")</f>
        <v>Mar</v>
      </c>
      <c r="S223">
        <f>MONTH(Healthcare_Data[[#This Row],[Visit_Date]])</f>
        <v>3</v>
      </c>
      <c r="T223" t="str">
        <f>IF(Healthcare_Data[[#This Row],[Final_Bill]]&gt;=50000,"High",IF(Healthcare_Data[[#This Row],[Final_Bill]]&gt;=20000,"Medium","low"))</f>
        <v>low</v>
      </c>
    </row>
    <row r="224" spans="1:20" x14ac:dyDescent="0.3">
      <c r="A224" t="s">
        <v>279</v>
      </c>
      <c r="B224" s="3">
        <v>45746</v>
      </c>
      <c r="C224" t="s">
        <v>54</v>
      </c>
      <c r="D224" t="s">
        <v>28</v>
      </c>
      <c r="E224" t="s">
        <v>52</v>
      </c>
      <c r="F224" t="s">
        <v>40</v>
      </c>
      <c r="G224">
        <v>67</v>
      </c>
      <c r="H224" t="s">
        <v>29</v>
      </c>
      <c r="I224" t="s">
        <v>42</v>
      </c>
      <c r="J224" t="s">
        <v>24</v>
      </c>
      <c r="K224">
        <v>2</v>
      </c>
      <c r="L224" s="4">
        <v>34159</v>
      </c>
      <c r="M224">
        <v>1000</v>
      </c>
      <c r="N224">
        <v>33159</v>
      </c>
      <c r="O224" t="s">
        <v>25</v>
      </c>
      <c r="P224">
        <v>4</v>
      </c>
      <c r="Q224">
        <v>58</v>
      </c>
      <c r="R224" t="str">
        <f>TEXT(Healthcare_Data[[#This Row],[Visit_Date]],"mmm")</f>
        <v>Mar</v>
      </c>
      <c r="S224">
        <f>MONTH(Healthcare_Data[[#This Row],[Visit_Date]])</f>
        <v>3</v>
      </c>
      <c r="T224" t="str">
        <f>IF(Healthcare_Data[[#This Row],[Final_Bill]]&gt;=50000,"High",IF(Healthcare_Data[[#This Row],[Final_Bill]]&gt;=20000,"Medium","low"))</f>
        <v>Medium</v>
      </c>
    </row>
    <row r="225" spans="1:20" x14ac:dyDescent="0.3">
      <c r="A225" t="s">
        <v>280</v>
      </c>
      <c r="B225" s="3">
        <v>45746</v>
      </c>
      <c r="C225" t="s">
        <v>44</v>
      </c>
      <c r="D225" t="s">
        <v>28</v>
      </c>
      <c r="E225" t="s">
        <v>20</v>
      </c>
      <c r="F225" t="s">
        <v>21</v>
      </c>
      <c r="G225">
        <v>24</v>
      </c>
      <c r="H225" t="s">
        <v>46</v>
      </c>
      <c r="I225" t="s">
        <v>57</v>
      </c>
      <c r="J225" t="s">
        <v>24</v>
      </c>
      <c r="K225">
        <v>0</v>
      </c>
      <c r="L225" s="4">
        <v>9048</v>
      </c>
      <c r="M225">
        <v>2000</v>
      </c>
      <c r="N225">
        <v>7048</v>
      </c>
      <c r="O225" t="s">
        <v>25</v>
      </c>
      <c r="P225">
        <v>3.9</v>
      </c>
      <c r="Q225">
        <v>65</v>
      </c>
      <c r="R225" t="str">
        <f>TEXT(Healthcare_Data[[#This Row],[Visit_Date]],"mmm")</f>
        <v>Mar</v>
      </c>
      <c r="S225">
        <f>MONTH(Healthcare_Data[[#This Row],[Visit_Date]])</f>
        <v>3</v>
      </c>
      <c r="T225" t="str">
        <f>IF(Healthcare_Data[[#This Row],[Final_Bill]]&gt;=50000,"High",IF(Healthcare_Data[[#This Row],[Final_Bill]]&gt;=20000,"Medium","low"))</f>
        <v>low</v>
      </c>
    </row>
    <row r="226" spans="1:20" x14ac:dyDescent="0.3">
      <c r="A226" t="s">
        <v>281</v>
      </c>
      <c r="B226" s="3">
        <v>45747</v>
      </c>
      <c r="C226" t="s">
        <v>38</v>
      </c>
      <c r="D226" t="s">
        <v>28</v>
      </c>
      <c r="E226" t="s">
        <v>52</v>
      </c>
      <c r="F226" t="s">
        <v>40</v>
      </c>
      <c r="G226">
        <v>35</v>
      </c>
      <c r="H226" t="s">
        <v>35</v>
      </c>
      <c r="I226" t="s">
        <v>57</v>
      </c>
      <c r="J226" t="s">
        <v>58</v>
      </c>
      <c r="K226">
        <v>10</v>
      </c>
      <c r="L226" s="4">
        <v>23007</v>
      </c>
      <c r="M226">
        <v>0</v>
      </c>
      <c r="N226">
        <v>23007</v>
      </c>
      <c r="O226" t="s">
        <v>32</v>
      </c>
      <c r="P226">
        <v>3.4</v>
      </c>
      <c r="Q226">
        <v>7</v>
      </c>
      <c r="R226" t="str">
        <f>TEXT(Healthcare_Data[[#This Row],[Visit_Date]],"mmm")</f>
        <v>Mar</v>
      </c>
      <c r="S226">
        <f>MONTH(Healthcare_Data[[#This Row],[Visit_Date]])</f>
        <v>3</v>
      </c>
      <c r="T226" t="str">
        <f>IF(Healthcare_Data[[#This Row],[Final_Bill]]&gt;=50000,"High",IF(Healthcare_Data[[#This Row],[Final_Bill]]&gt;=20000,"Medium","low"))</f>
        <v>Medium</v>
      </c>
    </row>
    <row r="227" spans="1:20" x14ac:dyDescent="0.3">
      <c r="A227" t="s">
        <v>282</v>
      </c>
      <c r="B227" s="3">
        <v>45747</v>
      </c>
      <c r="C227" t="s">
        <v>67</v>
      </c>
      <c r="D227" t="s">
        <v>19</v>
      </c>
      <c r="E227" t="s">
        <v>54</v>
      </c>
      <c r="F227" t="s">
        <v>21</v>
      </c>
      <c r="G227">
        <v>78</v>
      </c>
      <c r="H227" t="s">
        <v>29</v>
      </c>
      <c r="I227" t="s">
        <v>30</v>
      </c>
      <c r="J227" t="s">
        <v>24</v>
      </c>
      <c r="K227">
        <v>0</v>
      </c>
      <c r="L227" s="4">
        <v>23659</v>
      </c>
      <c r="M227">
        <v>0</v>
      </c>
      <c r="N227">
        <v>23659</v>
      </c>
      <c r="O227" t="s">
        <v>25</v>
      </c>
      <c r="P227">
        <v>2.6</v>
      </c>
      <c r="Q227">
        <v>10</v>
      </c>
      <c r="R227" t="str">
        <f>TEXT(Healthcare_Data[[#This Row],[Visit_Date]],"mmm")</f>
        <v>Mar</v>
      </c>
      <c r="S227">
        <f>MONTH(Healthcare_Data[[#This Row],[Visit_Date]])</f>
        <v>3</v>
      </c>
      <c r="T227" t="str">
        <f>IF(Healthcare_Data[[#This Row],[Final_Bill]]&gt;=50000,"High",IF(Healthcare_Data[[#This Row],[Final_Bill]]&gt;=20000,"Medium","low"))</f>
        <v>Medium</v>
      </c>
    </row>
    <row r="228" spans="1:20" x14ac:dyDescent="0.3">
      <c r="A228" t="s">
        <v>283</v>
      </c>
      <c r="B228" s="3">
        <v>45747</v>
      </c>
      <c r="C228" t="s">
        <v>18</v>
      </c>
      <c r="D228" t="s">
        <v>51</v>
      </c>
      <c r="E228" t="s">
        <v>20</v>
      </c>
      <c r="F228" t="s">
        <v>40</v>
      </c>
      <c r="G228">
        <v>36</v>
      </c>
      <c r="H228" t="s">
        <v>22</v>
      </c>
      <c r="I228" t="s">
        <v>72</v>
      </c>
      <c r="J228" t="s">
        <v>24</v>
      </c>
      <c r="K228">
        <v>0</v>
      </c>
      <c r="L228" s="4">
        <v>19123</v>
      </c>
      <c r="M228">
        <v>1500</v>
      </c>
      <c r="N228">
        <v>17623</v>
      </c>
      <c r="O228" t="s">
        <v>25</v>
      </c>
      <c r="P228">
        <v>2.8</v>
      </c>
      <c r="Q228">
        <v>25</v>
      </c>
      <c r="R228" t="str">
        <f>TEXT(Healthcare_Data[[#This Row],[Visit_Date]],"mmm")</f>
        <v>Mar</v>
      </c>
      <c r="S228">
        <f>MONTH(Healthcare_Data[[#This Row],[Visit_Date]])</f>
        <v>3</v>
      </c>
      <c r="T228" t="str">
        <f>IF(Healthcare_Data[[#This Row],[Final_Bill]]&gt;=50000,"High",IF(Healthcare_Data[[#This Row],[Final_Bill]]&gt;=20000,"Medium","low"))</f>
        <v>low</v>
      </c>
    </row>
    <row r="229" spans="1:20" x14ac:dyDescent="0.3">
      <c r="A229" t="s">
        <v>284</v>
      </c>
      <c r="B229" s="3">
        <v>45747</v>
      </c>
      <c r="C229" t="s">
        <v>50</v>
      </c>
      <c r="D229" t="s">
        <v>51</v>
      </c>
      <c r="E229" t="s">
        <v>52</v>
      </c>
      <c r="F229" t="s">
        <v>21</v>
      </c>
      <c r="G229">
        <v>55</v>
      </c>
      <c r="H229" t="s">
        <v>46</v>
      </c>
      <c r="I229" t="s">
        <v>72</v>
      </c>
      <c r="J229" t="s">
        <v>36</v>
      </c>
      <c r="K229">
        <v>12</v>
      </c>
      <c r="L229" s="4">
        <v>56632</v>
      </c>
      <c r="M229">
        <v>1000</v>
      </c>
      <c r="N229">
        <v>55632</v>
      </c>
      <c r="O229" t="s">
        <v>25</v>
      </c>
      <c r="P229">
        <v>3</v>
      </c>
      <c r="Q229">
        <v>101</v>
      </c>
      <c r="R229" t="str">
        <f>TEXT(Healthcare_Data[[#This Row],[Visit_Date]],"mmm")</f>
        <v>Mar</v>
      </c>
      <c r="S229">
        <f>MONTH(Healthcare_Data[[#This Row],[Visit_Date]])</f>
        <v>3</v>
      </c>
      <c r="T229" t="str">
        <f>IF(Healthcare_Data[[#This Row],[Final_Bill]]&gt;=50000,"High",IF(Healthcare_Data[[#This Row],[Final_Bill]]&gt;=20000,"Medium","low"))</f>
        <v>High</v>
      </c>
    </row>
    <row r="230" spans="1:20" x14ac:dyDescent="0.3">
      <c r="A230" t="s">
        <v>285</v>
      </c>
      <c r="B230" s="3">
        <v>45748</v>
      </c>
      <c r="C230" t="s">
        <v>48</v>
      </c>
      <c r="D230" t="s">
        <v>34</v>
      </c>
      <c r="E230" t="s">
        <v>20</v>
      </c>
      <c r="F230" t="s">
        <v>40</v>
      </c>
      <c r="G230">
        <v>59</v>
      </c>
      <c r="H230" t="s">
        <v>46</v>
      </c>
      <c r="I230" t="s">
        <v>23</v>
      </c>
      <c r="J230" t="s">
        <v>24</v>
      </c>
      <c r="K230">
        <v>0</v>
      </c>
      <c r="L230" s="4">
        <v>18446</v>
      </c>
      <c r="M230">
        <v>1000</v>
      </c>
      <c r="N230">
        <v>17446</v>
      </c>
      <c r="O230" t="s">
        <v>25</v>
      </c>
      <c r="P230">
        <v>3.2</v>
      </c>
      <c r="Q230">
        <v>12</v>
      </c>
      <c r="R230" t="str">
        <f>TEXT(Healthcare_Data[[#This Row],[Visit_Date]],"mmm")</f>
        <v>Apr</v>
      </c>
      <c r="S230">
        <f>MONTH(Healthcare_Data[[#This Row],[Visit_Date]])</f>
        <v>4</v>
      </c>
      <c r="T230" t="str">
        <f>IF(Healthcare_Data[[#This Row],[Final_Bill]]&gt;=50000,"High",IF(Healthcare_Data[[#This Row],[Final_Bill]]&gt;=20000,"Medium","low"))</f>
        <v>low</v>
      </c>
    </row>
    <row r="231" spans="1:20" x14ac:dyDescent="0.3">
      <c r="A231" t="s">
        <v>286</v>
      </c>
      <c r="B231" s="3">
        <v>45749</v>
      </c>
      <c r="C231" t="s">
        <v>48</v>
      </c>
      <c r="D231" t="s">
        <v>34</v>
      </c>
      <c r="E231" t="s">
        <v>20</v>
      </c>
      <c r="F231" t="s">
        <v>21</v>
      </c>
      <c r="G231">
        <v>28</v>
      </c>
      <c r="H231" t="s">
        <v>35</v>
      </c>
      <c r="I231" t="s">
        <v>23</v>
      </c>
      <c r="J231" t="s">
        <v>24</v>
      </c>
      <c r="K231">
        <v>0</v>
      </c>
      <c r="L231" s="4">
        <v>17024</v>
      </c>
      <c r="M231">
        <v>500</v>
      </c>
      <c r="N231">
        <v>16524</v>
      </c>
      <c r="O231" t="s">
        <v>25</v>
      </c>
      <c r="P231">
        <v>2.8</v>
      </c>
      <c r="Q231">
        <v>19</v>
      </c>
      <c r="R231" t="str">
        <f>TEXT(Healthcare_Data[[#This Row],[Visit_Date]],"mmm")</f>
        <v>Apr</v>
      </c>
      <c r="S231">
        <f>MONTH(Healthcare_Data[[#This Row],[Visit_Date]])</f>
        <v>4</v>
      </c>
      <c r="T231" t="str">
        <f>IF(Healthcare_Data[[#This Row],[Final_Bill]]&gt;=50000,"High",IF(Healthcare_Data[[#This Row],[Final_Bill]]&gt;=20000,"Medium","low"))</f>
        <v>low</v>
      </c>
    </row>
    <row r="232" spans="1:20" x14ac:dyDescent="0.3">
      <c r="A232" t="s">
        <v>287</v>
      </c>
      <c r="B232" s="3">
        <v>45749</v>
      </c>
      <c r="C232" t="s">
        <v>67</v>
      </c>
      <c r="D232" t="s">
        <v>34</v>
      </c>
      <c r="E232" t="s">
        <v>20</v>
      </c>
      <c r="F232" t="s">
        <v>40</v>
      </c>
      <c r="G232">
        <v>58</v>
      </c>
      <c r="H232" t="s">
        <v>22</v>
      </c>
      <c r="I232" t="s">
        <v>57</v>
      </c>
      <c r="J232" t="s">
        <v>24</v>
      </c>
      <c r="K232">
        <v>0</v>
      </c>
      <c r="L232" s="4">
        <v>4193</v>
      </c>
      <c r="M232">
        <v>0</v>
      </c>
      <c r="N232">
        <v>4193</v>
      </c>
      <c r="O232" t="s">
        <v>25</v>
      </c>
      <c r="P232">
        <v>2.8</v>
      </c>
      <c r="Q232">
        <v>36</v>
      </c>
      <c r="R232" t="str">
        <f>TEXT(Healthcare_Data[[#This Row],[Visit_Date]],"mmm")</f>
        <v>Apr</v>
      </c>
      <c r="S232">
        <f>MONTH(Healthcare_Data[[#This Row],[Visit_Date]])</f>
        <v>4</v>
      </c>
      <c r="T232" t="str">
        <f>IF(Healthcare_Data[[#This Row],[Final_Bill]]&gt;=50000,"High",IF(Healthcare_Data[[#This Row],[Final_Bill]]&gt;=20000,"Medium","low"))</f>
        <v>low</v>
      </c>
    </row>
    <row r="233" spans="1:20" x14ac:dyDescent="0.3">
      <c r="A233" t="s">
        <v>288</v>
      </c>
      <c r="B233" s="3">
        <v>45749</v>
      </c>
      <c r="C233" t="s">
        <v>48</v>
      </c>
      <c r="D233" t="s">
        <v>19</v>
      </c>
      <c r="E233" t="s">
        <v>20</v>
      </c>
      <c r="F233" t="s">
        <v>21</v>
      </c>
      <c r="G233">
        <v>77</v>
      </c>
      <c r="H233" t="s">
        <v>29</v>
      </c>
      <c r="I233" t="s">
        <v>57</v>
      </c>
      <c r="J233" t="s">
        <v>36</v>
      </c>
      <c r="K233">
        <v>0</v>
      </c>
      <c r="L233" s="4">
        <v>11051</v>
      </c>
      <c r="M233">
        <v>0</v>
      </c>
      <c r="N233">
        <v>11051</v>
      </c>
      <c r="O233" t="s">
        <v>25</v>
      </c>
      <c r="P233">
        <v>4.7</v>
      </c>
      <c r="Q233">
        <v>86</v>
      </c>
      <c r="R233" t="str">
        <f>TEXT(Healthcare_Data[[#This Row],[Visit_Date]],"mmm")</f>
        <v>Apr</v>
      </c>
      <c r="S233">
        <f>MONTH(Healthcare_Data[[#This Row],[Visit_Date]])</f>
        <v>4</v>
      </c>
      <c r="T233" t="str">
        <f>IF(Healthcare_Data[[#This Row],[Final_Bill]]&gt;=50000,"High",IF(Healthcare_Data[[#This Row],[Final_Bill]]&gt;=20000,"Medium","low"))</f>
        <v>low</v>
      </c>
    </row>
    <row r="234" spans="1:20" x14ac:dyDescent="0.3">
      <c r="A234" t="s">
        <v>289</v>
      </c>
      <c r="B234" s="3">
        <v>45749</v>
      </c>
      <c r="C234" t="s">
        <v>44</v>
      </c>
      <c r="D234" t="s">
        <v>51</v>
      </c>
      <c r="E234" t="s">
        <v>20</v>
      </c>
      <c r="F234" t="s">
        <v>21</v>
      </c>
      <c r="G234">
        <v>41</v>
      </c>
      <c r="H234" t="s">
        <v>22</v>
      </c>
      <c r="I234" t="s">
        <v>61</v>
      </c>
      <c r="J234" t="s">
        <v>24</v>
      </c>
      <c r="K234">
        <v>0</v>
      </c>
      <c r="L234" s="4">
        <v>18878</v>
      </c>
      <c r="M234">
        <v>0</v>
      </c>
      <c r="N234">
        <v>18878</v>
      </c>
      <c r="O234" t="s">
        <v>25</v>
      </c>
      <c r="P234">
        <v>3.1</v>
      </c>
      <c r="Q234">
        <v>60</v>
      </c>
      <c r="R234" t="str">
        <f>TEXT(Healthcare_Data[[#This Row],[Visit_Date]],"mmm")</f>
        <v>Apr</v>
      </c>
      <c r="S234">
        <f>MONTH(Healthcare_Data[[#This Row],[Visit_Date]])</f>
        <v>4</v>
      </c>
      <c r="T234" t="str">
        <f>IF(Healthcare_Data[[#This Row],[Final_Bill]]&gt;=50000,"High",IF(Healthcare_Data[[#This Row],[Final_Bill]]&gt;=20000,"Medium","low"))</f>
        <v>low</v>
      </c>
    </row>
    <row r="235" spans="1:20" x14ac:dyDescent="0.3">
      <c r="A235" t="s">
        <v>290</v>
      </c>
      <c r="B235" s="3">
        <v>45750</v>
      </c>
      <c r="C235" t="s">
        <v>18</v>
      </c>
      <c r="D235" t="s">
        <v>28</v>
      </c>
      <c r="E235" t="s">
        <v>52</v>
      </c>
      <c r="F235" t="s">
        <v>21</v>
      </c>
      <c r="G235">
        <v>69</v>
      </c>
      <c r="H235" t="s">
        <v>115</v>
      </c>
      <c r="I235" t="s">
        <v>72</v>
      </c>
      <c r="J235" t="s">
        <v>58</v>
      </c>
      <c r="K235">
        <v>11</v>
      </c>
      <c r="L235" s="4">
        <v>48868</v>
      </c>
      <c r="M235">
        <v>500</v>
      </c>
      <c r="N235">
        <v>48368</v>
      </c>
      <c r="O235" t="s">
        <v>25</v>
      </c>
      <c r="P235">
        <v>2.5</v>
      </c>
      <c r="Q235">
        <v>66</v>
      </c>
      <c r="R235" t="str">
        <f>TEXT(Healthcare_Data[[#This Row],[Visit_Date]],"mmm")</f>
        <v>Apr</v>
      </c>
      <c r="S235">
        <f>MONTH(Healthcare_Data[[#This Row],[Visit_Date]])</f>
        <v>4</v>
      </c>
      <c r="T235" t="str">
        <f>IF(Healthcare_Data[[#This Row],[Final_Bill]]&gt;=50000,"High",IF(Healthcare_Data[[#This Row],[Final_Bill]]&gt;=20000,"Medium","low"))</f>
        <v>Medium</v>
      </c>
    </row>
    <row r="236" spans="1:20" x14ac:dyDescent="0.3">
      <c r="A236" t="s">
        <v>291</v>
      </c>
      <c r="B236" s="3">
        <v>45750</v>
      </c>
      <c r="C236" t="s">
        <v>50</v>
      </c>
      <c r="D236" t="s">
        <v>39</v>
      </c>
      <c r="E236" t="s">
        <v>20</v>
      </c>
      <c r="F236" t="s">
        <v>21</v>
      </c>
      <c r="G236">
        <v>52</v>
      </c>
      <c r="H236" t="s">
        <v>29</v>
      </c>
      <c r="I236" t="s">
        <v>61</v>
      </c>
      <c r="J236" t="s">
        <v>36</v>
      </c>
      <c r="K236">
        <v>0</v>
      </c>
      <c r="L236" s="4">
        <v>18863</v>
      </c>
      <c r="M236">
        <v>500</v>
      </c>
      <c r="N236">
        <v>18363</v>
      </c>
      <c r="O236" t="s">
        <v>25</v>
      </c>
      <c r="P236">
        <v>2.6</v>
      </c>
      <c r="Q236">
        <v>111</v>
      </c>
      <c r="R236" t="str">
        <f>TEXT(Healthcare_Data[[#This Row],[Visit_Date]],"mmm")</f>
        <v>Apr</v>
      </c>
      <c r="S236">
        <f>MONTH(Healthcare_Data[[#This Row],[Visit_Date]])</f>
        <v>4</v>
      </c>
      <c r="T236" t="str">
        <f>IF(Healthcare_Data[[#This Row],[Final_Bill]]&gt;=50000,"High",IF(Healthcare_Data[[#This Row],[Final_Bill]]&gt;=20000,"Medium","low"))</f>
        <v>low</v>
      </c>
    </row>
    <row r="237" spans="1:20" x14ac:dyDescent="0.3">
      <c r="A237" t="s">
        <v>292</v>
      </c>
      <c r="B237" s="3">
        <v>45751</v>
      </c>
      <c r="C237" t="s">
        <v>18</v>
      </c>
      <c r="D237" t="s">
        <v>34</v>
      </c>
      <c r="E237" t="s">
        <v>52</v>
      </c>
      <c r="F237" t="s">
        <v>21</v>
      </c>
      <c r="G237">
        <v>29</v>
      </c>
      <c r="H237" t="s">
        <v>56</v>
      </c>
      <c r="I237" t="s">
        <v>61</v>
      </c>
      <c r="J237" t="s">
        <v>24</v>
      </c>
      <c r="K237">
        <v>14</v>
      </c>
      <c r="L237" s="4">
        <v>71370</v>
      </c>
      <c r="M237">
        <v>0</v>
      </c>
      <c r="N237">
        <v>71370</v>
      </c>
      <c r="O237" t="s">
        <v>25</v>
      </c>
      <c r="P237">
        <v>3.8</v>
      </c>
      <c r="Q237">
        <v>109</v>
      </c>
      <c r="R237" t="str">
        <f>TEXT(Healthcare_Data[[#This Row],[Visit_Date]],"mmm")</f>
        <v>Apr</v>
      </c>
      <c r="S237">
        <f>MONTH(Healthcare_Data[[#This Row],[Visit_Date]])</f>
        <v>4</v>
      </c>
      <c r="T237" t="str">
        <f>IF(Healthcare_Data[[#This Row],[Final_Bill]]&gt;=50000,"High",IF(Healthcare_Data[[#This Row],[Final_Bill]]&gt;=20000,"Medium","low"))</f>
        <v>High</v>
      </c>
    </row>
    <row r="238" spans="1:20" x14ac:dyDescent="0.3">
      <c r="A238" t="s">
        <v>293</v>
      </c>
      <c r="B238" s="3">
        <v>45751</v>
      </c>
      <c r="C238" t="s">
        <v>67</v>
      </c>
      <c r="D238" t="s">
        <v>34</v>
      </c>
      <c r="E238" t="s">
        <v>20</v>
      </c>
      <c r="F238" t="s">
        <v>40</v>
      </c>
      <c r="G238">
        <v>20</v>
      </c>
      <c r="H238" t="s">
        <v>65</v>
      </c>
      <c r="I238" t="s">
        <v>61</v>
      </c>
      <c r="J238" t="s">
        <v>31</v>
      </c>
      <c r="K238">
        <v>0</v>
      </c>
      <c r="L238" s="4">
        <v>14835</v>
      </c>
      <c r="M238">
        <v>0</v>
      </c>
      <c r="N238">
        <v>14835</v>
      </c>
      <c r="O238" t="s">
        <v>25</v>
      </c>
      <c r="P238">
        <v>3.2</v>
      </c>
      <c r="Q238">
        <v>106</v>
      </c>
      <c r="R238" t="str">
        <f>TEXT(Healthcare_Data[[#This Row],[Visit_Date]],"mmm")</f>
        <v>Apr</v>
      </c>
      <c r="S238">
        <f>MONTH(Healthcare_Data[[#This Row],[Visit_Date]])</f>
        <v>4</v>
      </c>
      <c r="T238" t="str">
        <f>IF(Healthcare_Data[[#This Row],[Final_Bill]]&gt;=50000,"High",IF(Healthcare_Data[[#This Row],[Final_Bill]]&gt;=20000,"Medium","low"))</f>
        <v>low</v>
      </c>
    </row>
    <row r="239" spans="1:20" x14ac:dyDescent="0.3">
      <c r="A239" t="s">
        <v>294</v>
      </c>
      <c r="B239" s="3">
        <v>45752</v>
      </c>
      <c r="C239" t="s">
        <v>18</v>
      </c>
      <c r="D239" t="s">
        <v>19</v>
      </c>
      <c r="E239" t="s">
        <v>52</v>
      </c>
      <c r="F239" t="s">
        <v>40</v>
      </c>
      <c r="G239">
        <v>30</v>
      </c>
      <c r="H239" t="s">
        <v>65</v>
      </c>
      <c r="I239" t="s">
        <v>57</v>
      </c>
      <c r="J239" t="s">
        <v>36</v>
      </c>
      <c r="K239">
        <v>6</v>
      </c>
      <c r="L239" s="4">
        <v>36040</v>
      </c>
      <c r="M239">
        <v>1000</v>
      </c>
      <c r="N239">
        <v>35040</v>
      </c>
      <c r="O239" t="s">
        <v>25</v>
      </c>
      <c r="P239">
        <v>4.3</v>
      </c>
      <c r="Q239">
        <v>87</v>
      </c>
      <c r="R239" t="str">
        <f>TEXT(Healthcare_Data[[#This Row],[Visit_Date]],"mmm")</f>
        <v>Apr</v>
      </c>
      <c r="S239">
        <f>MONTH(Healthcare_Data[[#This Row],[Visit_Date]])</f>
        <v>4</v>
      </c>
      <c r="T239" t="str">
        <f>IF(Healthcare_Data[[#This Row],[Final_Bill]]&gt;=50000,"High",IF(Healthcare_Data[[#This Row],[Final_Bill]]&gt;=20000,"Medium","low"))</f>
        <v>Medium</v>
      </c>
    </row>
    <row r="240" spans="1:20" x14ac:dyDescent="0.3">
      <c r="A240" t="s">
        <v>295</v>
      </c>
      <c r="B240" s="3">
        <v>45752</v>
      </c>
      <c r="C240" t="s">
        <v>48</v>
      </c>
      <c r="D240" t="s">
        <v>19</v>
      </c>
      <c r="E240" t="s">
        <v>52</v>
      </c>
      <c r="F240" t="s">
        <v>21</v>
      </c>
      <c r="G240">
        <v>28</v>
      </c>
      <c r="H240" t="s">
        <v>115</v>
      </c>
      <c r="I240" t="s">
        <v>42</v>
      </c>
      <c r="J240" t="s">
        <v>31</v>
      </c>
      <c r="K240">
        <v>7</v>
      </c>
      <c r="L240" s="4">
        <v>65104</v>
      </c>
      <c r="M240">
        <v>500</v>
      </c>
      <c r="N240">
        <v>64604</v>
      </c>
      <c r="O240" t="s">
        <v>25</v>
      </c>
      <c r="P240">
        <v>3.4</v>
      </c>
      <c r="Q240">
        <v>42</v>
      </c>
      <c r="R240" t="str">
        <f>TEXT(Healthcare_Data[[#This Row],[Visit_Date]],"mmm")</f>
        <v>Apr</v>
      </c>
      <c r="S240">
        <f>MONTH(Healthcare_Data[[#This Row],[Visit_Date]])</f>
        <v>4</v>
      </c>
      <c r="T240" t="str">
        <f>IF(Healthcare_Data[[#This Row],[Final_Bill]]&gt;=50000,"High",IF(Healthcare_Data[[#This Row],[Final_Bill]]&gt;=20000,"Medium","low"))</f>
        <v>High</v>
      </c>
    </row>
    <row r="241" spans="1:20" x14ac:dyDescent="0.3">
      <c r="A241" t="s">
        <v>296</v>
      </c>
      <c r="B241" s="3">
        <v>45752</v>
      </c>
      <c r="C241" t="s">
        <v>54</v>
      </c>
      <c r="D241" t="s">
        <v>19</v>
      </c>
      <c r="E241" t="s">
        <v>20</v>
      </c>
      <c r="F241" t="s">
        <v>21</v>
      </c>
      <c r="G241">
        <v>21</v>
      </c>
      <c r="H241" t="s">
        <v>22</v>
      </c>
      <c r="I241" t="s">
        <v>57</v>
      </c>
      <c r="J241" t="s">
        <v>24</v>
      </c>
      <c r="K241">
        <v>0</v>
      </c>
      <c r="L241" s="4">
        <v>16989</v>
      </c>
      <c r="M241">
        <v>500</v>
      </c>
      <c r="N241">
        <v>16489</v>
      </c>
      <c r="O241" t="s">
        <v>25</v>
      </c>
      <c r="P241">
        <v>3.8</v>
      </c>
      <c r="Q241">
        <v>8</v>
      </c>
      <c r="R241" t="str">
        <f>TEXT(Healthcare_Data[[#This Row],[Visit_Date]],"mmm")</f>
        <v>Apr</v>
      </c>
      <c r="S241">
        <f>MONTH(Healthcare_Data[[#This Row],[Visit_Date]])</f>
        <v>4</v>
      </c>
      <c r="T241" t="str">
        <f>IF(Healthcare_Data[[#This Row],[Final_Bill]]&gt;=50000,"High",IF(Healthcare_Data[[#This Row],[Final_Bill]]&gt;=20000,"Medium","low"))</f>
        <v>low</v>
      </c>
    </row>
    <row r="242" spans="1:20" x14ac:dyDescent="0.3">
      <c r="A242" t="s">
        <v>297</v>
      </c>
      <c r="B242" s="3">
        <v>45752</v>
      </c>
      <c r="C242" t="s">
        <v>54</v>
      </c>
      <c r="D242" t="s">
        <v>19</v>
      </c>
      <c r="E242" t="s">
        <v>20</v>
      </c>
      <c r="F242" t="s">
        <v>40</v>
      </c>
      <c r="G242">
        <v>42</v>
      </c>
      <c r="H242" t="s">
        <v>29</v>
      </c>
      <c r="I242" t="s">
        <v>42</v>
      </c>
      <c r="J242" t="s">
        <v>24</v>
      </c>
      <c r="K242">
        <v>0</v>
      </c>
      <c r="L242" s="4">
        <v>18610</v>
      </c>
      <c r="M242">
        <v>1500</v>
      </c>
      <c r="N242">
        <v>17110</v>
      </c>
      <c r="O242" t="s">
        <v>25</v>
      </c>
      <c r="P242">
        <v>3.5</v>
      </c>
      <c r="Q242">
        <v>76</v>
      </c>
      <c r="R242" t="str">
        <f>TEXT(Healthcare_Data[[#This Row],[Visit_Date]],"mmm")</f>
        <v>Apr</v>
      </c>
      <c r="S242">
        <f>MONTH(Healthcare_Data[[#This Row],[Visit_Date]])</f>
        <v>4</v>
      </c>
      <c r="T242" t="str">
        <f>IF(Healthcare_Data[[#This Row],[Final_Bill]]&gt;=50000,"High",IF(Healthcare_Data[[#This Row],[Final_Bill]]&gt;=20000,"Medium","low"))</f>
        <v>low</v>
      </c>
    </row>
    <row r="243" spans="1:20" x14ac:dyDescent="0.3">
      <c r="A243" t="s">
        <v>298</v>
      </c>
      <c r="B243" s="3">
        <v>45752</v>
      </c>
      <c r="C243" t="s">
        <v>38</v>
      </c>
      <c r="D243" t="s">
        <v>51</v>
      </c>
      <c r="E243" t="s">
        <v>20</v>
      </c>
      <c r="F243" t="s">
        <v>40</v>
      </c>
      <c r="G243">
        <v>62</v>
      </c>
      <c r="H243" t="s">
        <v>22</v>
      </c>
      <c r="I243" t="s">
        <v>23</v>
      </c>
      <c r="J243" t="s">
        <v>58</v>
      </c>
      <c r="K243">
        <v>0</v>
      </c>
      <c r="L243" s="4">
        <v>5577</v>
      </c>
      <c r="M243">
        <v>0</v>
      </c>
      <c r="N243">
        <v>5577</v>
      </c>
      <c r="O243" t="s">
        <v>25</v>
      </c>
      <c r="P243">
        <v>2.9</v>
      </c>
      <c r="Q243">
        <v>71</v>
      </c>
      <c r="R243" t="str">
        <f>TEXT(Healthcare_Data[[#This Row],[Visit_Date]],"mmm")</f>
        <v>Apr</v>
      </c>
      <c r="S243">
        <f>MONTH(Healthcare_Data[[#This Row],[Visit_Date]])</f>
        <v>4</v>
      </c>
      <c r="T243" t="str">
        <f>IF(Healthcare_Data[[#This Row],[Final_Bill]]&gt;=50000,"High",IF(Healthcare_Data[[#This Row],[Final_Bill]]&gt;=20000,"Medium","low"))</f>
        <v>low</v>
      </c>
    </row>
    <row r="244" spans="1:20" x14ac:dyDescent="0.3">
      <c r="A244" t="s">
        <v>299</v>
      </c>
      <c r="B244" s="3">
        <v>45753</v>
      </c>
      <c r="C244" t="s">
        <v>38</v>
      </c>
      <c r="D244" t="s">
        <v>19</v>
      </c>
      <c r="E244" t="s">
        <v>54</v>
      </c>
      <c r="F244" t="s">
        <v>21</v>
      </c>
      <c r="G244">
        <v>30</v>
      </c>
      <c r="H244" t="s">
        <v>46</v>
      </c>
      <c r="I244" t="s">
        <v>42</v>
      </c>
      <c r="J244" t="s">
        <v>24</v>
      </c>
      <c r="K244">
        <v>0</v>
      </c>
      <c r="L244" s="4">
        <v>9425</v>
      </c>
      <c r="M244">
        <v>500</v>
      </c>
      <c r="N244">
        <v>8925</v>
      </c>
      <c r="O244" t="s">
        <v>25</v>
      </c>
      <c r="P244">
        <v>4.5999999999999996</v>
      </c>
      <c r="Q244">
        <v>113</v>
      </c>
      <c r="R244" t="str">
        <f>TEXT(Healthcare_Data[[#This Row],[Visit_Date]],"mmm")</f>
        <v>Apr</v>
      </c>
      <c r="S244">
        <f>MONTH(Healthcare_Data[[#This Row],[Visit_Date]])</f>
        <v>4</v>
      </c>
      <c r="T244" t="str">
        <f>IF(Healthcare_Data[[#This Row],[Final_Bill]]&gt;=50000,"High",IF(Healthcare_Data[[#This Row],[Final_Bill]]&gt;=20000,"Medium","low"))</f>
        <v>low</v>
      </c>
    </row>
    <row r="245" spans="1:20" x14ac:dyDescent="0.3">
      <c r="A245" t="s">
        <v>300</v>
      </c>
      <c r="B245" s="3">
        <v>45753</v>
      </c>
      <c r="C245" t="s">
        <v>50</v>
      </c>
      <c r="D245" t="s">
        <v>51</v>
      </c>
      <c r="E245" t="s">
        <v>52</v>
      </c>
      <c r="F245" t="s">
        <v>21</v>
      </c>
      <c r="G245">
        <v>29</v>
      </c>
      <c r="H245" t="s">
        <v>29</v>
      </c>
      <c r="I245" t="s">
        <v>72</v>
      </c>
      <c r="J245" t="s">
        <v>31</v>
      </c>
      <c r="K245">
        <v>8</v>
      </c>
      <c r="L245" s="4">
        <v>33594</v>
      </c>
      <c r="M245">
        <v>1500</v>
      </c>
      <c r="N245">
        <v>32094</v>
      </c>
      <c r="O245" t="s">
        <v>32</v>
      </c>
      <c r="P245">
        <v>2.9</v>
      </c>
      <c r="Q245">
        <v>18</v>
      </c>
      <c r="R245" t="str">
        <f>TEXT(Healthcare_Data[[#This Row],[Visit_Date]],"mmm")</f>
        <v>Apr</v>
      </c>
      <c r="S245">
        <f>MONTH(Healthcare_Data[[#This Row],[Visit_Date]])</f>
        <v>4</v>
      </c>
      <c r="T245" t="str">
        <f>IF(Healthcare_Data[[#This Row],[Final_Bill]]&gt;=50000,"High",IF(Healthcare_Data[[#This Row],[Final_Bill]]&gt;=20000,"Medium","low"))</f>
        <v>Medium</v>
      </c>
    </row>
    <row r="246" spans="1:20" x14ac:dyDescent="0.3">
      <c r="A246" t="s">
        <v>301</v>
      </c>
      <c r="B246" s="3">
        <v>45753</v>
      </c>
      <c r="C246" t="s">
        <v>54</v>
      </c>
      <c r="D246" t="s">
        <v>19</v>
      </c>
      <c r="E246" t="s">
        <v>52</v>
      </c>
      <c r="F246" t="s">
        <v>21</v>
      </c>
      <c r="G246">
        <v>60</v>
      </c>
      <c r="H246" t="s">
        <v>56</v>
      </c>
      <c r="I246" t="s">
        <v>61</v>
      </c>
      <c r="J246" t="s">
        <v>36</v>
      </c>
      <c r="K246">
        <v>10</v>
      </c>
      <c r="L246" s="4">
        <v>79094</v>
      </c>
      <c r="M246">
        <v>0</v>
      </c>
      <c r="N246">
        <v>79094</v>
      </c>
      <c r="O246" t="s">
        <v>25</v>
      </c>
      <c r="P246">
        <v>3.5</v>
      </c>
      <c r="Q246">
        <v>72</v>
      </c>
      <c r="R246" t="str">
        <f>TEXT(Healthcare_Data[[#This Row],[Visit_Date]],"mmm")</f>
        <v>Apr</v>
      </c>
      <c r="S246">
        <f>MONTH(Healthcare_Data[[#This Row],[Visit_Date]])</f>
        <v>4</v>
      </c>
      <c r="T246" t="str">
        <f>IF(Healthcare_Data[[#This Row],[Final_Bill]]&gt;=50000,"High",IF(Healthcare_Data[[#This Row],[Final_Bill]]&gt;=20000,"Medium","low"))</f>
        <v>High</v>
      </c>
    </row>
    <row r="247" spans="1:20" x14ac:dyDescent="0.3">
      <c r="A247" t="s">
        <v>302</v>
      </c>
      <c r="B247" s="3">
        <v>45753</v>
      </c>
      <c r="C247" t="s">
        <v>67</v>
      </c>
      <c r="D247" t="s">
        <v>28</v>
      </c>
      <c r="E247" t="s">
        <v>20</v>
      </c>
      <c r="F247" t="s">
        <v>40</v>
      </c>
      <c r="G247">
        <v>57</v>
      </c>
      <c r="H247" t="s">
        <v>22</v>
      </c>
      <c r="I247" t="s">
        <v>30</v>
      </c>
      <c r="J247" t="s">
        <v>24</v>
      </c>
      <c r="K247">
        <v>0</v>
      </c>
      <c r="L247" s="4">
        <v>11490</v>
      </c>
      <c r="M247">
        <v>1000</v>
      </c>
      <c r="N247">
        <v>10490</v>
      </c>
      <c r="O247" t="s">
        <v>25</v>
      </c>
      <c r="P247">
        <v>4.7</v>
      </c>
      <c r="Q247">
        <v>97</v>
      </c>
      <c r="R247" t="str">
        <f>TEXT(Healthcare_Data[[#This Row],[Visit_Date]],"mmm")</f>
        <v>Apr</v>
      </c>
      <c r="S247">
        <f>MONTH(Healthcare_Data[[#This Row],[Visit_Date]])</f>
        <v>4</v>
      </c>
      <c r="T247" t="str">
        <f>IF(Healthcare_Data[[#This Row],[Final_Bill]]&gt;=50000,"High",IF(Healthcare_Data[[#This Row],[Final_Bill]]&gt;=20000,"Medium","low"))</f>
        <v>low</v>
      </c>
    </row>
    <row r="248" spans="1:20" x14ac:dyDescent="0.3">
      <c r="A248" t="s">
        <v>303</v>
      </c>
      <c r="B248" s="3">
        <v>45753</v>
      </c>
      <c r="C248" t="s">
        <v>48</v>
      </c>
      <c r="D248" t="s">
        <v>28</v>
      </c>
      <c r="E248" t="s">
        <v>20</v>
      </c>
      <c r="F248" t="s">
        <v>40</v>
      </c>
      <c r="G248">
        <v>29</v>
      </c>
      <c r="H248" t="s">
        <v>41</v>
      </c>
      <c r="I248" t="s">
        <v>42</v>
      </c>
      <c r="J248" t="s">
        <v>31</v>
      </c>
      <c r="K248">
        <v>0</v>
      </c>
      <c r="L248" s="4">
        <v>11957</v>
      </c>
      <c r="M248">
        <v>1500</v>
      </c>
      <c r="N248">
        <v>10457</v>
      </c>
      <c r="O248" t="s">
        <v>25</v>
      </c>
      <c r="P248">
        <v>4.7</v>
      </c>
      <c r="Q248">
        <v>108</v>
      </c>
      <c r="R248" t="str">
        <f>TEXT(Healthcare_Data[[#This Row],[Visit_Date]],"mmm")</f>
        <v>Apr</v>
      </c>
      <c r="S248">
        <f>MONTH(Healthcare_Data[[#This Row],[Visit_Date]])</f>
        <v>4</v>
      </c>
      <c r="T248" t="str">
        <f>IF(Healthcare_Data[[#This Row],[Final_Bill]]&gt;=50000,"High",IF(Healthcare_Data[[#This Row],[Final_Bill]]&gt;=20000,"Medium","low"))</f>
        <v>low</v>
      </c>
    </row>
    <row r="249" spans="1:20" x14ac:dyDescent="0.3">
      <c r="A249" t="s">
        <v>304</v>
      </c>
      <c r="B249" s="3">
        <v>45754</v>
      </c>
      <c r="C249" t="s">
        <v>27</v>
      </c>
      <c r="D249" t="s">
        <v>19</v>
      </c>
      <c r="E249" t="s">
        <v>52</v>
      </c>
      <c r="F249" t="s">
        <v>21</v>
      </c>
      <c r="G249">
        <v>52</v>
      </c>
      <c r="H249" t="s">
        <v>22</v>
      </c>
      <c r="I249" t="s">
        <v>63</v>
      </c>
      <c r="J249" t="s">
        <v>24</v>
      </c>
      <c r="K249">
        <v>8</v>
      </c>
      <c r="L249" s="4">
        <v>58314</v>
      </c>
      <c r="M249">
        <v>0</v>
      </c>
      <c r="N249">
        <v>58314</v>
      </c>
      <c r="O249" t="s">
        <v>32</v>
      </c>
      <c r="P249">
        <v>2.7</v>
      </c>
      <c r="Q249">
        <v>73</v>
      </c>
      <c r="R249" t="str">
        <f>TEXT(Healthcare_Data[[#This Row],[Visit_Date]],"mmm")</f>
        <v>Apr</v>
      </c>
      <c r="S249">
        <f>MONTH(Healthcare_Data[[#This Row],[Visit_Date]])</f>
        <v>4</v>
      </c>
      <c r="T249" t="str">
        <f>IF(Healthcare_Data[[#This Row],[Final_Bill]]&gt;=50000,"High",IF(Healthcare_Data[[#This Row],[Final_Bill]]&gt;=20000,"Medium","low"))</f>
        <v>High</v>
      </c>
    </row>
    <row r="250" spans="1:20" x14ac:dyDescent="0.3">
      <c r="A250" t="s">
        <v>305</v>
      </c>
      <c r="B250" s="3">
        <v>45754</v>
      </c>
      <c r="C250" t="s">
        <v>44</v>
      </c>
      <c r="D250" t="s">
        <v>39</v>
      </c>
      <c r="E250" t="s">
        <v>20</v>
      </c>
      <c r="F250" t="s">
        <v>40</v>
      </c>
      <c r="G250">
        <v>57</v>
      </c>
      <c r="H250" t="s">
        <v>29</v>
      </c>
      <c r="I250" t="s">
        <v>61</v>
      </c>
      <c r="J250" t="s">
        <v>58</v>
      </c>
      <c r="K250">
        <v>0</v>
      </c>
      <c r="L250" s="4">
        <v>4322</v>
      </c>
      <c r="M250">
        <v>1000</v>
      </c>
      <c r="N250">
        <v>3322</v>
      </c>
      <c r="O250" t="s">
        <v>25</v>
      </c>
      <c r="P250">
        <v>3.1</v>
      </c>
      <c r="Q250">
        <v>120</v>
      </c>
      <c r="R250" t="str">
        <f>TEXT(Healthcare_Data[[#This Row],[Visit_Date]],"mmm")</f>
        <v>Apr</v>
      </c>
      <c r="S250">
        <f>MONTH(Healthcare_Data[[#This Row],[Visit_Date]])</f>
        <v>4</v>
      </c>
      <c r="T250" t="str">
        <f>IF(Healthcare_Data[[#This Row],[Final_Bill]]&gt;=50000,"High",IF(Healthcare_Data[[#This Row],[Final_Bill]]&gt;=20000,"Medium","low"))</f>
        <v>low</v>
      </c>
    </row>
    <row r="251" spans="1:20" x14ac:dyDescent="0.3">
      <c r="A251" t="s">
        <v>306</v>
      </c>
      <c r="B251" s="3">
        <v>45755</v>
      </c>
      <c r="C251" t="s">
        <v>44</v>
      </c>
      <c r="D251" t="s">
        <v>34</v>
      </c>
      <c r="E251" t="s">
        <v>20</v>
      </c>
      <c r="F251" t="s">
        <v>40</v>
      </c>
      <c r="G251">
        <v>74</v>
      </c>
      <c r="H251" t="s">
        <v>115</v>
      </c>
      <c r="I251" t="s">
        <v>23</v>
      </c>
      <c r="J251" t="s">
        <v>24</v>
      </c>
      <c r="K251">
        <v>0</v>
      </c>
      <c r="L251" s="4">
        <v>13880</v>
      </c>
      <c r="M251">
        <v>1000</v>
      </c>
      <c r="N251">
        <v>12880</v>
      </c>
      <c r="O251" t="s">
        <v>25</v>
      </c>
      <c r="P251">
        <v>4.3</v>
      </c>
      <c r="Q251">
        <v>35</v>
      </c>
      <c r="R251" t="str">
        <f>TEXT(Healthcare_Data[[#This Row],[Visit_Date]],"mmm")</f>
        <v>Apr</v>
      </c>
      <c r="S251">
        <f>MONTH(Healthcare_Data[[#This Row],[Visit_Date]])</f>
        <v>4</v>
      </c>
      <c r="T251" t="str">
        <f>IF(Healthcare_Data[[#This Row],[Final_Bill]]&gt;=50000,"High",IF(Healthcare_Data[[#This Row],[Final_Bill]]&gt;=20000,"Medium","low"))</f>
        <v>low</v>
      </c>
    </row>
    <row r="252" spans="1:20" x14ac:dyDescent="0.3">
      <c r="A252" t="s">
        <v>307</v>
      </c>
      <c r="B252" s="3">
        <v>45755</v>
      </c>
      <c r="C252" t="s">
        <v>48</v>
      </c>
      <c r="D252" t="s">
        <v>39</v>
      </c>
      <c r="E252" t="s">
        <v>52</v>
      </c>
      <c r="F252" t="s">
        <v>40</v>
      </c>
      <c r="G252">
        <v>47</v>
      </c>
      <c r="H252" t="s">
        <v>22</v>
      </c>
      <c r="I252" t="s">
        <v>57</v>
      </c>
      <c r="J252" t="s">
        <v>31</v>
      </c>
      <c r="K252">
        <v>3</v>
      </c>
      <c r="L252" s="4">
        <v>78989</v>
      </c>
      <c r="M252">
        <v>1500</v>
      </c>
      <c r="N252">
        <v>77489</v>
      </c>
      <c r="O252" t="s">
        <v>25</v>
      </c>
      <c r="P252">
        <v>3.6</v>
      </c>
      <c r="Q252">
        <v>69</v>
      </c>
      <c r="R252" t="str">
        <f>TEXT(Healthcare_Data[[#This Row],[Visit_Date]],"mmm")</f>
        <v>Apr</v>
      </c>
      <c r="S252">
        <f>MONTH(Healthcare_Data[[#This Row],[Visit_Date]])</f>
        <v>4</v>
      </c>
      <c r="T252" t="str">
        <f>IF(Healthcare_Data[[#This Row],[Final_Bill]]&gt;=50000,"High",IF(Healthcare_Data[[#This Row],[Final_Bill]]&gt;=20000,"Medium","low"))</f>
        <v>High</v>
      </c>
    </row>
    <row r="253" spans="1:20" x14ac:dyDescent="0.3">
      <c r="A253" t="s">
        <v>308</v>
      </c>
      <c r="B253" s="3">
        <v>45755</v>
      </c>
      <c r="C253" t="s">
        <v>18</v>
      </c>
      <c r="D253" t="s">
        <v>34</v>
      </c>
      <c r="E253" t="s">
        <v>20</v>
      </c>
      <c r="F253" t="s">
        <v>40</v>
      </c>
      <c r="G253">
        <v>64</v>
      </c>
      <c r="H253" t="s">
        <v>35</v>
      </c>
      <c r="I253" t="s">
        <v>30</v>
      </c>
      <c r="J253" t="s">
        <v>58</v>
      </c>
      <c r="K253">
        <v>0</v>
      </c>
      <c r="L253" s="4">
        <v>16889</v>
      </c>
      <c r="M253">
        <v>1500</v>
      </c>
      <c r="N253">
        <v>15389</v>
      </c>
      <c r="O253" t="s">
        <v>25</v>
      </c>
      <c r="P253">
        <v>3.8</v>
      </c>
      <c r="Q253">
        <v>50</v>
      </c>
      <c r="R253" t="str">
        <f>TEXT(Healthcare_Data[[#This Row],[Visit_Date]],"mmm")</f>
        <v>Apr</v>
      </c>
      <c r="S253">
        <f>MONTH(Healthcare_Data[[#This Row],[Visit_Date]])</f>
        <v>4</v>
      </c>
      <c r="T253" t="str">
        <f>IF(Healthcare_Data[[#This Row],[Final_Bill]]&gt;=50000,"High",IF(Healthcare_Data[[#This Row],[Final_Bill]]&gt;=20000,"Medium","low"))</f>
        <v>low</v>
      </c>
    </row>
    <row r="254" spans="1:20" x14ac:dyDescent="0.3">
      <c r="A254" t="s">
        <v>309</v>
      </c>
      <c r="B254" s="3">
        <v>45756</v>
      </c>
      <c r="C254" t="s">
        <v>18</v>
      </c>
      <c r="D254" t="s">
        <v>39</v>
      </c>
      <c r="E254" t="s">
        <v>20</v>
      </c>
      <c r="F254" t="s">
        <v>21</v>
      </c>
      <c r="G254">
        <v>69</v>
      </c>
      <c r="H254" t="s">
        <v>46</v>
      </c>
      <c r="I254" t="s">
        <v>57</v>
      </c>
      <c r="J254" t="s">
        <v>31</v>
      </c>
      <c r="K254">
        <v>0</v>
      </c>
      <c r="L254" s="4">
        <v>8408</v>
      </c>
      <c r="M254">
        <v>0</v>
      </c>
      <c r="N254">
        <v>8408</v>
      </c>
      <c r="O254" t="s">
        <v>32</v>
      </c>
      <c r="P254">
        <v>4.0999999999999996</v>
      </c>
      <c r="Q254">
        <v>111</v>
      </c>
      <c r="R254" t="str">
        <f>TEXT(Healthcare_Data[[#This Row],[Visit_Date]],"mmm")</f>
        <v>Apr</v>
      </c>
      <c r="S254">
        <f>MONTH(Healthcare_Data[[#This Row],[Visit_Date]])</f>
        <v>4</v>
      </c>
      <c r="T254" t="str">
        <f>IF(Healthcare_Data[[#This Row],[Final_Bill]]&gt;=50000,"High",IF(Healthcare_Data[[#This Row],[Final_Bill]]&gt;=20000,"Medium","low"))</f>
        <v>low</v>
      </c>
    </row>
    <row r="255" spans="1:20" x14ac:dyDescent="0.3">
      <c r="A255" t="s">
        <v>310</v>
      </c>
      <c r="B255" s="3">
        <v>45756</v>
      </c>
      <c r="C255" t="s">
        <v>54</v>
      </c>
      <c r="D255" t="s">
        <v>51</v>
      </c>
      <c r="E255" t="s">
        <v>20</v>
      </c>
      <c r="F255" t="s">
        <v>21</v>
      </c>
      <c r="G255">
        <v>76</v>
      </c>
      <c r="H255" t="s">
        <v>46</v>
      </c>
      <c r="I255" t="s">
        <v>63</v>
      </c>
      <c r="J255" t="s">
        <v>31</v>
      </c>
      <c r="K255">
        <v>0</v>
      </c>
      <c r="L255" s="4">
        <v>19117</v>
      </c>
      <c r="M255">
        <v>500</v>
      </c>
      <c r="N255">
        <v>18617</v>
      </c>
      <c r="O255" t="s">
        <v>25</v>
      </c>
      <c r="P255">
        <v>3.4</v>
      </c>
      <c r="Q255">
        <v>107</v>
      </c>
      <c r="R255" t="str">
        <f>TEXT(Healthcare_Data[[#This Row],[Visit_Date]],"mmm")</f>
        <v>Apr</v>
      </c>
      <c r="S255">
        <f>MONTH(Healthcare_Data[[#This Row],[Visit_Date]])</f>
        <v>4</v>
      </c>
      <c r="T255" t="str">
        <f>IF(Healthcare_Data[[#This Row],[Final_Bill]]&gt;=50000,"High",IF(Healthcare_Data[[#This Row],[Final_Bill]]&gt;=20000,"Medium","low"))</f>
        <v>low</v>
      </c>
    </row>
    <row r="256" spans="1:20" x14ac:dyDescent="0.3">
      <c r="A256" t="s">
        <v>311</v>
      </c>
      <c r="B256" s="3">
        <v>45756</v>
      </c>
      <c r="C256" t="s">
        <v>50</v>
      </c>
      <c r="D256" t="s">
        <v>28</v>
      </c>
      <c r="E256" t="s">
        <v>52</v>
      </c>
      <c r="F256" t="s">
        <v>40</v>
      </c>
      <c r="G256">
        <v>51</v>
      </c>
      <c r="H256" t="s">
        <v>56</v>
      </c>
      <c r="I256" t="s">
        <v>42</v>
      </c>
      <c r="J256" t="s">
        <v>24</v>
      </c>
      <c r="K256">
        <v>5</v>
      </c>
      <c r="L256" s="4">
        <v>77694</v>
      </c>
      <c r="M256">
        <v>500</v>
      </c>
      <c r="N256">
        <v>77194</v>
      </c>
      <c r="O256" t="s">
        <v>25</v>
      </c>
      <c r="P256">
        <v>3.2</v>
      </c>
      <c r="Q256">
        <v>44</v>
      </c>
      <c r="R256" t="str">
        <f>TEXT(Healthcare_Data[[#This Row],[Visit_Date]],"mmm")</f>
        <v>Apr</v>
      </c>
      <c r="S256">
        <f>MONTH(Healthcare_Data[[#This Row],[Visit_Date]])</f>
        <v>4</v>
      </c>
      <c r="T256" t="str">
        <f>IF(Healthcare_Data[[#This Row],[Final_Bill]]&gt;=50000,"High",IF(Healthcare_Data[[#This Row],[Final_Bill]]&gt;=20000,"Medium","low"))</f>
        <v>High</v>
      </c>
    </row>
    <row r="257" spans="1:20" x14ac:dyDescent="0.3">
      <c r="A257" t="s">
        <v>312</v>
      </c>
      <c r="B257" s="3">
        <v>45756</v>
      </c>
      <c r="C257" t="s">
        <v>48</v>
      </c>
      <c r="D257" t="s">
        <v>19</v>
      </c>
      <c r="E257" t="s">
        <v>52</v>
      </c>
      <c r="F257" t="s">
        <v>40</v>
      </c>
      <c r="G257">
        <v>39</v>
      </c>
      <c r="H257" t="s">
        <v>41</v>
      </c>
      <c r="I257" t="s">
        <v>69</v>
      </c>
      <c r="J257" t="s">
        <v>36</v>
      </c>
      <c r="K257">
        <v>14</v>
      </c>
      <c r="L257" s="4">
        <v>44732</v>
      </c>
      <c r="M257">
        <v>0</v>
      </c>
      <c r="N257">
        <v>44732</v>
      </c>
      <c r="O257" t="s">
        <v>25</v>
      </c>
      <c r="P257">
        <v>4.2</v>
      </c>
      <c r="Q257">
        <v>67</v>
      </c>
      <c r="R257" t="str">
        <f>TEXT(Healthcare_Data[[#This Row],[Visit_Date]],"mmm")</f>
        <v>Apr</v>
      </c>
      <c r="S257">
        <f>MONTH(Healthcare_Data[[#This Row],[Visit_Date]])</f>
        <v>4</v>
      </c>
      <c r="T257" t="str">
        <f>IF(Healthcare_Data[[#This Row],[Final_Bill]]&gt;=50000,"High",IF(Healthcare_Data[[#This Row],[Final_Bill]]&gt;=20000,"Medium","low"))</f>
        <v>Medium</v>
      </c>
    </row>
    <row r="258" spans="1:20" x14ac:dyDescent="0.3">
      <c r="A258" t="s">
        <v>313</v>
      </c>
      <c r="B258" s="3">
        <v>45756</v>
      </c>
      <c r="C258" t="s">
        <v>67</v>
      </c>
      <c r="D258" t="s">
        <v>28</v>
      </c>
      <c r="E258" t="s">
        <v>20</v>
      </c>
      <c r="F258" t="s">
        <v>21</v>
      </c>
      <c r="G258">
        <v>23</v>
      </c>
      <c r="H258" t="s">
        <v>29</v>
      </c>
      <c r="I258" t="s">
        <v>63</v>
      </c>
      <c r="J258" t="s">
        <v>24</v>
      </c>
      <c r="K258">
        <v>0</v>
      </c>
      <c r="L258" s="4">
        <v>8183</v>
      </c>
      <c r="M258">
        <v>2000</v>
      </c>
      <c r="N258">
        <v>6183</v>
      </c>
      <c r="O258" t="s">
        <v>25</v>
      </c>
      <c r="P258">
        <v>4.3</v>
      </c>
      <c r="Q258">
        <v>38</v>
      </c>
      <c r="R258" t="str">
        <f>TEXT(Healthcare_Data[[#This Row],[Visit_Date]],"mmm")</f>
        <v>Apr</v>
      </c>
      <c r="S258">
        <f>MONTH(Healthcare_Data[[#This Row],[Visit_Date]])</f>
        <v>4</v>
      </c>
      <c r="T258" t="str">
        <f>IF(Healthcare_Data[[#This Row],[Final_Bill]]&gt;=50000,"High",IF(Healthcare_Data[[#This Row],[Final_Bill]]&gt;=20000,"Medium","low"))</f>
        <v>low</v>
      </c>
    </row>
    <row r="259" spans="1:20" x14ac:dyDescent="0.3">
      <c r="A259" t="s">
        <v>314</v>
      </c>
      <c r="B259" s="3">
        <v>45756</v>
      </c>
      <c r="C259" t="s">
        <v>67</v>
      </c>
      <c r="D259" t="s">
        <v>28</v>
      </c>
      <c r="E259" t="s">
        <v>54</v>
      </c>
      <c r="F259" t="s">
        <v>40</v>
      </c>
      <c r="G259">
        <v>18</v>
      </c>
      <c r="H259" t="s">
        <v>35</v>
      </c>
      <c r="I259" t="s">
        <v>61</v>
      </c>
      <c r="J259" t="s">
        <v>24</v>
      </c>
      <c r="K259">
        <v>0</v>
      </c>
      <c r="L259" s="4">
        <v>43524</v>
      </c>
      <c r="M259">
        <v>0</v>
      </c>
      <c r="N259">
        <v>43524</v>
      </c>
      <c r="O259" t="s">
        <v>25</v>
      </c>
      <c r="P259">
        <v>3.3</v>
      </c>
      <c r="Q259">
        <v>96</v>
      </c>
      <c r="R259" t="str">
        <f>TEXT(Healthcare_Data[[#This Row],[Visit_Date]],"mmm")</f>
        <v>Apr</v>
      </c>
      <c r="S259">
        <f>MONTH(Healthcare_Data[[#This Row],[Visit_Date]])</f>
        <v>4</v>
      </c>
      <c r="T259" t="str">
        <f>IF(Healthcare_Data[[#This Row],[Final_Bill]]&gt;=50000,"High",IF(Healthcare_Data[[#This Row],[Final_Bill]]&gt;=20000,"Medium","low"))</f>
        <v>Medium</v>
      </c>
    </row>
    <row r="260" spans="1:20" x14ac:dyDescent="0.3">
      <c r="A260" t="s">
        <v>315</v>
      </c>
      <c r="B260" s="3">
        <v>45756</v>
      </c>
      <c r="C260" t="s">
        <v>67</v>
      </c>
      <c r="D260" t="s">
        <v>39</v>
      </c>
      <c r="E260" t="s">
        <v>20</v>
      </c>
      <c r="F260" t="s">
        <v>40</v>
      </c>
      <c r="G260">
        <v>65</v>
      </c>
      <c r="H260" t="s">
        <v>29</v>
      </c>
      <c r="I260" t="s">
        <v>61</v>
      </c>
      <c r="J260" t="s">
        <v>24</v>
      </c>
      <c r="K260">
        <v>0</v>
      </c>
      <c r="L260" s="4">
        <v>6654</v>
      </c>
      <c r="M260">
        <v>1000</v>
      </c>
      <c r="N260">
        <v>5654</v>
      </c>
      <c r="O260" t="s">
        <v>25</v>
      </c>
      <c r="P260">
        <v>3</v>
      </c>
      <c r="Q260">
        <v>111</v>
      </c>
      <c r="R260" t="str">
        <f>TEXT(Healthcare_Data[[#This Row],[Visit_Date]],"mmm")</f>
        <v>Apr</v>
      </c>
      <c r="S260">
        <f>MONTH(Healthcare_Data[[#This Row],[Visit_Date]])</f>
        <v>4</v>
      </c>
      <c r="T260" t="str">
        <f>IF(Healthcare_Data[[#This Row],[Final_Bill]]&gt;=50000,"High",IF(Healthcare_Data[[#This Row],[Final_Bill]]&gt;=20000,"Medium","low"))</f>
        <v>low</v>
      </c>
    </row>
    <row r="261" spans="1:20" x14ac:dyDescent="0.3">
      <c r="A261" t="s">
        <v>316</v>
      </c>
      <c r="B261" s="3">
        <v>45756</v>
      </c>
      <c r="C261" t="s">
        <v>48</v>
      </c>
      <c r="D261" t="s">
        <v>28</v>
      </c>
      <c r="E261" t="s">
        <v>20</v>
      </c>
      <c r="F261" t="s">
        <v>21</v>
      </c>
      <c r="G261">
        <v>21</v>
      </c>
      <c r="H261" t="s">
        <v>46</v>
      </c>
      <c r="I261" t="s">
        <v>23</v>
      </c>
      <c r="J261" t="s">
        <v>58</v>
      </c>
      <c r="K261">
        <v>0</v>
      </c>
      <c r="L261" s="4">
        <v>7111</v>
      </c>
      <c r="M261">
        <v>0</v>
      </c>
      <c r="N261">
        <v>7111</v>
      </c>
      <c r="O261" t="s">
        <v>25</v>
      </c>
      <c r="P261">
        <v>3.4</v>
      </c>
      <c r="Q261">
        <v>65</v>
      </c>
      <c r="R261" t="str">
        <f>TEXT(Healthcare_Data[[#This Row],[Visit_Date]],"mmm")</f>
        <v>Apr</v>
      </c>
      <c r="S261">
        <f>MONTH(Healthcare_Data[[#This Row],[Visit_Date]])</f>
        <v>4</v>
      </c>
      <c r="T261" t="str">
        <f>IF(Healthcare_Data[[#This Row],[Final_Bill]]&gt;=50000,"High",IF(Healthcare_Data[[#This Row],[Final_Bill]]&gt;=20000,"Medium","low"))</f>
        <v>low</v>
      </c>
    </row>
    <row r="262" spans="1:20" x14ac:dyDescent="0.3">
      <c r="A262" t="s">
        <v>317</v>
      </c>
      <c r="B262" s="3">
        <v>45756</v>
      </c>
      <c r="C262" t="s">
        <v>48</v>
      </c>
      <c r="D262" t="s">
        <v>39</v>
      </c>
      <c r="E262" t="s">
        <v>20</v>
      </c>
      <c r="F262" t="s">
        <v>21</v>
      </c>
      <c r="G262">
        <v>62</v>
      </c>
      <c r="H262" t="s">
        <v>35</v>
      </c>
      <c r="I262" t="s">
        <v>23</v>
      </c>
      <c r="J262" t="s">
        <v>24</v>
      </c>
      <c r="K262">
        <v>0</v>
      </c>
      <c r="L262" s="4">
        <v>5353</v>
      </c>
      <c r="M262">
        <v>0</v>
      </c>
      <c r="N262">
        <v>5353</v>
      </c>
      <c r="O262" t="s">
        <v>25</v>
      </c>
      <c r="P262">
        <v>4.5999999999999996</v>
      </c>
      <c r="Q262">
        <v>36</v>
      </c>
      <c r="R262" t="str">
        <f>TEXT(Healthcare_Data[[#This Row],[Visit_Date]],"mmm")</f>
        <v>Apr</v>
      </c>
      <c r="S262">
        <f>MONTH(Healthcare_Data[[#This Row],[Visit_Date]])</f>
        <v>4</v>
      </c>
      <c r="T262" t="str">
        <f>IF(Healthcare_Data[[#This Row],[Final_Bill]]&gt;=50000,"High",IF(Healthcare_Data[[#This Row],[Final_Bill]]&gt;=20000,"Medium","low"))</f>
        <v>low</v>
      </c>
    </row>
    <row r="263" spans="1:20" x14ac:dyDescent="0.3">
      <c r="A263" t="s">
        <v>318</v>
      </c>
      <c r="B263" s="3">
        <v>45757</v>
      </c>
      <c r="C263" t="s">
        <v>48</v>
      </c>
      <c r="D263" t="s">
        <v>34</v>
      </c>
      <c r="E263" t="s">
        <v>20</v>
      </c>
      <c r="F263" t="s">
        <v>40</v>
      </c>
      <c r="G263">
        <v>26</v>
      </c>
      <c r="H263" t="s">
        <v>65</v>
      </c>
      <c r="I263" t="s">
        <v>69</v>
      </c>
      <c r="J263" t="s">
        <v>36</v>
      </c>
      <c r="K263">
        <v>0</v>
      </c>
      <c r="L263" s="4">
        <v>5943</v>
      </c>
      <c r="M263">
        <v>0</v>
      </c>
      <c r="N263">
        <v>5943</v>
      </c>
      <c r="O263" t="s">
        <v>25</v>
      </c>
      <c r="P263">
        <v>4.3</v>
      </c>
      <c r="Q263">
        <v>57</v>
      </c>
      <c r="R263" t="str">
        <f>TEXT(Healthcare_Data[[#This Row],[Visit_Date]],"mmm")</f>
        <v>Apr</v>
      </c>
      <c r="S263">
        <f>MONTH(Healthcare_Data[[#This Row],[Visit_Date]])</f>
        <v>4</v>
      </c>
      <c r="T263" t="str">
        <f>IF(Healthcare_Data[[#This Row],[Final_Bill]]&gt;=50000,"High",IF(Healthcare_Data[[#This Row],[Final_Bill]]&gt;=20000,"Medium","low"))</f>
        <v>low</v>
      </c>
    </row>
    <row r="264" spans="1:20" x14ac:dyDescent="0.3">
      <c r="A264" t="s">
        <v>319</v>
      </c>
      <c r="B264" s="3">
        <v>45757</v>
      </c>
      <c r="C264" t="s">
        <v>38</v>
      </c>
      <c r="D264" t="s">
        <v>39</v>
      </c>
      <c r="E264" t="s">
        <v>20</v>
      </c>
      <c r="F264" t="s">
        <v>40</v>
      </c>
      <c r="G264">
        <v>75</v>
      </c>
      <c r="H264" t="s">
        <v>46</v>
      </c>
      <c r="I264" t="s">
        <v>61</v>
      </c>
      <c r="J264" t="s">
        <v>24</v>
      </c>
      <c r="K264">
        <v>0</v>
      </c>
      <c r="L264" s="4">
        <v>3774</v>
      </c>
      <c r="M264">
        <v>1000</v>
      </c>
      <c r="N264">
        <v>2774</v>
      </c>
      <c r="O264" t="s">
        <v>32</v>
      </c>
      <c r="P264">
        <v>4.7</v>
      </c>
      <c r="Q264">
        <v>100</v>
      </c>
      <c r="R264" t="str">
        <f>TEXT(Healthcare_Data[[#This Row],[Visit_Date]],"mmm")</f>
        <v>Apr</v>
      </c>
      <c r="S264">
        <f>MONTH(Healthcare_Data[[#This Row],[Visit_Date]])</f>
        <v>4</v>
      </c>
      <c r="T264" t="str">
        <f>IF(Healthcare_Data[[#This Row],[Final_Bill]]&gt;=50000,"High",IF(Healthcare_Data[[#This Row],[Final_Bill]]&gt;=20000,"Medium","low"))</f>
        <v>low</v>
      </c>
    </row>
    <row r="265" spans="1:20" x14ac:dyDescent="0.3">
      <c r="A265" t="s">
        <v>320</v>
      </c>
      <c r="B265" s="3">
        <v>45757</v>
      </c>
      <c r="C265" t="s">
        <v>67</v>
      </c>
      <c r="D265" t="s">
        <v>19</v>
      </c>
      <c r="E265" t="s">
        <v>20</v>
      </c>
      <c r="F265" t="s">
        <v>40</v>
      </c>
      <c r="G265">
        <v>40</v>
      </c>
      <c r="H265" t="s">
        <v>35</v>
      </c>
      <c r="I265" t="s">
        <v>63</v>
      </c>
      <c r="J265" t="s">
        <v>58</v>
      </c>
      <c r="K265">
        <v>0</v>
      </c>
      <c r="L265" s="4">
        <v>19310</v>
      </c>
      <c r="M265">
        <v>0</v>
      </c>
      <c r="N265">
        <v>19310</v>
      </c>
      <c r="O265" t="s">
        <v>32</v>
      </c>
      <c r="P265">
        <v>2.8</v>
      </c>
      <c r="Q265">
        <v>108</v>
      </c>
      <c r="R265" t="str">
        <f>TEXT(Healthcare_Data[[#This Row],[Visit_Date]],"mmm")</f>
        <v>Apr</v>
      </c>
      <c r="S265">
        <f>MONTH(Healthcare_Data[[#This Row],[Visit_Date]])</f>
        <v>4</v>
      </c>
      <c r="T265" t="str">
        <f>IF(Healthcare_Data[[#This Row],[Final_Bill]]&gt;=50000,"High",IF(Healthcare_Data[[#This Row],[Final_Bill]]&gt;=20000,"Medium","low"))</f>
        <v>low</v>
      </c>
    </row>
    <row r="266" spans="1:20" x14ac:dyDescent="0.3">
      <c r="A266" t="s">
        <v>321</v>
      </c>
      <c r="B266" s="3">
        <v>45757</v>
      </c>
      <c r="C266" t="s">
        <v>54</v>
      </c>
      <c r="D266" t="s">
        <v>19</v>
      </c>
      <c r="E266" t="s">
        <v>20</v>
      </c>
      <c r="F266" t="s">
        <v>40</v>
      </c>
      <c r="G266">
        <v>72</v>
      </c>
      <c r="H266" t="s">
        <v>115</v>
      </c>
      <c r="I266" t="s">
        <v>42</v>
      </c>
      <c r="J266" t="s">
        <v>24</v>
      </c>
      <c r="K266">
        <v>0</v>
      </c>
      <c r="L266" s="4">
        <v>10771</v>
      </c>
      <c r="M266">
        <v>1500</v>
      </c>
      <c r="N266">
        <v>9271</v>
      </c>
      <c r="O266" t="s">
        <v>25</v>
      </c>
      <c r="P266">
        <v>3.6</v>
      </c>
      <c r="Q266">
        <v>25</v>
      </c>
      <c r="R266" t="str">
        <f>TEXT(Healthcare_Data[[#This Row],[Visit_Date]],"mmm")</f>
        <v>Apr</v>
      </c>
      <c r="S266">
        <f>MONTH(Healthcare_Data[[#This Row],[Visit_Date]])</f>
        <v>4</v>
      </c>
      <c r="T266" t="str">
        <f>IF(Healthcare_Data[[#This Row],[Final_Bill]]&gt;=50000,"High",IF(Healthcare_Data[[#This Row],[Final_Bill]]&gt;=20000,"Medium","low"))</f>
        <v>low</v>
      </c>
    </row>
    <row r="267" spans="1:20" x14ac:dyDescent="0.3">
      <c r="A267" t="s">
        <v>322</v>
      </c>
      <c r="B267" s="3">
        <v>45758</v>
      </c>
      <c r="C267" t="s">
        <v>67</v>
      </c>
      <c r="D267" t="s">
        <v>51</v>
      </c>
      <c r="E267" t="s">
        <v>52</v>
      </c>
      <c r="F267" t="s">
        <v>40</v>
      </c>
      <c r="G267">
        <v>72</v>
      </c>
      <c r="H267" t="s">
        <v>35</v>
      </c>
      <c r="I267" t="s">
        <v>30</v>
      </c>
      <c r="J267" t="s">
        <v>24</v>
      </c>
      <c r="K267">
        <v>12</v>
      </c>
      <c r="L267" s="4">
        <v>15329</v>
      </c>
      <c r="M267">
        <v>500</v>
      </c>
      <c r="N267">
        <v>14829</v>
      </c>
      <c r="O267" t="s">
        <v>25</v>
      </c>
      <c r="P267">
        <v>4.3</v>
      </c>
      <c r="Q267">
        <v>58</v>
      </c>
      <c r="R267" t="str">
        <f>TEXT(Healthcare_Data[[#This Row],[Visit_Date]],"mmm")</f>
        <v>Apr</v>
      </c>
      <c r="S267">
        <f>MONTH(Healthcare_Data[[#This Row],[Visit_Date]])</f>
        <v>4</v>
      </c>
      <c r="T267" t="str">
        <f>IF(Healthcare_Data[[#This Row],[Final_Bill]]&gt;=50000,"High",IF(Healthcare_Data[[#This Row],[Final_Bill]]&gt;=20000,"Medium","low"))</f>
        <v>low</v>
      </c>
    </row>
    <row r="268" spans="1:20" x14ac:dyDescent="0.3">
      <c r="A268" t="s">
        <v>323</v>
      </c>
      <c r="B268" s="3">
        <v>45758</v>
      </c>
      <c r="C268" t="s">
        <v>27</v>
      </c>
      <c r="D268" t="s">
        <v>19</v>
      </c>
      <c r="E268" t="s">
        <v>20</v>
      </c>
      <c r="F268" t="s">
        <v>40</v>
      </c>
      <c r="G268">
        <v>56</v>
      </c>
      <c r="H268" t="s">
        <v>56</v>
      </c>
      <c r="I268" t="s">
        <v>57</v>
      </c>
      <c r="J268" t="s">
        <v>58</v>
      </c>
      <c r="K268">
        <v>0</v>
      </c>
      <c r="L268" s="4">
        <v>4075</v>
      </c>
      <c r="M268">
        <v>500</v>
      </c>
      <c r="N268">
        <v>3575</v>
      </c>
      <c r="O268" t="s">
        <v>59</v>
      </c>
      <c r="P268">
        <v>2.7</v>
      </c>
      <c r="Q268">
        <v>101</v>
      </c>
      <c r="R268" t="str">
        <f>TEXT(Healthcare_Data[[#This Row],[Visit_Date]],"mmm")</f>
        <v>Apr</v>
      </c>
      <c r="S268">
        <f>MONTH(Healthcare_Data[[#This Row],[Visit_Date]])</f>
        <v>4</v>
      </c>
      <c r="T268" t="str">
        <f>IF(Healthcare_Data[[#This Row],[Final_Bill]]&gt;=50000,"High",IF(Healthcare_Data[[#This Row],[Final_Bill]]&gt;=20000,"Medium","low"))</f>
        <v>low</v>
      </c>
    </row>
    <row r="269" spans="1:20" x14ac:dyDescent="0.3">
      <c r="A269" t="s">
        <v>324</v>
      </c>
      <c r="B269" s="3">
        <v>45758</v>
      </c>
      <c r="C269" t="s">
        <v>67</v>
      </c>
      <c r="D269" t="s">
        <v>34</v>
      </c>
      <c r="E269" t="s">
        <v>20</v>
      </c>
      <c r="F269" t="s">
        <v>40</v>
      </c>
      <c r="G269">
        <v>21</v>
      </c>
      <c r="H269" t="s">
        <v>115</v>
      </c>
      <c r="I269" t="s">
        <v>42</v>
      </c>
      <c r="J269" t="s">
        <v>36</v>
      </c>
      <c r="K269">
        <v>0</v>
      </c>
      <c r="L269" s="4">
        <v>10276</v>
      </c>
      <c r="M269">
        <v>0</v>
      </c>
      <c r="N269">
        <v>10276</v>
      </c>
      <c r="O269" t="s">
        <v>25</v>
      </c>
      <c r="P269">
        <v>4.3</v>
      </c>
      <c r="Q269">
        <v>37</v>
      </c>
      <c r="R269" t="str">
        <f>TEXT(Healthcare_Data[[#This Row],[Visit_Date]],"mmm")</f>
        <v>Apr</v>
      </c>
      <c r="S269">
        <f>MONTH(Healthcare_Data[[#This Row],[Visit_Date]])</f>
        <v>4</v>
      </c>
      <c r="T269" t="str">
        <f>IF(Healthcare_Data[[#This Row],[Final_Bill]]&gt;=50000,"High",IF(Healthcare_Data[[#This Row],[Final_Bill]]&gt;=20000,"Medium","low"))</f>
        <v>low</v>
      </c>
    </row>
    <row r="270" spans="1:20" x14ac:dyDescent="0.3">
      <c r="A270" t="s">
        <v>325</v>
      </c>
      <c r="B270" s="3">
        <v>45758</v>
      </c>
      <c r="C270" t="s">
        <v>50</v>
      </c>
      <c r="D270" t="s">
        <v>39</v>
      </c>
      <c r="E270" t="s">
        <v>54</v>
      </c>
      <c r="F270" t="s">
        <v>21</v>
      </c>
      <c r="G270">
        <v>72</v>
      </c>
      <c r="H270" t="s">
        <v>29</v>
      </c>
      <c r="I270" t="s">
        <v>72</v>
      </c>
      <c r="J270" t="s">
        <v>24</v>
      </c>
      <c r="K270">
        <v>0</v>
      </c>
      <c r="L270" s="4">
        <v>12944</v>
      </c>
      <c r="M270">
        <v>0</v>
      </c>
      <c r="N270">
        <v>12944</v>
      </c>
      <c r="O270" t="s">
        <v>32</v>
      </c>
      <c r="P270">
        <v>4.5999999999999996</v>
      </c>
      <c r="Q270">
        <v>111</v>
      </c>
      <c r="R270" t="str">
        <f>TEXT(Healthcare_Data[[#This Row],[Visit_Date]],"mmm")</f>
        <v>Apr</v>
      </c>
      <c r="S270">
        <f>MONTH(Healthcare_Data[[#This Row],[Visit_Date]])</f>
        <v>4</v>
      </c>
      <c r="T270" t="str">
        <f>IF(Healthcare_Data[[#This Row],[Final_Bill]]&gt;=50000,"High",IF(Healthcare_Data[[#This Row],[Final_Bill]]&gt;=20000,"Medium","low"))</f>
        <v>low</v>
      </c>
    </row>
    <row r="271" spans="1:20" x14ac:dyDescent="0.3">
      <c r="A271" t="s">
        <v>326</v>
      </c>
      <c r="B271" s="3">
        <v>45758</v>
      </c>
      <c r="C271" t="s">
        <v>48</v>
      </c>
      <c r="D271" t="s">
        <v>34</v>
      </c>
      <c r="E271" t="s">
        <v>20</v>
      </c>
      <c r="F271" t="s">
        <v>21</v>
      </c>
      <c r="G271">
        <v>19</v>
      </c>
      <c r="H271" t="s">
        <v>115</v>
      </c>
      <c r="I271" t="s">
        <v>30</v>
      </c>
      <c r="J271" t="s">
        <v>1057</v>
      </c>
      <c r="K271">
        <v>0</v>
      </c>
      <c r="L271" s="4">
        <v>12768</v>
      </c>
      <c r="M271">
        <v>0</v>
      </c>
      <c r="N271">
        <v>12768</v>
      </c>
      <c r="O271" t="s">
        <v>25</v>
      </c>
      <c r="P271">
        <v>4.2</v>
      </c>
      <c r="Q271">
        <v>101</v>
      </c>
      <c r="R271" t="str">
        <f>TEXT(Healthcare_Data[[#This Row],[Visit_Date]],"mmm")</f>
        <v>Apr</v>
      </c>
      <c r="S271">
        <f>MONTH(Healthcare_Data[[#This Row],[Visit_Date]])</f>
        <v>4</v>
      </c>
      <c r="T271" t="str">
        <f>IF(Healthcare_Data[[#This Row],[Final_Bill]]&gt;=50000,"High",IF(Healthcare_Data[[#This Row],[Final_Bill]]&gt;=20000,"Medium","low"))</f>
        <v>low</v>
      </c>
    </row>
    <row r="272" spans="1:20" x14ac:dyDescent="0.3">
      <c r="A272" t="s">
        <v>327</v>
      </c>
      <c r="B272" s="3">
        <v>45760</v>
      </c>
      <c r="C272" t="s">
        <v>48</v>
      </c>
      <c r="D272" t="s">
        <v>19</v>
      </c>
      <c r="E272" t="s">
        <v>20</v>
      </c>
      <c r="F272" t="s">
        <v>21</v>
      </c>
      <c r="G272">
        <v>21</v>
      </c>
      <c r="H272" t="s">
        <v>46</v>
      </c>
      <c r="I272" t="s">
        <v>61</v>
      </c>
      <c r="J272" t="s">
        <v>31</v>
      </c>
      <c r="K272">
        <v>0</v>
      </c>
      <c r="L272" s="4">
        <v>11502</v>
      </c>
      <c r="M272">
        <v>1500</v>
      </c>
      <c r="N272">
        <v>10002</v>
      </c>
      <c r="O272" t="s">
        <v>59</v>
      </c>
      <c r="P272">
        <v>4</v>
      </c>
      <c r="Q272">
        <v>30</v>
      </c>
      <c r="R272" t="str">
        <f>TEXT(Healthcare_Data[[#This Row],[Visit_Date]],"mmm")</f>
        <v>Apr</v>
      </c>
      <c r="S272">
        <f>MONTH(Healthcare_Data[[#This Row],[Visit_Date]])</f>
        <v>4</v>
      </c>
      <c r="T272" t="str">
        <f>IF(Healthcare_Data[[#This Row],[Final_Bill]]&gt;=50000,"High",IF(Healthcare_Data[[#This Row],[Final_Bill]]&gt;=20000,"Medium","low"))</f>
        <v>low</v>
      </c>
    </row>
    <row r="273" spans="1:20" x14ac:dyDescent="0.3">
      <c r="A273" t="s">
        <v>328</v>
      </c>
      <c r="B273" s="3">
        <v>45760</v>
      </c>
      <c r="C273" t="s">
        <v>67</v>
      </c>
      <c r="D273" t="s">
        <v>28</v>
      </c>
      <c r="E273" t="s">
        <v>54</v>
      </c>
      <c r="F273" t="s">
        <v>21</v>
      </c>
      <c r="G273">
        <v>51</v>
      </c>
      <c r="H273" t="s">
        <v>65</v>
      </c>
      <c r="I273" t="s">
        <v>42</v>
      </c>
      <c r="J273" t="s">
        <v>24</v>
      </c>
      <c r="K273">
        <v>0</v>
      </c>
      <c r="L273" s="4">
        <v>17372</v>
      </c>
      <c r="M273">
        <v>500</v>
      </c>
      <c r="N273">
        <v>16872</v>
      </c>
      <c r="O273" t="s">
        <v>25</v>
      </c>
      <c r="P273">
        <v>3.2</v>
      </c>
      <c r="Q273">
        <v>103</v>
      </c>
      <c r="R273" t="str">
        <f>TEXT(Healthcare_Data[[#This Row],[Visit_Date]],"mmm")</f>
        <v>Apr</v>
      </c>
      <c r="S273">
        <f>MONTH(Healthcare_Data[[#This Row],[Visit_Date]])</f>
        <v>4</v>
      </c>
      <c r="T273" t="str">
        <f>IF(Healthcare_Data[[#This Row],[Final_Bill]]&gt;=50000,"High",IF(Healthcare_Data[[#This Row],[Final_Bill]]&gt;=20000,"Medium","low"))</f>
        <v>low</v>
      </c>
    </row>
    <row r="274" spans="1:20" x14ac:dyDescent="0.3">
      <c r="A274" t="s">
        <v>329</v>
      </c>
      <c r="B274" s="3">
        <v>45760</v>
      </c>
      <c r="C274" t="s">
        <v>67</v>
      </c>
      <c r="D274" t="s">
        <v>28</v>
      </c>
      <c r="E274" t="s">
        <v>20</v>
      </c>
      <c r="F274" t="s">
        <v>40</v>
      </c>
      <c r="G274">
        <v>64</v>
      </c>
      <c r="H274" t="s">
        <v>35</v>
      </c>
      <c r="I274" t="s">
        <v>72</v>
      </c>
      <c r="J274" t="s">
        <v>31</v>
      </c>
      <c r="K274">
        <v>0</v>
      </c>
      <c r="L274" s="4">
        <v>10604</v>
      </c>
      <c r="M274">
        <v>0</v>
      </c>
      <c r="N274">
        <v>10604</v>
      </c>
      <c r="O274" t="s">
        <v>32</v>
      </c>
      <c r="P274">
        <v>3.5</v>
      </c>
      <c r="Q274">
        <v>69</v>
      </c>
      <c r="R274" t="str">
        <f>TEXT(Healthcare_Data[[#This Row],[Visit_Date]],"mmm")</f>
        <v>Apr</v>
      </c>
      <c r="S274">
        <f>MONTH(Healthcare_Data[[#This Row],[Visit_Date]])</f>
        <v>4</v>
      </c>
      <c r="T274" t="str">
        <f>IF(Healthcare_Data[[#This Row],[Final_Bill]]&gt;=50000,"High",IF(Healthcare_Data[[#This Row],[Final_Bill]]&gt;=20000,"Medium","low"))</f>
        <v>low</v>
      </c>
    </row>
    <row r="275" spans="1:20" x14ac:dyDescent="0.3">
      <c r="A275" t="s">
        <v>330</v>
      </c>
      <c r="B275" s="3">
        <v>45760</v>
      </c>
      <c r="C275" t="s">
        <v>50</v>
      </c>
      <c r="D275" t="s">
        <v>34</v>
      </c>
      <c r="E275" t="s">
        <v>20</v>
      </c>
      <c r="F275" t="s">
        <v>40</v>
      </c>
      <c r="G275">
        <v>63</v>
      </c>
      <c r="H275" t="s">
        <v>41</v>
      </c>
      <c r="I275" t="s">
        <v>57</v>
      </c>
      <c r="J275" t="s">
        <v>24</v>
      </c>
      <c r="K275">
        <v>0</v>
      </c>
      <c r="L275" s="4">
        <v>10657</v>
      </c>
      <c r="M275">
        <v>1000</v>
      </c>
      <c r="N275">
        <v>9657</v>
      </c>
      <c r="O275" t="s">
        <v>32</v>
      </c>
      <c r="P275">
        <v>3.9</v>
      </c>
      <c r="Q275">
        <v>78</v>
      </c>
      <c r="R275" t="str">
        <f>TEXT(Healthcare_Data[[#This Row],[Visit_Date]],"mmm")</f>
        <v>Apr</v>
      </c>
      <c r="S275">
        <f>MONTH(Healthcare_Data[[#This Row],[Visit_Date]])</f>
        <v>4</v>
      </c>
      <c r="T275" t="str">
        <f>IF(Healthcare_Data[[#This Row],[Final_Bill]]&gt;=50000,"High",IF(Healthcare_Data[[#This Row],[Final_Bill]]&gt;=20000,"Medium","low"))</f>
        <v>low</v>
      </c>
    </row>
    <row r="276" spans="1:20" x14ac:dyDescent="0.3">
      <c r="A276" t="s">
        <v>331</v>
      </c>
      <c r="B276" s="3">
        <v>45761</v>
      </c>
      <c r="C276" t="s">
        <v>27</v>
      </c>
      <c r="D276" t="s">
        <v>51</v>
      </c>
      <c r="E276" t="s">
        <v>20</v>
      </c>
      <c r="F276" t="s">
        <v>21</v>
      </c>
      <c r="G276">
        <v>48</v>
      </c>
      <c r="H276" t="s">
        <v>22</v>
      </c>
      <c r="I276" t="s">
        <v>69</v>
      </c>
      <c r="J276" t="s">
        <v>24</v>
      </c>
      <c r="K276">
        <v>0</v>
      </c>
      <c r="L276" s="4">
        <v>12186</v>
      </c>
      <c r="M276">
        <v>0</v>
      </c>
      <c r="N276">
        <v>12186</v>
      </c>
      <c r="O276" t="s">
        <v>25</v>
      </c>
      <c r="P276">
        <v>4.5</v>
      </c>
      <c r="Q276">
        <v>106</v>
      </c>
      <c r="R276" t="str">
        <f>TEXT(Healthcare_Data[[#This Row],[Visit_Date]],"mmm")</f>
        <v>Apr</v>
      </c>
      <c r="S276">
        <f>MONTH(Healthcare_Data[[#This Row],[Visit_Date]])</f>
        <v>4</v>
      </c>
      <c r="T276" t="str">
        <f>IF(Healthcare_Data[[#This Row],[Final_Bill]]&gt;=50000,"High",IF(Healthcare_Data[[#This Row],[Final_Bill]]&gt;=20000,"Medium","low"))</f>
        <v>low</v>
      </c>
    </row>
    <row r="277" spans="1:20" x14ac:dyDescent="0.3">
      <c r="A277" t="s">
        <v>332</v>
      </c>
      <c r="B277" s="3">
        <v>45761</v>
      </c>
      <c r="C277" t="s">
        <v>54</v>
      </c>
      <c r="D277" t="s">
        <v>28</v>
      </c>
      <c r="E277" t="s">
        <v>54</v>
      </c>
      <c r="F277" t="s">
        <v>40</v>
      </c>
      <c r="G277">
        <v>25</v>
      </c>
      <c r="H277" t="s">
        <v>29</v>
      </c>
      <c r="I277" t="s">
        <v>23</v>
      </c>
      <c r="J277" t="s">
        <v>31</v>
      </c>
      <c r="K277">
        <v>0</v>
      </c>
      <c r="L277" s="4">
        <v>38984</v>
      </c>
      <c r="M277">
        <v>500</v>
      </c>
      <c r="N277">
        <v>38484</v>
      </c>
      <c r="O277" t="s">
        <v>25</v>
      </c>
      <c r="Q277">
        <v>73</v>
      </c>
      <c r="R277" t="str">
        <f>TEXT(Healthcare_Data[[#This Row],[Visit_Date]],"mmm")</f>
        <v>Apr</v>
      </c>
      <c r="S277">
        <f>MONTH(Healthcare_Data[[#This Row],[Visit_Date]])</f>
        <v>4</v>
      </c>
      <c r="T277" t="str">
        <f>IF(Healthcare_Data[[#This Row],[Final_Bill]]&gt;=50000,"High",IF(Healthcare_Data[[#This Row],[Final_Bill]]&gt;=20000,"Medium","low"))</f>
        <v>Medium</v>
      </c>
    </row>
    <row r="278" spans="1:20" x14ac:dyDescent="0.3">
      <c r="A278" t="s">
        <v>333</v>
      </c>
      <c r="B278" s="3">
        <v>45762</v>
      </c>
      <c r="C278" t="s">
        <v>38</v>
      </c>
      <c r="D278" t="s">
        <v>19</v>
      </c>
      <c r="E278" t="s">
        <v>20</v>
      </c>
      <c r="F278" t="s">
        <v>21</v>
      </c>
      <c r="G278">
        <v>32</v>
      </c>
      <c r="H278" t="s">
        <v>29</v>
      </c>
      <c r="I278" t="s">
        <v>42</v>
      </c>
      <c r="J278" t="s">
        <v>24</v>
      </c>
      <c r="K278">
        <v>0</v>
      </c>
      <c r="L278" s="4">
        <v>18958</v>
      </c>
      <c r="M278">
        <v>0</v>
      </c>
      <c r="N278">
        <v>18958</v>
      </c>
      <c r="O278" t="s">
        <v>25</v>
      </c>
      <c r="P278">
        <v>4.8</v>
      </c>
      <c r="Q278">
        <v>107</v>
      </c>
      <c r="R278" t="str">
        <f>TEXT(Healthcare_Data[[#This Row],[Visit_Date]],"mmm")</f>
        <v>Apr</v>
      </c>
      <c r="S278">
        <f>MONTH(Healthcare_Data[[#This Row],[Visit_Date]])</f>
        <v>4</v>
      </c>
      <c r="T278" t="str">
        <f>IF(Healthcare_Data[[#This Row],[Final_Bill]]&gt;=50000,"High",IF(Healthcare_Data[[#This Row],[Final_Bill]]&gt;=20000,"Medium","low"))</f>
        <v>low</v>
      </c>
    </row>
    <row r="279" spans="1:20" x14ac:dyDescent="0.3">
      <c r="A279" t="s">
        <v>334</v>
      </c>
      <c r="B279" s="3">
        <v>45762</v>
      </c>
      <c r="C279" t="s">
        <v>44</v>
      </c>
      <c r="D279" t="s">
        <v>39</v>
      </c>
      <c r="E279" t="s">
        <v>52</v>
      </c>
      <c r="F279" t="s">
        <v>21</v>
      </c>
      <c r="G279">
        <v>79</v>
      </c>
      <c r="H279" t="s">
        <v>22</v>
      </c>
      <c r="I279" t="s">
        <v>63</v>
      </c>
      <c r="J279" t="s">
        <v>24</v>
      </c>
      <c r="K279">
        <v>9</v>
      </c>
      <c r="L279" s="4">
        <v>37174</v>
      </c>
      <c r="M279">
        <v>0</v>
      </c>
      <c r="N279">
        <v>37174</v>
      </c>
      <c r="O279" t="s">
        <v>25</v>
      </c>
      <c r="P279">
        <v>4.3</v>
      </c>
      <c r="Q279">
        <v>42</v>
      </c>
      <c r="R279" t="str">
        <f>TEXT(Healthcare_Data[[#This Row],[Visit_Date]],"mmm")</f>
        <v>Apr</v>
      </c>
      <c r="S279">
        <f>MONTH(Healthcare_Data[[#This Row],[Visit_Date]])</f>
        <v>4</v>
      </c>
      <c r="T279" t="str">
        <f>IF(Healthcare_Data[[#This Row],[Final_Bill]]&gt;=50000,"High",IF(Healthcare_Data[[#This Row],[Final_Bill]]&gt;=20000,"Medium","low"))</f>
        <v>Medium</v>
      </c>
    </row>
    <row r="280" spans="1:20" x14ac:dyDescent="0.3">
      <c r="A280" t="s">
        <v>335</v>
      </c>
      <c r="B280" s="3">
        <v>45763</v>
      </c>
      <c r="C280" t="s">
        <v>44</v>
      </c>
      <c r="D280" t="s">
        <v>51</v>
      </c>
      <c r="E280" t="s">
        <v>52</v>
      </c>
      <c r="F280" t="s">
        <v>40</v>
      </c>
      <c r="G280">
        <v>79</v>
      </c>
      <c r="H280" t="s">
        <v>56</v>
      </c>
      <c r="I280" t="s">
        <v>30</v>
      </c>
      <c r="J280" t="s">
        <v>24</v>
      </c>
      <c r="K280">
        <v>10</v>
      </c>
      <c r="L280" s="4">
        <v>63624</v>
      </c>
      <c r="M280">
        <v>500</v>
      </c>
      <c r="N280">
        <v>63124</v>
      </c>
      <c r="O280" t="s">
        <v>32</v>
      </c>
      <c r="P280">
        <v>4.9000000000000004</v>
      </c>
      <c r="Q280">
        <v>34</v>
      </c>
      <c r="R280" t="str">
        <f>TEXT(Healthcare_Data[[#This Row],[Visit_Date]],"mmm")</f>
        <v>Apr</v>
      </c>
      <c r="S280">
        <f>MONTH(Healthcare_Data[[#This Row],[Visit_Date]])</f>
        <v>4</v>
      </c>
      <c r="T280" t="str">
        <f>IF(Healthcare_Data[[#This Row],[Final_Bill]]&gt;=50000,"High",IF(Healthcare_Data[[#This Row],[Final_Bill]]&gt;=20000,"Medium","low"))</f>
        <v>High</v>
      </c>
    </row>
    <row r="281" spans="1:20" x14ac:dyDescent="0.3">
      <c r="A281" t="s">
        <v>336</v>
      </c>
      <c r="B281" s="3">
        <v>45763</v>
      </c>
      <c r="C281" t="s">
        <v>44</v>
      </c>
      <c r="D281" t="s">
        <v>19</v>
      </c>
      <c r="E281" t="s">
        <v>20</v>
      </c>
      <c r="F281" t="s">
        <v>40</v>
      </c>
      <c r="G281">
        <v>58</v>
      </c>
      <c r="H281" t="s">
        <v>56</v>
      </c>
      <c r="I281" t="s">
        <v>57</v>
      </c>
      <c r="J281" t="s">
        <v>58</v>
      </c>
      <c r="K281">
        <v>0</v>
      </c>
      <c r="L281" s="4">
        <v>6070</v>
      </c>
      <c r="M281">
        <v>500</v>
      </c>
      <c r="N281">
        <v>5570</v>
      </c>
      <c r="O281" t="s">
        <v>25</v>
      </c>
      <c r="P281">
        <v>3.9</v>
      </c>
      <c r="Q281">
        <v>16</v>
      </c>
      <c r="R281" t="str">
        <f>TEXT(Healthcare_Data[[#This Row],[Visit_Date]],"mmm")</f>
        <v>Apr</v>
      </c>
      <c r="S281">
        <f>MONTH(Healthcare_Data[[#This Row],[Visit_Date]])</f>
        <v>4</v>
      </c>
      <c r="T281" t="str">
        <f>IF(Healthcare_Data[[#This Row],[Final_Bill]]&gt;=50000,"High",IF(Healthcare_Data[[#This Row],[Final_Bill]]&gt;=20000,"Medium","low"))</f>
        <v>low</v>
      </c>
    </row>
    <row r="282" spans="1:20" x14ac:dyDescent="0.3">
      <c r="A282" t="s">
        <v>337</v>
      </c>
      <c r="B282" s="3">
        <v>45763</v>
      </c>
      <c r="C282" t="s">
        <v>27</v>
      </c>
      <c r="D282" t="s">
        <v>34</v>
      </c>
      <c r="E282" t="s">
        <v>20</v>
      </c>
      <c r="F282" t="s">
        <v>40</v>
      </c>
      <c r="G282">
        <v>49</v>
      </c>
      <c r="H282" t="s">
        <v>46</v>
      </c>
      <c r="I282" t="s">
        <v>72</v>
      </c>
      <c r="J282" t="s">
        <v>24</v>
      </c>
      <c r="K282">
        <v>0</v>
      </c>
      <c r="L282" s="4">
        <v>9717</v>
      </c>
      <c r="M282">
        <v>2000</v>
      </c>
      <c r="N282">
        <v>7717</v>
      </c>
      <c r="O282" t="s">
        <v>59</v>
      </c>
      <c r="P282">
        <v>4.2</v>
      </c>
      <c r="Q282">
        <v>13</v>
      </c>
      <c r="R282" t="str">
        <f>TEXT(Healthcare_Data[[#This Row],[Visit_Date]],"mmm")</f>
        <v>Apr</v>
      </c>
      <c r="S282">
        <f>MONTH(Healthcare_Data[[#This Row],[Visit_Date]])</f>
        <v>4</v>
      </c>
      <c r="T282" t="str">
        <f>IF(Healthcare_Data[[#This Row],[Final_Bill]]&gt;=50000,"High",IF(Healthcare_Data[[#This Row],[Final_Bill]]&gt;=20000,"Medium","low"))</f>
        <v>low</v>
      </c>
    </row>
    <row r="283" spans="1:20" x14ac:dyDescent="0.3">
      <c r="A283" t="s">
        <v>338</v>
      </c>
      <c r="B283" s="3">
        <v>45764</v>
      </c>
      <c r="C283" t="s">
        <v>18</v>
      </c>
      <c r="D283" t="s">
        <v>19</v>
      </c>
      <c r="E283" t="s">
        <v>52</v>
      </c>
      <c r="F283" t="s">
        <v>40</v>
      </c>
      <c r="G283">
        <v>40</v>
      </c>
      <c r="H283" t="s">
        <v>56</v>
      </c>
      <c r="I283" t="s">
        <v>57</v>
      </c>
      <c r="J283" t="s">
        <v>24</v>
      </c>
      <c r="K283">
        <v>7</v>
      </c>
      <c r="L283" s="4">
        <v>66690</v>
      </c>
      <c r="M283">
        <v>0</v>
      </c>
      <c r="N283">
        <v>66690</v>
      </c>
      <c r="O283" t="s">
        <v>25</v>
      </c>
      <c r="P283">
        <v>3.7</v>
      </c>
      <c r="Q283">
        <v>9</v>
      </c>
      <c r="R283" t="str">
        <f>TEXT(Healthcare_Data[[#This Row],[Visit_Date]],"mmm")</f>
        <v>Apr</v>
      </c>
      <c r="S283">
        <f>MONTH(Healthcare_Data[[#This Row],[Visit_Date]])</f>
        <v>4</v>
      </c>
      <c r="T283" t="str">
        <f>IF(Healthcare_Data[[#This Row],[Final_Bill]]&gt;=50000,"High",IF(Healthcare_Data[[#This Row],[Final_Bill]]&gt;=20000,"Medium","low"))</f>
        <v>High</v>
      </c>
    </row>
    <row r="284" spans="1:20" x14ac:dyDescent="0.3">
      <c r="A284" t="s">
        <v>339</v>
      </c>
      <c r="B284" s="3">
        <v>45764</v>
      </c>
      <c r="C284" t="s">
        <v>44</v>
      </c>
      <c r="D284" t="s">
        <v>51</v>
      </c>
      <c r="E284" t="s">
        <v>20</v>
      </c>
      <c r="F284" t="s">
        <v>40</v>
      </c>
      <c r="G284">
        <v>24</v>
      </c>
      <c r="H284" t="s">
        <v>35</v>
      </c>
      <c r="I284" t="s">
        <v>57</v>
      </c>
      <c r="J284" t="s">
        <v>24</v>
      </c>
      <c r="K284">
        <v>0</v>
      </c>
      <c r="L284" s="4">
        <v>3787</v>
      </c>
      <c r="M284">
        <v>0</v>
      </c>
      <c r="N284">
        <v>3787</v>
      </c>
      <c r="O284" t="s">
        <v>32</v>
      </c>
      <c r="P284">
        <v>3.9</v>
      </c>
      <c r="Q284">
        <v>30</v>
      </c>
      <c r="R284" t="str">
        <f>TEXT(Healthcare_Data[[#This Row],[Visit_Date]],"mmm")</f>
        <v>Apr</v>
      </c>
      <c r="S284">
        <f>MONTH(Healthcare_Data[[#This Row],[Visit_Date]])</f>
        <v>4</v>
      </c>
      <c r="T284" t="str">
        <f>IF(Healthcare_Data[[#This Row],[Final_Bill]]&gt;=50000,"High",IF(Healthcare_Data[[#This Row],[Final_Bill]]&gt;=20000,"Medium","low"))</f>
        <v>low</v>
      </c>
    </row>
    <row r="285" spans="1:20" x14ac:dyDescent="0.3">
      <c r="A285" t="s">
        <v>340</v>
      </c>
      <c r="B285" s="3">
        <v>45765</v>
      </c>
      <c r="C285" t="s">
        <v>50</v>
      </c>
      <c r="D285" t="s">
        <v>19</v>
      </c>
      <c r="E285" t="s">
        <v>20</v>
      </c>
      <c r="F285" t="s">
        <v>21</v>
      </c>
      <c r="G285">
        <v>80</v>
      </c>
      <c r="H285" t="s">
        <v>115</v>
      </c>
      <c r="I285" t="s">
        <v>69</v>
      </c>
      <c r="J285" t="s">
        <v>24</v>
      </c>
      <c r="K285">
        <v>0</v>
      </c>
      <c r="L285" s="4">
        <v>13028</v>
      </c>
      <c r="M285">
        <v>500</v>
      </c>
      <c r="N285">
        <v>12528</v>
      </c>
      <c r="O285" t="s">
        <v>25</v>
      </c>
      <c r="P285">
        <v>4.7</v>
      </c>
      <c r="Q285">
        <v>66</v>
      </c>
      <c r="R285" t="str">
        <f>TEXT(Healthcare_Data[[#This Row],[Visit_Date]],"mmm")</f>
        <v>Apr</v>
      </c>
      <c r="S285">
        <f>MONTH(Healthcare_Data[[#This Row],[Visit_Date]])</f>
        <v>4</v>
      </c>
      <c r="T285" t="str">
        <f>IF(Healthcare_Data[[#This Row],[Final_Bill]]&gt;=50000,"High",IF(Healthcare_Data[[#This Row],[Final_Bill]]&gt;=20000,"Medium","low"))</f>
        <v>low</v>
      </c>
    </row>
    <row r="286" spans="1:20" x14ac:dyDescent="0.3">
      <c r="A286" t="s">
        <v>341</v>
      </c>
      <c r="B286" s="3">
        <v>45765</v>
      </c>
      <c r="C286" t="s">
        <v>38</v>
      </c>
      <c r="D286" t="s">
        <v>51</v>
      </c>
      <c r="E286" t="s">
        <v>20</v>
      </c>
      <c r="F286" t="s">
        <v>21</v>
      </c>
      <c r="G286">
        <v>68</v>
      </c>
      <c r="H286" t="s">
        <v>56</v>
      </c>
      <c r="I286" t="s">
        <v>63</v>
      </c>
      <c r="J286" t="s">
        <v>24</v>
      </c>
      <c r="K286">
        <v>0</v>
      </c>
      <c r="L286" s="4">
        <v>18545</v>
      </c>
      <c r="M286">
        <v>0</v>
      </c>
      <c r="N286">
        <v>18545</v>
      </c>
      <c r="O286" t="s">
        <v>25</v>
      </c>
      <c r="P286">
        <v>3.4</v>
      </c>
      <c r="Q286">
        <v>42</v>
      </c>
      <c r="R286" t="str">
        <f>TEXT(Healthcare_Data[[#This Row],[Visit_Date]],"mmm")</f>
        <v>Apr</v>
      </c>
      <c r="S286">
        <f>MONTH(Healthcare_Data[[#This Row],[Visit_Date]])</f>
        <v>4</v>
      </c>
      <c r="T286" t="str">
        <f>IF(Healthcare_Data[[#This Row],[Final_Bill]]&gt;=50000,"High",IF(Healthcare_Data[[#This Row],[Final_Bill]]&gt;=20000,"Medium","low"))</f>
        <v>low</v>
      </c>
    </row>
    <row r="287" spans="1:20" x14ac:dyDescent="0.3">
      <c r="A287" t="s">
        <v>342</v>
      </c>
      <c r="B287" s="3">
        <v>45766</v>
      </c>
      <c r="C287" t="s">
        <v>48</v>
      </c>
      <c r="D287" t="s">
        <v>51</v>
      </c>
      <c r="E287" t="s">
        <v>52</v>
      </c>
      <c r="F287" t="s">
        <v>21</v>
      </c>
      <c r="G287">
        <v>19</v>
      </c>
      <c r="H287" t="s">
        <v>56</v>
      </c>
      <c r="I287" t="s">
        <v>23</v>
      </c>
      <c r="J287" t="s">
        <v>24</v>
      </c>
      <c r="K287">
        <v>4</v>
      </c>
      <c r="L287" s="4">
        <v>61514</v>
      </c>
      <c r="M287">
        <v>0</v>
      </c>
      <c r="N287">
        <v>61514</v>
      </c>
      <c r="O287" t="s">
        <v>25</v>
      </c>
      <c r="P287">
        <v>3.2</v>
      </c>
      <c r="Q287">
        <v>115</v>
      </c>
      <c r="R287" t="str">
        <f>TEXT(Healthcare_Data[[#This Row],[Visit_Date]],"mmm")</f>
        <v>Apr</v>
      </c>
      <c r="S287">
        <f>MONTH(Healthcare_Data[[#This Row],[Visit_Date]])</f>
        <v>4</v>
      </c>
      <c r="T287" t="str">
        <f>IF(Healthcare_Data[[#This Row],[Final_Bill]]&gt;=50000,"High",IF(Healthcare_Data[[#This Row],[Final_Bill]]&gt;=20000,"Medium","low"))</f>
        <v>High</v>
      </c>
    </row>
    <row r="288" spans="1:20" x14ac:dyDescent="0.3">
      <c r="A288" t="s">
        <v>343</v>
      </c>
      <c r="B288" s="3">
        <v>45766</v>
      </c>
      <c r="C288" t="s">
        <v>48</v>
      </c>
      <c r="D288" t="s">
        <v>28</v>
      </c>
      <c r="E288" t="s">
        <v>52</v>
      </c>
      <c r="F288" t="s">
        <v>21</v>
      </c>
      <c r="G288">
        <v>23</v>
      </c>
      <c r="H288" t="s">
        <v>56</v>
      </c>
      <c r="I288" t="s">
        <v>69</v>
      </c>
      <c r="J288" t="s">
        <v>58</v>
      </c>
      <c r="K288">
        <v>11</v>
      </c>
      <c r="L288" s="4">
        <v>28844</v>
      </c>
      <c r="M288">
        <v>0</v>
      </c>
      <c r="N288">
        <v>28844</v>
      </c>
      <c r="O288" t="s">
        <v>25</v>
      </c>
      <c r="P288">
        <v>4.7</v>
      </c>
      <c r="Q288">
        <v>23</v>
      </c>
      <c r="R288" t="str">
        <f>TEXT(Healthcare_Data[[#This Row],[Visit_Date]],"mmm")</f>
        <v>Apr</v>
      </c>
      <c r="S288">
        <f>MONTH(Healthcare_Data[[#This Row],[Visit_Date]])</f>
        <v>4</v>
      </c>
      <c r="T288" t="str">
        <f>IF(Healthcare_Data[[#This Row],[Final_Bill]]&gt;=50000,"High",IF(Healthcare_Data[[#This Row],[Final_Bill]]&gt;=20000,"Medium","low"))</f>
        <v>Medium</v>
      </c>
    </row>
    <row r="289" spans="1:20" x14ac:dyDescent="0.3">
      <c r="A289" t="s">
        <v>344</v>
      </c>
      <c r="B289" s="3">
        <v>45768</v>
      </c>
      <c r="C289" t="s">
        <v>50</v>
      </c>
      <c r="D289" t="s">
        <v>51</v>
      </c>
      <c r="E289" t="s">
        <v>52</v>
      </c>
      <c r="F289" t="s">
        <v>40</v>
      </c>
      <c r="G289">
        <v>61</v>
      </c>
      <c r="H289" t="s">
        <v>41</v>
      </c>
      <c r="I289" t="s">
        <v>63</v>
      </c>
      <c r="J289" t="s">
        <v>24</v>
      </c>
      <c r="K289">
        <v>6</v>
      </c>
      <c r="L289" s="4">
        <v>30522</v>
      </c>
      <c r="M289">
        <v>0</v>
      </c>
      <c r="N289">
        <v>30522</v>
      </c>
      <c r="O289" t="s">
        <v>25</v>
      </c>
      <c r="P289">
        <v>2.7</v>
      </c>
      <c r="Q289">
        <v>81</v>
      </c>
      <c r="R289" t="str">
        <f>TEXT(Healthcare_Data[[#This Row],[Visit_Date]],"mmm")</f>
        <v>Apr</v>
      </c>
      <c r="S289">
        <f>MONTH(Healthcare_Data[[#This Row],[Visit_Date]])</f>
        <v>4</v>
      </c>
      <c r="T289" t="str">
        <f>IF(Healthcare_Data[[#This Row],[Final_Bill]]&gt;=50000,"High",IF(Healthcare_Data[[#This Row],[Final_Bill]]&gt;=20000,"Medium","low"))</f>
        <v>Medium</v>
      </c>
    </row>
    <row r="290" spans="1:20" x14ac:dyDescent="0.3">
      <c r="A290" t="s">
        <v>345</v>
      </c>
      <c r="B290" s="3">
        <v>45768</v>
      </c>
      <c r="C290" t="s">
        <v>44</v>
      </c>
      <c r="D290" t="s">
        <v>39</v>
      </c>
      <c r="E290" t="s">
        <v>54</v>
      </c>
      <c r="F290" t="s">
        <v>21</v>
      </c>
      <c r="G290">
        <v>60</v>
      </c>
      <c r="H290" t="s">
        <v>115</v>
      </c>
      <c r="I290" t="s">
        <v>69</v>
      </c>
      <c r="J290" t="s">
        <v>31</v>
      </c>
      <c r="K290">
        <v>0</v>
      </c>
      <c r="L290" s="4">
        <v>41024</v>
      </c>
      <c r="M290">
        <v>0</v>
      </c>
      <c r="N290">
        <v>41024</v>
      </c>
      <c r="O290" t="s">
        <v>25</v>
      </c>
      <c r="P290">
        <v>2.6</v>
      </c>
      <c r="Q290">
        <v>40</v>
      </c>
      <c r="R290" t="str">
        <f>TEXT(Healthcare_Data[[#This Row],[Visit_Date]],"mmm")</f>
        <v>Apr</v>
      </c>
      <c r="S290">
        <f>MONTH(Healthcare_Data[[#This Row],[Visit_Date]])</f>
        <v>4</v>
      </c>
      <c r="T290" t="str">
        <f>IF(Healthcare_Data[[#This Row],[Final_Bill]]&gt;=50000,"High",IF(Healthcare_Data[[#This Row],[Final_Bill]]&gt;=20000,"Medium","low"))</f>
        <v>Medium</v>
      </c>
    </row>
    <row r="291" spans="1:20" x14ac:dyDescent="0.3">
      <c r="A291" t="s">
        <v>346</v>
      </c>
      <c r="B291" s="3">
        <v>45768</v>
      </c>
      <c r="C291" t="s">
        <v>44</v>
      </c>
      <c r="D291" t="s">
        <v>19</v>
      </c>
      <c r="E291" t="s">
        <v>54</v>
      </c>
      <c r="F291" t="s">
        <v>21</v>
      </c>
      <c r="G291">
        <v>64</v>
      </c>
      <c r="H291" t="s">
        <v>115</v>
      </c>
      <c r="I291" t="s">
        <v>69</v>
      </c>
      <c r="J291" t="s">
        <v>24</v>
      </c>
      <c r="K291">
        <v>0</v>
      </c>
      <c r="L291" s="4">
        <v>33034</v>
      </c>
      <c r="M291">
        <v>2000</v>
      </c>
      <c r="N291">
        <v>31034</v>
      </c>
      <c r="O291" t="s">
        <v>25</v>
      </c>
      <c r="P291">
        <v>3.8</v>
      </c>
      <c r="Q291">
        <v>73</v>
      </c>
      <c r="R291" t="str">
        <f>TEXT(Healthcare_Data[[#This Row],[Visit_Date]],"mmm")</f>
        <v>Apr</v>
      </c>
      <c r="S291">
        <f>MONTH(Healthcare_Data[[#This Row],[Visit_Date]])</f>
        <v>4</v>
      </c>
      <c r="T291" t="str">
        <f>IF(Healthcare_Data[[#This Row],[Final_Bill]]&gt;=50000,"High",IF(Healthcare_Data[[#This Row],[Final_Bill]]&gt;=20000,"Medium","low"))</f>
        <v>Medium</v>
      </c>
    </row>
    <row r="292" spans="1:20" x14ac:dyDescent="0.3">
      <c r="A292" t="s">
        <v>347</v>
      </c>
      <c r="B292" s="3">
        <v>45768</v>
      </c>
      <c r="C292" t="s">
        <v>54</v>
      </c>
      <c r="D292" t="s">
        <v>34</v>
      </c>
      <c r="E292" t="s">
        <v>20</v>
      </c>
      <c r="F292" t="s">
        <v>21</v>
      </c>
      <c r="G292">
        <v>28</v>
      </c>
      <c r="H292" t="s">
        <v>65</v>
      </c>
      <c r="I292" t="s">
        <v>57</v>
      </c>
      <c r="J292" t="s">
        <v>36</v>
      </c>
      <c r="K292">
        <v>0</v>
      </c>
      <c r="L292" s="4">
        <v>4052</v>
      </c>
      <c r="M292">
        <v>500</v>
      </c>
      <c r="N292">
        <v>3552</v>
      </c>
      <c r="O292" t="s">
        <v>25</v>
      </c>
      <c r="P292">
        <v>2.8</v>
      </c>
      <c r="Q292">
        <v>100</v>
      </c>
      <c r="R292" t="str">
        <f>TEXT(Healthcare_Data[[#This Row],[Visit_Date]],"mmm")</f>
        <v>Apr</v>
      </c>
      <c r="S292">
        <f>MONTH(Healthcare_Data[[#This Row],[Visit_Date]])</f>
        <v>4</v>
      </c>
      <c r="T292" t="str">
        <f>IF(Healthcare_Data[[#This Row],[Final_Bill]]&gt;=50000,"High",IF(Healthcare_Data[[#This Row],[Final_Bill]]&gt;=20000,"Medium","low"))</f>
        <v>low</v>
      </c>
    </row>
    <row r="293" spans="1:20" x14ac:dyDescent="0.3">
      <c r="A293" t="s">
        <v>348</v>
      </c>
      <c r="B293" s="3">
        <v>45768</v>
      </c>
      <c r="C293" t="s">
        <v>27</v>
      </c>
      <c r="D293" t="s">
        <v>39</v>
      </c>
      <c r="E293" t="s">
        <v>20</v>
      </c>
      <c r="F293" t="s">
        <v>21</v>
      </c>
      <c r="G293">
        <v>65</v>
      </c>
      <c r="H293" t="s">
        <v>46</v>
      </c>
      <c r="I293" t="s">
        <v>30</v>
      </c>
      <c r="J293" t="s">
        <v>24</v>
      </c>
      <c r="K293">
        <v>0</v>
      </c>
      <c r="L293" s="4">
        <v>2065</v>
      </c>
      <c r="M293">
        <v>1000</v>
      </c>
      <c r="N293">
        <v>1065</v>
      </c>
      <c r="O293" t="s">
        <v>59</v>
      </c>
      <c r="P293">
        <v>4.5</v>
      </c>
      <c r="Q293">
        <v>87</v>
      </c>
      <c r="R293" t="str">
        <f>TEXT(Healthcare_Data[[#This Row],[Visit_Date]],"mmm")</f>
        <v>Apr</v>
      </c>
      <c r="S293">
        <f>MONTH(Healthcare_Data[[#This Row],[Visit_Date]])</f>
        <v>4</v>
      </c>
      <c r="T293" t="str">
        <f>IF(Healthcare_Data[[#This Row],[Final_Bill]]&gt;=50000,"High",IF(Healthcare_Data[[#This Row],[Final_Bill]]&gt;=20000,"Medium","low"))</f>
        <v>low</v>
      </c>
    </row>
    <row r="294" spans="1:20" x14ac:dyDescent="0.3">
      <c r="A294" t="s">
        <v>349</v>
      </c>
      <c r="B294" s="3">
        <v>45769</v>
      </c>
      <c r="C294" t="s">
        <v>54</v>
      </c>
      <c r="D294" t="s">
        <v>51</v>
      </c>
      <c r="E294" t="s">
        <v>20</v>
      </c>
      <c r="F294" t="s">
        <v>40</v>
      </c>
      <c r="G294">
        <v>64</v>
      </c>
      <c r="H294" t="s">
        <v>22</v>
      </c>
      <c r="I294" t="s">
        <v>69</v>
      </c>
      <c r="J294" t="s">
        <v>31</v>
      </c>
      <c r="K294">
        <v>0</v>
      </c>
      <c r="L294" s="4">
        <v>9472</v>
      </c>
      <c r="M294">
        <v>0</v>
      </c>
      <c r="N294">
        <v>9472</v>
      </c>
      <c r="O294" t="s">
        <v>59</v>
      </c>
      <c r="P294">
        <v>4.9000000000000004</v>
      </c>
      <c r="Q294">
        <v>8</v>
      </c>
      <c r="R294" t="str">
        <f>TEXT(Healthcare_Data[[#This Row],[Visit_Date]],"mmm")</f>
        <v>Apr</v>
      </c>
      <c r="S294">
        <f>MONTH(Healthcare_Data[[#This Row],[Visit_Date]])</f>
        <v>4</v>
      </c>
      <c r="T294" t="str">
        <f>IF(Healthcare_Data[[#This Row],[Final_Bill]]&gt;=50000,"High",IF(Healthcare_Data[[#This Row],[Final_Bill]]&gt;=20000,"Medium","low"))</f>
        <v>low</v>
      </c>
    </row>
    <row r="295" spans="1:20" x14ac:dyDescent="0.3">
      <c r="A295" t="s">
        <v>350</v>
      </c>
      <c r="B295" s="3">
        <v>45769</v>
      </c>
      <c r="C295" t="s">
        <v>50</v>
      </c>
      <c r="D295" t="s">
        <v>34</v>
      </c>
      <c r="E295" t="s">
        <v>54</v>
      </c>
      <c r="F295" t="s">
        <v>21</v>
      </c>
      <c r="G295">
        <v>55</v>
      </c>
      <c r="H295" t="s">
        <v>22</v>
      </c>
      <c r="I295" t="s">
        <v>1057</v>
      </c>
      <c r="J295" t="s">
        <v>36</v>
      </c>
      <c r="K295">
        <v>0</v>
      </c>
      <c r="L295" s="4">
        <v>23524</v>
      </c>
      <c r="M295">
        <v>500</v>
      </c>
      <c r="N295">
        <v>23024</v>
      </c>
      <c r="O295" t="s">
        <v>25</v>
      </c>
      <c r="P295">
        <v>4.5999999999999996</v>
      </c>
      <c r="Q295">
        <v>91</v>
      </c>
      <c r="R295" t="str">
        <f>TEXT(Healthcare_Data[[#This Row],[Visit_Date]],"mmm")</f>
        <v>Apr</v>
      </c>
      <c r="S295">
        <f>MONTH(Healthcare_Data[[#This Row],[Visit_Date]])</f>
        <v>4</v>
      </c>
      <c r="T295" t="str">
        <f>IF(Healthcare_Data[[#This Row],[Final_Bill]]&gt;=50000,"High",IF(Healthcare_Data[[#This Row],[Final_Bill]]&gt;=20000,"Medium","low"))</f>
        <v>Medium</v>
      </c>
    </row>
    <row r="296" spans="1:20" x14ac:dyDescent="0.3">
      <c r="A296" t="s">
        <v>351</v>
      </c>
      <c r="B296" s="3">
        <v>45769</v>
      </c>
      <c r="C296" t="s">
        <v>48</v>
      </c>
      <c r="D296" t="s">
        <v>39</v>
      </c>
      <c r="E296" t="s">
        <v>20</v>
      </c>
      <c r="F296" t="s">
        <v>21</v>
      </c>
      <c r="G296">
        <v>72</v>
      </c>
      <c r="H296" t="s">
        <v>35</v>
      </c>
      <c r="I296" t="s">
        <v>69</v>
      </c>
      <c r="J296" t="s">
        <v>36</v>
      </c>
      <c r="K296">
        <v>0</v>
      </c>
      <c r="L296" s="4">
        <v>12530</v>
      </c>
      <c r="M296">
        <v>2000</v>
      </c>
      <c r="N296">
        <v>10530</v>
      </c>
      <c r="O296" t="s">
        <v>25</v>
      </c>
      <c r="P296">
        <v>3.3</v>
      </c>
      <c r="Q296">
        <v>46</v>
      </c>
      <c r="R296" t="str">
        <f>TEXT(Healthcare_Data[[#This Row],[Visit_Date]],"mmm")</f>
        <v>Apr</v>
      </c>
      <c r="S296">
        <f>MONTH(Healthcare_Data[[#This Row],[Visit_Date]])</f>
        <v>4</v>
      </c>
      <c r="T296" t="str">
        <f>IF(Healthcare_Data[[#This Row],[Final_Bill]]&gt;=50000,"High",IF(Healthcare_Data[[#This Row],[Final_Bill]]&gt;=20000,"Medium","low"))</f>
        <v>low</v>
      </c>
    </row>
    <row r="297" spans="1:20" x14ac:dyDescent="0.3">
      <c r="A297" t="s">
        <v>352</v>
      </c>
      <c r="B297" s="3">
        <v>45769</v>
      </c>
      <c r="C297" t="s">
        <v>50</v>
      </c>
      <c r="D297" t="s">
        <v>19</v>
      </c>
      <c r="E297" t="s">
        <v>54</v>
      </c>
      <c r="F297" t="s">
        <v>21</v>
      </c>
      <c r="G297">
        <v>59</v>
      </c>
      <c r="H297" t="s">
        <v>35</v>
      </c>
      <c r="I297" t="s">
        <v>42</v>
      </c>
      <c r="J297" t="s">
        <v>24</v>
      </c>
      <c r="K297">
        <v>0</v>
      </c>
      <c r="L297" s="4">
        <v>16077</v>
      </c>
      <c r="M297">
        <v>0</v>
      </c>
      <c r="N297">
        <v>16077</v>
      </c>
      <c r="O297" t="s">
        <v>59</v>
      </c>
      <c r="P297">
        <v>3.8</v>
      </c>
      <c r="Q297">
        <v>21</v>
      </c>
      <c r="R297" t="str">
        <f>TEXT(Healthcare_Data[[#This Row],[Visit_Date]],"mmm")</f>
        <v>Apr</v>
      </c>
      <c r="S297">
        <f>MONTH(Healthcare_Data[[#This Row],[Visit_Date]])</f>
        <v>4</v>
      </c>
      <c r="T297" t="str">
        <f>IF(Healthcare_Data[[#This Row],[Final_Bill]]&gt;=50000,"High",IF(Healthcare_Data[[#This Row],[Final_Bill]]&gt;=20000,"Medium","low"))</f>
        <v>low</v>
      </c>
    </row>
    <row r="298" spans="1:20" x14ac:dyDescent="0.3">
      <c r="A298" t="s">
        <v>353</v>
      </c>
      <c r="B298" s="3">
        <v>45770</v>
      </c>
      <c r="C298" t="s">
        <v>48</v>
      </c>
      <c r="D298" t="s">
        <v>51</v>
      </c>
      <c r="E298" t="s">
        <v>20</v>
      </c>
      <c r="F298" t="s">
        <v>40</v>
      </c>
      <c r="G298">
        <v>25</v>
      </c>
      <c r="H298" t="s">
        <v>29</v>
      </c>
      <c r="I298" t="s">
        <v>69</v>
      </c>
      <c r="J298" t="s">
        <v>24</v>
      </c>
      <c r="K298">
        <v>0</v>
      </c>
      <c r="L298" s="4">
        <v>14214</v>
      </c>
      <c r="M298">
        <v>0</v>
      </c>
      <c r="N298">
        <v>14214</v>
      </c>
      <c r="O298" t="s">
        <v>25</v>
      </c>
      <c r="P298">
        <v>3.2</v>
      </c>
      <c r="Q298">
        <v>56</v>
      </c>
      <c r="R298" t="str">
        <f>TEXT(Healthcare_Data[[#This Row],[Visit_Date]],"mmm")</f>
        <v>Apr</v>
      </c>
      <c r="S298">
        <f>MONTH(Healthcare_Data[[#This Row],[Visit_Date]])</f>
        <v>4</v>
      </c>
      <c r="T298" t="str">
        <f>IF(Healthcare_Data[[#This Row],[Final_Bill]]&gt;=50000,"High",IF(Healthcare_Data[[#This Row],[Final_Bill]]&gt;=20000,"Medium","low"))</f>
        <v>low</v>
      </c>
    </row>
    <row r="299" spans="1:20" x14ac:dyDescent="0.3">
      <c r="A299" t="s">
        <v>354</v>
      </c>
      <c r="B299" s="3">
        <v>45770</v>
      </c>
      <c r="C299" t="s">
        <v>18</v>
      </c>
      <c r="D299" t="s">
        <v>51</v>
      </c>
      <c r="E299" t="s">
        <v>20</v>
      </c>
      <c r="F299" t="s">
        <v>21</v>
      </c>
      <c r="G299">
        <v>42</v>
      </c>
      <c r="H299" t="s">
        <v>41</v>
      </c>
      <c r="I299" t="s">
        <v>57</v>
      </c>
      <c r="J299" t="s">
        <v>31</v>
      </c>
      <c r="K299">
        <v>0</v>
      </c>
      <c r="L299" s="4">
        <v>4565</v>
      </c>
      <c r="M299">
        <v>0</v>
      </c>
      <c r="N299">
        <v>4565</v>
      </c>
      <c r="O299" t="s">
        <v>25</v>
      </c>
      <c r="P299">
        <v>3</v>
      </c>
      <c r="Q299">
        <v>105</v>
      </c>
      <c r="R299" t="str">
        <f>TEXT(Healthcare_Data[[#This Row],[Visit_Date]],"mmm")</f>
        <v>Apr</v>
      </c>
      <c r="S299">
        <f>MONTH(Healthcare_Data[[#This Row],[Visit_Date]])</f>
        <v>4</v>
      </c>
      <c r="T299" t="str">
        <f>IF(Healthcare_Data[[#This Row],[Final_Bill]]&gt;=50000,"High",IF(Healthcare_Data[[#This Row],[Final_Bill]]&gt;=20000,"Medium","low"))</f>
        <v>low</v>
      </c>
    </row>
    <row r="300" spans="1:20" x14ac:dyDescent="0.3">
      <c r="A300" t="s">
        <v>355</v>
      </c>
      <c r="B300" s="3">
        <v>45770</v>
      </c>
      <c r="C300" t="s">
        <v>18</v>
      </c>
      <c r="D300" t="s">
        <v>34</v>
      </c>
      <c r="E300" t="s">
        <v>20</v>
      </c>
      <c r="F300" t="s">
        <v>40</v>
      </c>
      <c r="G300">
        <v>77</v>
      </c>
      <c r="H300" t="s">
        <v>35</v>
      </c>
      <c r="I300" t="s">
        <v>23</v>
      </c>
      <c r="J300" t="s">
        <v>24</v>
      </c>
      <c r="K300">
        <v>0</v>
      </c>
      <c r="L300" s="4">
        <v>15056</v>
      </c>
      <c r="M300">
        <v>0</v>
      </c>
      <c r="N300">
        <v>15056</v>
      </c>
      <c r="O300" t="s">
        <v>59</v>
      </c>
      <c r="P300">
        <v>2.7</v>
      </c>
      <c r="Q300">
        <v>95</v>
      </c>
      <c r="R300" t="str">
        <f>TEXT(Healthcare_Data[[#This Row],[Visit_Date]],"mmm")</f>
        <v>Apr</v>
      </c>
      <c r="S300">
        <f>MONTH(Healthcare_Data[[#This Row],[Visit_Date]])</f>
        <v>4</v>
      </c>
      <c r="T300" t="str">
        <f>IF(Healthcare_Data[[#This Row],[Final_Bill]]&gt;=50000,"High",IF(Healthcare_Data[[#This Row],[Final_Bill]]&gt;=20000,"Medium","low"))</f>
        <v>low</v>
      </c>
    </row>
    <row r="301" spans="1:20" x14ac:dyDescent="0.3">
      <c r="A301" t="s">
        <v>356</v>
      </c>
      <c r="B301" s="3">
        <v>45770</v>
      </c>
      <c r="C301" t="s">
        <v>67</v>
      </c>
      <c r="D301" t="s">
        <v>19</v>
      </c>
      <c r="E301" t="s">
        <v>20</v>
      </c>
      <c r="F301" t="s">
        <v>21</v>
      </c>
      <c r="G301">
        <v>63</v>
      </c>
      <c r="H301" t="s">
        <v>22</v>
      </c>
      <c r="I301" t="s">
        <v>72</v>
      </c>
      <c r="J301" t="s">
        <v>24</v>
      </c>
      <c r="K301">
        <v>0</v>
      </c>
      <c r="L301" s="4">
        <v>4439</v>
      </c>
      <c r="M301">
        <v>500</v>
      </c>
      <c r="N301">
        <v>3939</v>
      </c>
      <c r="O301" t="s">
        <v>25</v>
      </c>
      <c r="P301">
        <v>4.5</v>
      </c>
      <c r="Q301">
        <v>7</v>
      </c>
      <c r="R301" t="str">
        <f>TEXT(Healthcare_Data[[#This Row],[Visit_Date]],"mmm")</f>
        <v>Apr</v>
      </c>
      <c r="S301">
        <f>MONTH(Healthcare_Data[[#This Row],[Visit_Date]])</f>
        <v>4</v>
      </c>
      <c r="T301" t="str">
        <f>IF(Healthcare_Data[[#This Row],[Final_Bill]]&gt;=50000,"High",IF(Healthcare_Data[[#This Row],[Final_Bill]]&gt;=20000,"Medium","low"))</f>
        <v>low</v>
      </c>
    </row>
    <row r="302" spans="1:20" x14ac:dyDescent="0.3">
      <c r="A302" t="s">
        <v>357</v>
      </c>
      <c r="B302" s="3">
        <v>45770</v>
      </c>
      <c r="C302" t="s">
        <v>27</v>
      </c>
      <c r="D302" t="s">
        <v>34</v>
      </c>
      <c r="E302" t="s">
        <v>20</v>
      </c>
      <c r="F302" t="s">
        <v>40</v>
      </c>
      <c r="G302">
        <v>49</v>
      </c>
      <c r="H302" t="s">
        <v>35</v>
      </c>
      <c r="I302" t="s">
        <v>23</v>
      </c>
      <c r="J302" t="s">
        <v>36</v>
      </c>
      <c r="K302">
        <v>0</v>
      </c>
      <c r="L302" s="4">
        <v>7241</v>
      </c>
      <c r="M302">
        <v>1000</v>
      </c>
      <c r="N302">
        <v>6241</v>
      </c>
      <c r="O302" t="s">
        <v>32</v>
      </c>
      <c r="P302">
        <v>2.7</v>
      </c>
      <c r="Q302">
        <v>109</v>
      </c>
      <c r="R302" t="str">
        <f>TEXT(Healthcare_Data[[#This Row],[Visit_Date]],"mmm")</f>
        <v>Apr</v>
      </c>
      <c r="S302">
        <f>MONTH(Healthcare_Data[[#This Row],[Visit_Date]])</f>
        <v>4</v>
      </c>
      <c r="T302" t="str">
        <f>IF(Healthcare_Data[[#This Row],[Final_Bill]]&gt;=50000,"High",IF(Healthcare_Data[[#This Row],[Final_Bill]]&gt;=20000,"Medium","low"))</f>
        <v>low</v>
      </c>
    </row>
    <row r="303" spans="1:20" x14ac:dyDescent="0.3">
      <c r="A303" t="s">
        <v>358</v>
      </c>
      <c r="B303" s="3">
        <v>45770</v>
      </c>
      <c r="C303" t="s">
        <v>50</v>
      </c>
      <c r="D303" t="s">
        <v>19</v>
      </c>
      <c r="E303" t="s">
        <v>20</v>
      </c>
      <c r="F303" t="s">
        <v>40</v>
      </c>
      <c r="G303">
        <v>53</v>
      </c>
      <c r="H303" t="s">
        <v>22</v>
      </c>
      <c r="I303" t="s">
        <v>69</v>
      </c>
      <c r="J303" t="s">
        <v>36</v>
      </c>
      <c r="K303">
        <v>0</v>
      </c>
      <c r="L303" s="4">
        <v>16641</v>
      </c>
      <c r="M303">
        <v>1500</v>
      </c>
      <c r="N303">
        <v>15141</v>
      </c>
      <c r="O303" t="s">
        <v>25</v>
      </c>
      <c r="P303">
        <v>4</v>
      </c>
      <c r="Q303">
        <v>120</v>
      </c>
      <c r="R303" t="str">
        <f>TEXT(Healthcare_Data[[#This Row],[Visit_Date]],"mmm")</f>
        <v>Apr</v>
      </c>
      <c r="S303">
        <f>MONTH(Healthcare_Data[[#This Row],[Visit_Date]])</f>
        <v>4</v>
      </c>
      <c r="T303" t="str">
        <f>IF(Healthcare_Data[[#This Row],[Final_Bill]]&gt;=50000,"High",IF(Healthcare_Data[[#This Row],[Final_Bill]]&gt;=20000,"Medium","low"))</f>
        <v>low</v>
      </c>
    </row>
    <row r="304" spans="1:20" x14ac:dyDescent="0.3">
      <c r="A304" t="s">
        <v>359</v>
      </c>
      <c r="B304" s="3">
        <v>45770</v>
      </c>
      <c r="C304" t="s">
        <v>18</v>
      </c>
      <c r="D304" t="s">
        <v>19</v>
      </c>
      <c r="E304" t="s">
        <v>20</v>
      </c>
      <c r="F304" t="s">
        <v>21</v>
      </c>
      <c r="G304">
        <v>43</v>
      </c>
      <c r="H304" t="s">
        <v>65</v>
      </c>
      <c r="I304" t="s">
        <v>61</v>
      </c>
      <c r="J304" t="s">
        <v>24</v>
      </c>
      <c r="K304">
        <v>0</v>
      </c>
      <c r="L304" s="4">
        <v>14926</v>
      </c>
      <c r="M304">
        <v>0</v>
      </c>
      <c r="N304">
        <v>14926</v>
      </c>
      <c r="O304" t="s">
        <v>25</v>
      </c>
      <c r="P304">
        <v>4.3</v>
      </c>
      <c r="Q304">
        <v>114</v>
      </c>
      <c r="R304" t="str">
        <f>TEXT(Healthcare_Data[[#This Row],[Visit_Date]],"mmm")</f>
        <v>Apr</v>
      </c>
      <c r="S304">
        <f>MONTH(Healthcare_Data[[#This Row],[Visit_Date]])</f>
        <v>4</v>
      </c>
      <c r="T304" t="str">
        <f>IF(Healthcare_Data[[#This Row],[Final_Bill]]&gt;=50000,"High",IF(Healthcare_Data[[#This Row],[Final_Bill]]&gt;=20000,"Medium","low"))</f>
        <v>low</v>
      </c>
    </row>
    <row r="305" spans="1:20" x14ac:dyDescent="0.3">
      <c r="A305" t="s">
        <v>360</v>
      </c>
      <c r="B305" s="3">
        <v>45771</v>
      </c>
      <c r="C305" t="s">
        <v>27</v>
      </c>
      <c r="D305" t="s">
        <v>51</v>
      </c>
      <c r="E305" t="s">
        <v>52</v>
      </c>
      <c r="F305" t="s">
        <v>40</v>
      </c>
      <c r="G305">
        <v>63</v>
      </c>
      <c r="H305" t="s">
        <v>65</v>
      </c>
      <c r="I305" t="s">
        <v>23</v>
      </c>
      <c r="J305" t="s">
        <v>58</v>
      </c>
      <c r="K305">
        <v>1</v>
      </c>
      <c r="L305" s="4">
        <v>35054</v>
      </c>
      <c r="M305">
        <v>0</v>
      </c>
      <c r="N305">
        <v>35054</v>
      </c>
      <c r="O305" t="s">
        <v>25</v>
      </c>
      <c r="P305">
        <v>3.1</v>
      </c>
      <c r="Q305">
        <v>103</v>
      </c>
      <c r="R305" t="str">
        <f>TEXT(Healthcare_Data[[#This Row],[Visit_Date]],"mmm")</f>
        <v>Apr</v>
      </c>
      <c r="S305">
        <f>MONTH(Healthcare_Data[[#This Row],[Visit_Date]])</f>
        <v>4</v>
      </c>
      <c r="T305" t="str">
        <f>IF(Healthcare_Data[[#This Row],[Final_Bill]]&gt;=50000,"High",IF(Healthcare_Data[[#This Row],[Final_Bill]]&gt;=20000,"Medium","low"))</f>
        <v>Medium</v>
      </c>
    </row>
    <row r="306" spans="1:20" x14ac:dyDescent="0.3">
      <c r="A306" t="s">
        <v>361</v>
      </c>
      <c r="B306" s="3">
        <v>45771</v>
      </c>
      <c r="C306" t="s">
        <v>27</v>
      </c>
      <c r="D306" t="s">
        <v>51</v>
      </c>
      <c r="E306" t="s">
        <v>52</v>
      </c>
      <c r="F306" t="s">
        <v>21</v>
      </c>
      <c r="G306">
        <v>57</v>
      </c>
      <c r="H306" t="s">
        <v>56</v>
      </c>
      <c r="I306" t="s">
        <v>61</v>
      </c>
      <c r="J306" t="s">
        <v>24</v>
      </c>
      <c r="K306">
        <v>6</v>
      </c>
      <c r="L306" s="4">
        <v>18983</v>
      </c>
      <c r="M306">
        <v>0</v>
      </c>
      <c r="N306">
        <v>18983</v>
      </c>
      <c r="O306" t="s">
        <v>25</v>
      </c>
      <c r="P306">
        <v>3</v>
      </c>
      <c r="Q306">
        <v>37</v>
      </c>
      <c r="R306" t="str">
        <f>TEXT(Healthcare_Data[[#This Row],[Visit_Date]],"mmm")</f>
        <v>Apr</v>
      </c>
      <c r="S306">
        <f>MONTH(Healthcare_Data[[#This Row],[Visit_Date]])</f>
        <v>4</v>
      </c>
      <c r="T306" t="str">
        <f>IF(Healthcare_Data[[#This Row],[Final_Bill]]&gt;=50000,"High",IF(Healthcare_Data[[#This Row],[Final_Bill]]&gt;=20000,"Medium","low"))</f>
        <v>low</v>
      </c>
    </row>
    <row r="307" spans="1:20" x14ac:dyDescent="0.3">
      <c r="A307" t="s">
        <v>362</v>
      </c>
      <c r="B307" s="3">
        <v>45772</v>
      </c>
      <c r="C307" t="s">
        <v>18</v>
      </c>
      <c r="D307" t="s">
        <v>28</v>
      </c>
      <c r="E307" t="s">
        <v>52</v>
      </c>
      <c r="F307" t="s">
        <v>40</v>
      </c>
      <c r="G307">
        <v>78</v>
      </c>
      <c r="H307" t="s">
        <v>65</v>
      </c>
      <c r="I307" t="s">
        <v>30</v>
      </c>
      <c r="J307" t="s">
        <v>24</v>
      </c>
      <c r="K307">
        <v>8</v>
      </c>
      <c r="L307" s="4">
        <v>56476</v>
      </c>
      <c r="M307">
        <v>0</v>
      </c>
      <c r="N307">
        <v>56476</v>
      </c>
      <c r="O307" t="s">
        <v>25</v>
      </c>
      <c r="P307">
        <v>4.4000000000000004</v>
      </c>
      <c r="Q307">
        <v>23</v>
      </c>
      <c r="R307" t="str">
        <f>TEXT(Healthcare_Data[[#This Row],[Visit_Date]],"mmm")</f>
        <v>Apr</v>
      </c>
      <c r="S307">
        <f>MONTH(Healthcare_Data[[#This Row],[Visit_Date]])</f>
        <v>4</v>
      </c>
      <c r="T307" t="str">
        <f>IF(Healthcare_Data[[#This Row],[Final_Bill]]&gt;=50000,"High",IF(Healthcare_Data[[#This Row],[Final_Bill]]&gt;=20000,"Medium","low"))</f>
        <v>High</v>
      </c>
    </row>
    <row r="308" spans="1:20" x14ac:dyDescent="0.3">
      <c r="A308" t="s">
        <v>363</v>
      </c>
      <c r="B308" s="3">
        <v>45773</v>
      </c>
      <c r="C308" t="s">
        <v>48</v>
      </c>
      <c r="D308" t="s">
        <v>19</v>
      </c>
      <c r="E308" t="s">
        <v>20</v>
      </c>
      <c r="F308" t="s">
        <v>40</v>
      </c>
      <c r="G308">
        <v>26</v>
      </c>
      <c r="H308" t="s">
        <v>35</v>
      </c>
      <c r="I308" t="s">
        <v>23</v>
      </c>
      <c r="J308" t="s">
        <v>31</v>
      </c>
      <c r="K308">
        <v>0</v>
      </c>
      <c r="L308" s="4">
        <v>8429</v>
      </c>
      <c r="M308">
        <v>0</v>
      </c>
      <c r="N308">
        <v>8429</v>
      </c>
      <c r="O308" t="s">
        <v>25</v>
      </c>
      <c r="P308">
        <v>2.9</v>
      </c>
      <c r="Q308">
        <v>86</v>
      </c>
      <c r="R308" t="str">
        <f>TEXT(Healthcare_Data[[#This Row],[Visit_Date]],"mmm")</f>
        <v>Apr</v>
      </c>
      <c r="S308">
        <f>MONTH(Healthcare_Data[[#This Row],[Visit_Date]])</f>
        <v>4</v>
      </c>
      <c r="T308" t="str">
        <f>IF(Healthcare_Data[[#This Row],[Final_Bill]]&gt;=50000,"High",IF(Healthcare_Data[[#This Row],[Final_Bill]]&gt;=20000,"Medium","low"))</f>
        <v>low</v>
      </c>
    </row>
    <row r="309" spans="1:20" x14ac:dyDescent="0.3">
      <c r="A309" t="s">
        <v>364</v>
      </c>
      <c r="B309" s="3">
        <v>45773</v>
      </c>
      <c r="C309" t="s">
        <v>38</v>
      </c>
      <c r="D309" t="s">
        <v>39</v>
      </c>
      <c r="E309" t="s">
        <v>20</v>
      </c>
      <c r="F309" t="s">
        <v>40</v>
      </c>
      <c r="G309">
        <v>62</v>
      </c>
      <c r="H309" t="s">
        <v>35</v>
      </c>
      <c r="I309" t="s">
        <v>72</v>
      </c>
      <c r="J309" t="s">
        <v>58</v>
      </c>
      <c r="K309">
        <v>0</v>
      </c>
      <c r="L309" s="4">
        <v>11672</v>
      </c>
      <c r="M309">
        <v>0</v>
      </c>
      <c r="N309">
        <v>11672</v>
      </c>
      <c r="O309" t="s">
        <v>25</v>
      </c>
      <c r="P309">
        <v>3.6</v>
      </c>
      <c r="Q309">
        <v>91</v>
      </c>
      <c r="R309" t="str">
        <f>TEXT(Healthcare_Data[[#This Row],[Visit_Date]],"mmm")</f>
        <v>Apr</v>
      </c>
      <c r="S309">
        <f>MONTH(Healthcare_Data[[#This Row],[Visit_Date]])</f>
        <v>4</v>
      </c>
      <c r="T309" t="str">
        <f>IF(Healthcare_Data[[#This Row],[Final_Bill]]&gt;=50000,"High",IF(Healthcare_Data[[#This Row],[Final_Bill]]&gt;=20000,"Medium","low"))</f>
        <v>low</v>
      </c>
    </row>
    <row r="310" spans="1:20" x14ac:dyDescent="0.3">
      <c r="A310" t="s">
        <v>365</v>
      </c>
      <c r="B310" s="3">
        <v>45773</v>
      </c>
      <c r="C310" t="s">
        <v>48</v>
      </c>
      <c r="D310" t="s">
        <v>19</v>
      </c>
      <c r="E310" t="s">
        <v>20</v>
      </c>
      <c r="F310" t="s">
        <v>21</v>
      </c>
      <c r="G310">
        <v>72</v>
      </c>
      <c r="H310" t="s">
        <v>29</v>
      </c>
      <c r="I310" t="s">
        <v>42</v>
      </c>
      <c r="J310" t="s">
        <v>31</v>
      </c>
      <c r="K310">
        <v>0</v>
      </c>
      <c r="L310" s="4">
        <v>10936</v>
      </c>
      <c r="M310">
        <v>2000</v>
      </c>
      <c r="N310">
        <v>8936</v>
      </c>
      <c r="O310" t="s">
        <v>25</v>
      </c>
      <c r="P310">
        <v>3.1</v>
      </c>
      <c r="Q310">
        <v>92</v>
      </c>
      <c r="R310" t="str">
        <f>TEXT(Healthcare_Data[[#This Row],[Visit_Date]],"mmm")</f>
        <v>Apr</v>
      </c>
      <c r="S310">
        <f>MONTH(Healthcare_Data[[#This Row],[Visit_Date]])</f>
        <v>4</v>
      </c>
      <c r="T310" t="str">
        <f>IF(Healthcare_Data[[#This Row],[Final_Bill]]&gt;=50000,"High",IF(Healthcare_Data[[#This Row],[Final_Bill]]&gt;=20000,"Medium","low"))</f>
        <v>low</v>
      </c>
    </row>
    <row r="311" spans="1:20" x14ac:dyDescent="0.3">
      <c r="A311" t="s">
        <v>366</v>
      </c>
      <c r="B311" s="3">
        <v>45774</v>
      </c>
      <c r="C311" t="s">
        <v>38</v>
      </c>
      <c r="D311" t="s">
        <v>28</v>
      </c>
      <c r="E311" t="s">
        <v>20</v>
      </c>
      <c r="F311" t="s">
        <v>21</v>
      </c>
      <c r="G311">
        <v>65</v>
      </c>
      <c r="H311" t="s">
        <v>65</v>
      </c>
      <c r="I311" t="s">
        <v>42</v>
      </c>
      <c r="J311" t="s">
        <v>31</v>
      </c>
      <c r="K311">
        <v>0</v>
      </c>
      <c r="L311" s="4">
        <v>11203</v>
      </c>
      <c r="M311">
        <v>0</v>
      </c>
      <c r="N311">
        <v>11203</v>
      </c>
      <c r="O311" t="s">
        <v>32</v>
      </c>
      <c r="P311">
        <v>3.1</v>
      </c>
      <c r="Q311">
        <v>61</v>
      </c>
      <c r="R311" t="str">
        <f>TEXT(Healthcare_Data[[#This Row],[Visit_Date]],"mmm")</f>
        <v>Apr</v>
      </c>
      <c r="S311">
        <f>MONTH(Healthcare_Data[[#This Row],[Visit_Date]])</f>
        <v>4</v>
      </c>
      <c r="T311" t="str">
        <f>IF(Healthcare_Data[[#This Row],[Final_Bill]]&gt;=50000,"High",IF(Healthcare_Data[[#This Row],[Final_Bill]]&gt;=20000,"Medium","low"))</f>
        <v>low</v>
      </c>
    </row>
    <row r="312" spans="1:20" x14ac:dyDescent="0.3">
      <c r="A312" t="s">
        <v>367</v>
      </c>
      <c r="B312" s="3">
        <v>45774</v>
      </c>
      <c r="C312" t="s">
        <v>54</v>
      </c>
      <c r="D312" t="s">
        <v>19</v>
      </c>
      <c r="E312" t="s">
        <v>20</v>
      </c>
      <c r="F312" t="s">
        <v>40</v>
      </c>
      <c r="G312">
        <v>73</v>
      </c>
      <c r="H312" t="s">
        <v>115</v>
      </c>
      <c r="I312" t="s">
        <v>72</v>
      </c>
      <c r="J312" t="s">
        <v>31</v>
      </c>
      <c r="K312">
        <v>0</v>
      </c>
      <c r="L312" s="4">
        <v>17616</v>
      </c>
      <c r="M312">
        <v>0</v>
      </c>
      <c r="N312">
        <v>17616</v>
      </c>
      <c r="O312" t="s">
        <v>25</v>
      </c>
      <c r="P312">
        <v>4.2</v>
      </c>
      <c r="Q312">
        <v>43</v>
      </c>
      <c r="R312" t="str">
        <f>TEXT(Healthcare_Data[[#This Row],[Visit_Date]],"mmm")</f>
        <v>Apr</v>
      </c>
      <c r="S312">
        <f>MONTH(Healthcare_Data[[#This Row],[Visit_Date]])</f>
        <v>4</v>
      </c>
      <c r="T312" t="str">
        <f>IF(Healthcare_Data[[#This Row],[Final_Bill]]&gt;=50000,"High",IF(Healthcare_Data[[#This Row],[Final_Bill]]&gt;=20000,"Medium","low"))</f>
        <v>low</v>
      </c>
    </row>
    <row r="313" spans="1:20" x14ac:dyDescent="0.3">
      <c r="A313" t="s">
        <v>368</v>
      </c>
      <c r="B313" s="3">
        <v>45775</v>
      </c>
      <c r="C313" t="s">
        <v>18</v>
      </c>
      <c r="D313" t="s">
        <v>19</v>
      </c>
      <c r="E313" t="s">
        <v>20</v>
      </c>
      <c r="F313" t="s">
        <v>40</v>
      </c>
      <c r="G313">
        <v>68</v>
      </c>
      <c r="H313" t="s">
        <v>46</v>
      </c>
      <c r="I313" t="s">
        <v>42</v>
      </c>
      <c r="J313" t="s">
        <v>24</v>
      </c>
      <c r="K313">
        <v>0</v>
      </c>
      <c r="L313" s="4">
        <v>17994</v>
      </c>
      <c r="M313">
        <v>0</v>
      </c>
      <c r="N313">
        <v>17994</v>
      </c>
      <c r="O313" t="s">
        <v>25</v>
      </c>
      <c r="P313">
        <v>2.6</v>
      </c>
      <c r="Q313">
        <v>34</v>
      </c>
      <c r="R313" t="str">
        <f>TEXT(Healthcare_Data[[#This Row],[Visit_Date]],"mmm")</f>
        <v>Apr</v>
      </c>
      <c r="S313">
        <f>MONTH(Healthcare_Data[[#This Row],[Visit_Date]])</f>
        <v>4</v>
      </c>
      <c r="T313" t="str">
        <f>IF(Healthcare_Data[[#This Row],[Final_Bill]]&gt;=50000,"High",IF(Healthcare_Data[[#This Row],[Final_Bill]]&gt;=20000,"Medium","low"))</f>
        <v>low</v>
      </c>
    </row>
    <row r="314" spans="1:20" x14ac:dyDescent="0.3">
      <c r="A314" t="s">
        <v>369</v>
      </c>
      <c r="B314" s="3">
        <v>45775</v>
      </c>
      <c r="C314" t="s">
        <v>48</v>
      </c>
      <c r="D314" t="s">
        <v>34</v>
      </c>
      <c r="E314" t="s">
        <v>52</v>
      </c>
      <c r="F314" t="s">
        <v>21</v>
      </c>
      <c r="G314">
        <v>77</v>
      </c>
      <c r="H314" t="s">
        <v>115</v>
      </c>
      <c r="I314" t="s">
        <v>72</v>
      </c>
      <c r="J314" t="s">
        <v>31</v>
      </c>
      <c r="K314">
        <v>2</v>
      </c>
      <c r="L314" s="4">
        <v>59512</v>
      </c>
      <c r="M314">
        <v>1000</v>
      </c>
      <c r="N314">
        <v>58512</v>
      </c>
      <c r="O314" t="s">
        <v>25</v>
      </c>
      <c r="P314">
        <v>3.1</v>
      </c>
      <c r="Q314">
        <v>117</v>
      </c>
      <c r="R314" t="str">
        <f>TEXT(Healthcare_Data[[#This Row],[Visit_Date]],"mmm")</f>
        <v>Apr</v>
      </c>
      <c r="S314">
        <f>MONTH(Healthcare_Data[[#This Row],[Visit_Date]])</f>
        <v>4</v>
      </c>
      <c r="T314" t="str">
        <f>IF(Healthcare_Data[[#This Row],[Final_Bill]]&gt;=50000,"High",IF(Healthcare_Data[[#This Row],[Final_Bill]]&gt;=20000,"Medium","low"))</f>
        <v>High</v>
      </c>
    </row>
    <row r="315" spans="1:20" x14ac:dyDescent="0.3">
      <c r="A315" t="s">
        <v>370</v>
      </c>
      <c r="B315" s="3">
        <v>45775</v>
      </c>
      <c r="C315" t="s">
        <v>38</v>
      </c>
      <c r="D315" t="s">
        <v>51</v>
      </c>
      <c r="E315" t="s">
        <v>20</v>
      </c>
      <c r="F315" t="s">
        <v>40</v>
      </c>
      <c r="G315">
        <v>64</v>
      </c>
      <c r="H315" t="s">
        <v>22</v>
      </c>
      <c r="I315" t="s">
        <v>30</v>
      </c>
      <c r="J315" t="s">
        <v>36</v>
      </c>
      <c r="K315">
        <v>0</v>
      </c>
      <c r="L315" s="4">
        <v>6653</v>
      </c>
      <c r="M315">
        <v>500</v>
      </c>
      <c r="N315">
        <v>6153</v>
      </c>
      <c r="O315" t="s">
        <v>25</v>
      </c>
      <c r="P315">
        <v>3.9</v>
      </c>
      <c r="Q315">
        <v>109</v>
      </c>
      <c r="R315" t="str">
        <f>TEXT(Healthcare_Data[[#This Row],[Visit_Date]],"mmm")</f>
        <v>Apr</v>
      </c>
      <c r="S315">
        <f>MONTH(Healthcare_Data[[#This Row],[Visit_Date]])</f>
        <v>4</v>
      </c>
      <c r="T315" t="str">
        <f>IF(Healthcare_Data[[#This Row],[Final_Bill]]&gt;=50000,"High",IF(Healthcare_Data[[#This Row],[Final_Bill]]&gt;=20000,"Medium","low"))</f>
        <v>low</v>
      </c>
    </row>
    <row r="316" spans="1:20" x14ac:dyDescent="0.3">
      <c r="A316" t="s">
        <v>371</v>
      </c>
      <c r="B316" s="3">
        <v>45775</v>
      </c>
      <c r="C316" t="s">
        <v>54</v>
      </c>
      <c r="D316" t="s">
        <v>39</v>
      </c>
      <c r="E316" t="s">
        <v>20</v>
      </c>
      <c r="F316" t="s">
        <v>40</v>
      </c>
      <c r="G316">
        <v>41</v>
      </c>
      <c r="H316" t="s">
        <v>65</v>
      </c>
      <c r="I316" t="s">
        <v>23</v>
      </c>
      <c r="J316" t="s">
        <v>24</v>
      </c>
      <c r="K316">
        <v>0</v>
      </c>
      <c r="L316" s="4">
        <v>17544</v>
      </c>
      <c r="M316">
        <v>1500</v>
      </c>
      <c r="N316">
        <v>16044</v>
      </c>
      <c r="O316" t="s">
        <v>59</v>
      </c>
      <c r="P316">
        <v>3.1</v>
      </c>
      <c r="Q316">
        <v>81</v>
      </c>
      <c r="R316" t="str">
        <f>TEXT(Healthcare_Data[[#This Row],[Visit_Date]],"mmm")</f>
        <v>Apr</v>
      </c>
      <c r="S316">
        <f>MONTH(Healthcare_Data[[#This Row],[Visit_Date]])</f>
        <v>4</v>
      </c>
      <c r="T316" t="str">
        <f>IF(Healthcare_Data[[#This Row],[Final_Bill]]&gt;=50000,"High",IF(Healthcare_Data[[#This Row],[Final_Bill]]&gt;=20000,"Medium","low"))</f>
        <v>low</v>
      </c>
    </row>
    <row r="317" spans="1:20" x14ac:dyDescent="0.3">
      <c r="A317" t="s">
        <v>372</v>
      </c>
      <c r="B317" s="3">
        <v>45776</v>
      </c>
      <c r="C317" t="s">
        <v>67</v>
      </c>
      <c r="D317" t="s">
        <v>34</v>
      </c>
      <c r="E317" t="s">
        <v>54</v>
      </c>
      <c r="F317" t="s">
        <v>21</v>
      </c>
      <c r="G317">
        <v>19</v>
      </c>
      <c r="H317" t="s">
        <v>29</v>
      </c>
      <c r="I317" t="s">
        <v>69</v>
      </c>
      <c r="J317" t="s">
        <v>24</v>
      </c>
      <c r="K317">
        <v>0</v>
      </c>
      <c r="L317" s="4">
        <v>34148</v>
      </c>
      <c r="M317">
        <v>0</v>
      </c>
      <c r="N317">
        <v>34148</v>
      </c>
      <c r="O317" t="s">
        <v>25</v>
      </c>
      <c r="P317">
        <v>4.8</v>
      </c>
      <c r="Q317">
        <v>97</v>
      </c>
      <c r="R317" t="str">
        <f>TEXT(Healthcare_Data[[#This Row],[Visit_Date]],"mmm")</f>
        <v>Apr</v>
      </c>
      <c r="S317">
        <f>MONTH(Healthcare_Data[[#This Row],[Visit_Date]])</f>
        <v>4</v>
      </c>
      <c r="T317" t="str">
        <f>IF(Healthcare_Data[[#This Row],[Final_Bill]]&gt;=50000,"High",IF(Healthcare_Data[[#This Row],[Final_Bill]]&gt;=20000,"Medium","low"))</f>
        <v>Medium</v>
      </c>
    </row>
    <row r="318" spans="1:20" x14ac:dyDescent="0.3">
      <c r="A318" t="s">
        <v>373</v>
      </c>
      <c r="B318" s="3">
        <v>45776</v>
      </c>
      <c r="C318" t="s">
        <v>38</v>
      </c>
      <c r="D318" t="s">
        <v>39</v>
      </c>
      <c r="E318" t="s">
        <v>20</v>
      </c>
      <c r="F318" t="s">
        <v>21</v>
      </c>
      <c r="G318">
        <v>78</v>
      </c>
      <c r="H318" t="s">
        <v>29</v>
      </c>
      <c r="I318" t="s">
        <v>42</v>
      </c>
      <c r="J318" t="s">
        <v>58</v>
      </c>
      <c r="K318">
        <v>0</v>
      </c>
      <c r="L318" s="4">
        <v>7658</v>
      </c>
      <c r="M318">
        <v>0</v>
      </c>
      <c r="N318">
        <v>7658</v>
      </c>
      <c r="O318" t="s">
        <v>25</v>
      </c>
      <c r="P318">
        <v>3.8</v>
      </c>
      <c r="Q318">
        <v>85</v>
      </c>
      <c r="R318" t="str">
        <f>TEXT(Healthcare_Data[[#This Row],[Visit_Date]],"mmm")</f>
        <v>Apr</v>
      </c>
      <c r="S318">
        <f>MONTH(Healthcare_Data[[#This Row],[Visit_Date]])</f>
        <v>4</v>
      </c>
      <c r="T318" t="str">
        <f>IF(Healthcare_Data[[#This Row],[Final_Bill]]&gt;=50000,"High",IF(Healthcare_Data[[#This Row],[Final_Bill]]&gt;=20000,"Medium","low"))</f>
        <v>low</v>
      </c>
    </row>
    <row r="319" spans="1:20" x14ac:dyDescent="0.3">
      <c r="A319" t="s">
        <v>374</v>
      </c>
      <c r="B319" s="3">
        <v>45777</v>
      </c>
      <c r="C319" t="s">
        <v>44</v>
      </c>
      <c r="D319" t="s">
        <v>34</v>
      </c>
      <c r="E319" t="s">
        <v>52</v>
      </c>
      <c r="F319" t="s">
        <v>21</v>
      </c>
      <c r="G319">
        <v>67</v>
      </c>
      <c r="H319" t="s">
        <v>65</v>
      </c>
      <c r="I319" t="s">
        <v>23</v>
      </c>
      <c r="J319" t="s">
        <v>24</v>
      </c>
      <c r="K319">
        <v>8</v>
      </c>
      <c r="L319" s="4">
        <v>42657</v>
      </c>
      <c r="M319">
        <v>1500</v>
      </c>
      <c r="N319">
        <v>41157</v>
      </c>
      <c r="O319" t="s">
        <v>25</v>
      </c>
      <c r="P319">
        <v>4.7</v>
      </c>
      <c r="Q319">
        <v>65</v>
      </c>
      <c r="R319" t="str">
        <f>TEXT(Healthcare_Data[[#This Row],[Visit_Date]],"mmm")</f>
        <v>Apr</v>
      </c>
      <c r="S319">
        <f>MONTH(Healthcare_Data[[#This Row],[Visit_Date]])</f>
        <v>4</v>
      </c>
      <c r="T319" t="str">
        <f>IF(Healthcare_Data[[#This Row],[Final_Bill]]&gt;=50000,"High",IF(Healthcare_Data[[#This Row],[Final_Bill]]&gt;=20000,"Medium","low"))</f>
        <v>Medium</v>
      </c>
    </row>
    <row r="320" spans="1:20" x14ac:dyDescent="0.3">
      <c r="A320" t="s">
        <v>375</v>
      </c>
      <c r="B320" s="3">
        <v>45777</v>
      </c>
      <c r="C320" t="s">
        <v>38</v>
      </c>
      <c r="D320" t="s">
        <v>28</v>
      </c>
      <c r="E320" t="s">
        <v>52</v>
      </c>
      <c r="F320" t="s">
        <v>21</v>
      </c>
      <c r="G320">
        <v>63</v>
      </c>
      <c r="H320" t="s">
        <v>22</v>
      </c>
      <c r="I320" t="s">
        <v>61</v>
      </c>
      <c r="J320" t="s">
        <v>24</v>
      </c>
      <c r="K320">
        <v>7</v>
      </c>
      <c r="L320" s="4">
        <v>26441</v>
      </c>
      <c r="M320">
        <v>1000</v>
      </c>
      <c r="N320">
        <v>25441</v>
      </c>
      <c r="O320" t="s">
        <v>59</v>
      </c>
      <c r="Q320">
        <v>11</v>
      </c>
      <c r="R320" t="str">
        <f>TEXT(Healthcare_Data[[#This Row],[Visit_Date]],"mmm")</f>
        <v>Apr</v>
      </c>
      <c r="S320">
        <f>MONTH(Healthcare_Data[[#This Row],[Visit_Date]])</f>
        <v>4</v>
      </c>
      <c r="T320" t="str">
        <f>IF(Healthcare_Data[[#This Row],[Final_Bill]]&gt;=50000,"High",IF(Healthcare_Data[[#This Row],[Final_Bill]]&gt;=20000,"Medium","low"))</f>
        <v>Medium</v>
      </c>
    </row>
    <row r="321" spans="1:20" x14ac:dyDescent="0.3">
      <c r="A321" t="s">
        <v>376</v>
      </c>
      <c r="B321" s="3">
        <v>45778</v>
      </c>
      <c r="C321" t="s">
        <v>27</v>
      </c>
      <c r="D321" t="s">
        <v>34</v>
      </c>
      <c r="E321" t="s">
        <v>20</v>
      </c>
      <c r="F321" t="s">
        <v>21</v>
      </c>
      <c r="G321">
        <v>33</v>
      </c>
      <c r="H321" t="s">
        <v>115</v>
      </c>
      <c r="I321" t="s">
        <v>23</v>
      </c>
      <c r="J321" t="s">
        <v>31</v>
      </c>
      <c r="K321">
        <v>0</v>
      </c>
      <c r="L321" s="4">
        <v>9433</v>
      </c>
      <c r="M321">
        <v>1000</v>
      </c>
      <c r="N321">
        <v>8433</v>
      </c>
      <c r="O321" t="s">
        <v>25</v>
      </c>
      <c r="P321">
        <v>2.7</v>
      </c>
      <c r="Q321">
        <v>59</v>
      </c>
      <c r="R321" t="str">
        <f>TEXT(Healthcare_Data[[#This Row],[Visit_Date]],"mmm")</f>
        <v>May</v>
      </c>
      <c r="S321">
        <f>MONTH(Healthcare_Data[[#This Row],[Visit_Date]])</f>
        <v>5</v>
      </c>
      <c r="T321" t="str">
        <f>IF(Healthcare_Data[[#This Row],[Final_Bill]]&gt;=50000,"High",IF(Healthcare_Data[[#This Row],[Final_Bill]]&gt;=20000,"Medium","low"))</f>
        <v>low</v>
      </c>
    </row>
    <row r="322" spans="1:20" x14ac:dyDescent="0.3">
      <c r="A322" t="s">
        <v>377</v>
      </c>
      <c r="B322" s="3">
        <v>45778</v>
      </c>
      <c r="C322" t="s">
        <v>48</v>
      </c>
      <c r="D322" t="s">
        <v>39</v>
      </c>
      <c r="E322" t="s">
        <v>52</v>
      </c>
      <c r="F322" t="s">
        <v>40</v>
      </c>
      <c r="G322">
        <v>78</v>
      </c>
      <c r="H322" t="s">
        <v>41</v>
      </c>
      <c r="I322" t="s">
        <v>63</v>
      </c>
      <c r="J322" t="s">
        <v>36</v>
      </c>
      <c r="K322">
        <v>7</v>
      </c>
      <c r="L322" s="4">
        <v>55392</v>
      </c>
      <c r="M322">
        <v>2000</v>
      </c>
      <c r="N322">
        <v>53392</v>
      </c>
      <c r="O322" t="s">
        <v>25</v>
      </c>
      <c r="P322">
        <v>2.9</v>
      </c>
      <c r="Q322">
        <v>88</v>
      </c>
      <c r="R322" t="str">
        <f>TEXT(Healthcare_Data[[#This Row],[Visit_Date]],"mmm")</f>
        <v>May</v>
      </c>
      <c r="S322">
        <f>MONTH(Healthcare_Data[[#This Row],[Visit_Date]])</f>
        <v>5</v>
      </c>
      <c r="T322" t="str">
        <f>IF(Healthcare_Data[[#This Row],[Final_Bill]]&gt;=50000,"High",IF(Healthcare_Data[[#This Row],[Final_Bill]]&gt;=20000,"Medium","low"))</f>
        <v>High</v>
      </c>
    </row>
    <row r="323" spans="1:20" x14ac:dyDescent="0.3">
      <c r="A323" t="s">
        <v>378</v>
      </c>
      <c r="B323" s="3">
        <v>45779</v>
      </c>
      <c r="C323" t="s">
        <v>50</v>
      </c>
      <c r="D323" t="s">
        <v>28</v>
      </c>
      <c r="E323" t="s">
        <v>52</v>
      </c>
      <c r="F323" t="s">
        <v>40</v>
      </c>
      <c r="G323">
        <v>47</v>
      </c>
      <c r="H323" t="s">
        <v>22</v>
      </c>
      <c r="I323" t="s">
        <v>61</v>
      </c>
      <c r="J323" t="s">
        <v>36</v>
      </c>
      <c r="K323">
        <v>3</v>
      </c>
      <c r="L323" s="4">
        <v>70107</v>
      </c>
      <c r="M323">
        <v>0</v>
      </c>
      <c r="N323">
        <v>70107</v>
      </c>
      <c r="O323" t="s">
        <v>25</v>
      </c>
      <c r="P323">
        <v>2.7</v>
      </c>
      <c r="Q323">
        <v>32</v>
      </c>
      <c r="R323" t="str">
        <f>TEXT(Healthcare_Data[[#This Row],[Visit_Date]],"mmm")</f>
        <v>May</v>
      </c>
      <c r="S323">
        <f>MONTH(Healthcare_Data[[#This Row],[Visit_Date]])</f>
        <v>5</v>
      </c>
      <c r="T323" t="str">
        <f>IF(Healthcare_Data[[#This Row],[Final_Bill]]&gt;=50000,"High",IF(Healthcare_Data[[#This Row],[Final_Bill]]&gt;=20000,"Medium","low"))</f>
        <v>High</v>
      </c>
    </row>
    <row r="324" spans="1:20" x14ac:dyDescent="0.3">
      <c r="A324" t="s">
        <v>379</v>
      </c>
      <c r="B324" s="3">
        <v>45779</v>
      </c>
      <c r="C324" t="s">
        <v>27</v>
      </c>
      <c r="D324" t="s">
        <v>19</v>
      </c>
      <c r="E324" t="s">
        <v>54</v>
      </c>
      <c r="F324" t="s">
        <v>21</v>
      </c>
      <c r="G324">
        <v>65</v>
      </c>
      <c r="H324" t="s">
        <v>115</v>
      </c>
      <c r="I324" t="s">
        <v>69</v>
      </c>
      <c r="J324" t="s">
        <v>36</v>
      </c>
      <c r="K324">
        <v>0</v>
      </c>
      <c r="L324" s="4">
        <v>13387</v>
      </c>
      <c r="M324">
        <v>2000</v>
      </c>
      <c r="N324">
        <v>11387</v>
      </c>
      <c r="O324" t="s">
        <v>32</v>
      </c>
      <c r="P324">
        <v>4.4000000000000004</v>
      </c>
      <c r="Q324">
        <v>120</v>
      </c>
      <c r="R324" t="str">
        <f>TEXT(Healthcare_Data[[#This Row],[Visit_Date]],"mmm")</f>
        <v>May</v>
      </c>
      <c r="S324">
        <f>MONTH(Healthcare_Data[[#This Row],[Visit_Date]])</f>
        <v>5</v>
      </c>
      <c r="T324" t="str">
        <f>IF(Healthcare_Data[[#This Row],[Final_Bill]]&gt;=50000,"High",IF(Healthcare_Data[[#This Row],[Final_Bill]]&gt;=20000,"Medium","low"))</f>
        <v>low</v>
      </c>
    </row>
    <row r="325" spans="1:20" x14ac:dyDescent="0.3">
      <c r="A325" t="s">
        <v>380</v>
      </c>
      <c r="B325" s="3">
        <v>45779</v>
      </c>
      <c r="C325" t="s">
        <v>18</v>
      </c>
      <c r="D325" t="s">
        <v>51</v>
      </c>
      <c r="E325" t="s">
        <v>52</v>
      </c>
      <c r="F325" t="s">
        <v>21</v>
      </c>
      <c r="G325">
        <v>23</v>
      </c>
      <c r="H325" t="s">
        <v>29</v>
      </c>
      <c r="I325" t="s">
        <v>30</v>
      </c>
      <c r="J325" t="s">
        <v>58</v>
      </c>
      <c r="K325">
        <v>8</v>
      </c>
      <c r="L325" s="4">
        <v>52001</v>
      </c>
      <c r="M325">
        <v>2000</v>
      </c>
      <c r="N325">
        <v>50001</v>
      </c>
      <c r="O325" t="s">
        <v>59</v>
      </c>
      <c r="P325">
        <v>3.8</v>
      </c>
      <c r="Q325">
        <v>11</v>
      </c>
      <c r="R325" t="str">
        <f>TEXT(Healthcare_Data[[#This Row],[Visit_Date]],"mmm")</f>
        <v>May</v>
      </c>
      <c r="S325">
        <f>MONTH(Healthcare_Data[[#This Row],[Visit_Date]])</f>
        <v>5</v>
      </c>
      <c r="T325" t="str">
        <f>IF(Healthcare_Data[[#This Row],[Final_Bill]]&gt;=50000,"High",IF(Healthcare_Data[[#This Row],[Final_Bill]]&gt;=20000,"Medium","low"))</f>
        <v>High</v>
      </c>
    </row>
    <row r="326" spans="1:20" x14ac:dyDescent="0.3">
      <c r="A326" t="s">
        <v>381</v>
      </c>
      <c r="B326" s="3">
        <v>45779</v>
      </c>
      <c r="C326" t="s">
        <v>27</v>
      </c>
      <c r="D326" t="s">
        <v>28</v>
      </c>
      <c r="E326" t="s">
        <v>20</v>
      </c>
      <c r="F326" t="s">
        <v>40</v>
      </c>
      <c r="G326">
        <v>73</v>
      </c>
      <c r="H326" t="s">
        <v>115</v>
      </c>
      <c r="I326" t="s">
        <v>63</v>
      </c>
      <c r="J326" t="s">
        <v>31</v>
      </c>
      <c r="K326">
        <v>0</v>
      </c>
      <c r="L326" s="4">
        <v>1996</v>
      </c>
      <c r="M326">
        <v>500</v>
      </c>
      <c r="N326">
        <v>1496</v>
      </c>
      <c r="O326" t="s">
        <v>25</v>
      </c>
      <c r="P326">
        <v>4.5</v>
      </c>
      <c r="Q326">
        <v>50</v>
      </c>
      <c r="R326" t="str">
        <f>TEXT(Healthcare_Data[[#This Row],[Visit_Date]],"mmm")</f>
        <v>May</v>
      </c>
      <c r="S326">
        <f>MONTH(Healthcare_Data[[#This Row],[Visit_Date]])</f>
        <v>5</v>
      </c>
      <c r="T326" t="str">
        <f>IF(Healthcare_Data[[#This Row],[Final_Bill]]&gt;=50000,"High",IF(Healthcare_Data[[#This Row],[Final_Bill]]&gt;=20000,"Medium","low"))</f>
        <v>low</v>
      </c>
    </row>
    <row r="327" spans="1:20" x14ac:dyDescent="0.3">
      <c r="A327" t="s">
        <v>382</v>
      </c>
      <c r="B327" s="3">
        <v>45779</v>
      </c>
      <c r="C327" t="s">
        <v>67</v>
      </c>
      <c r="D327" t="s">
        <v>34</v>
      </c>
      <c r="E327" t="s">
        <v>54</v>
      </c>
      <c r="F327" t="s">
        <v>21</v>
      </c>
      <c r="G327">
        <v>37</v>
      </c>
      <c r="H327" t="s">
        <v>115</v>
      </c>
      <c r="I327" t="s">
        <v>63</v>
      </c>
      <c r="J327" t="s">
        <v>24</v>
      </c>
      <c r="K327">
        <v>0</v>
      </c>
      <c r="L327" s="4">
        <v>41257</v>
      </c>
      <c r="M327">
        <v>1000</v>
      </c>
      <c r="N327">
        <v>40257</v>
      </c>
      <c r="O327" t="s">
        <v>25</v>
      </c>
      <c r="P327">
        <v>5</v>
      </c>
      <c r="Q327">
        <v>110</v>
      </c>
      <c r="R327" t="str">
        <f>TEXT(Healthcare_Data[[#This Row],[Visit_Date]],"mmm")</f>
        <v>May</v>
      </c>
      <c r="S327">
        <f>MONTH(Healthcare_Data[[#This Row],[Visit_Date]])</f>
        <v>5</v>
      </c>
      <c r="T327" t="str">
        <f>IF(Healthcare_Data[[#This Row],[Final_Bill]]&gt;=50000,"High",IF(Healthcare_Data[[#This Row],[Final_Bill]]&gt;=20000,"Medium","low"))</f>
        <v>Medium</v>
      </c>
    </row>
    <row r="328" spans="1:20" x14ac:dyDescent="0.3">
      <c r="A328" t="s">
        <v>383</v>
      </c>
      <c r="B328" s="3">
        <v>45779</v>
      </c>
      <c r="C328" t="s">
        <v>67</v>
      </c>
      <c r="D328" t="s">
        <v>28</v>
      </c>
      <c r="E328" t="s">
        <v>20</v>
      </c>
      <c r="F328" t="s">
        <v>21</v>
      </c>
      <c r="G328">
        <v>75</v>
      </c>
      <c r="H328" t="s">
        <v>29</v>
      </c>
      <c r="I328" t="s">
        <v>72</v>
      </c>
      <c r="J328" t="s">
        <v>24</v>
      </c>
      <c r="K328">
        <v>0</v>
      </c>
      <c r="L328" s="4">
        <v>12216</v>
      </c>
      <c r="M328">
        <v>0</v>
      </c>
      <c r="N328">
        <v>12216</v>
      </c>
      <c r="O328" t="s">
        <v>25</v>
      </c>
      <c r="P328">
        <v>3.9</v>
      </c>
      <c r="Q328">
        <v>84</v>
      </c>
      <c r="R328" t="str">
        <f>TEXT(Healthcare_Data[[#This Row],[Visit_Date]],"mmm")</f>
        <v>May</v>
      </c>
      <c r="S328">
        <f>MONTH(Healthcare_Data[[#This Row],[Visit_Date]])</f>
        <v>5</v>
      </c>
      <c r="T328" t="str">
        <f>IF(Healthcare_Data[[#This Row],[Final_Bill]]&gt;=50000,"High",IF(Healthcare_Data[[#This Row],[Final_Bill]]&gt;=20000,"Medium","low"))</f>
        <v>low</v>
      </c>
    </row>
    <row r="329" spans="1:20" x14ac:dyDescent="0.3">
      <c r="A329" t="s">
        <v>384</v>
      </c>
      <c r="B329" s="3">
        <v>45780</v>
      </c>
      <c r="C329" t="s">
        <v>44</v>
      </c>
      <c r="D329" t="s">
        <v>39</v>
      </c>
      <c r="E329" t="s">
        <v>52</v>
      </c>
      <c r="F329" t="s">
        <v>21</v>
      </c>
      <c r="G329">
        <v>55</v>
      </c>
      <c r="H329" t="s">
        <v>29</v>
      </c>
      <c r="I329" t="s">
        <v>61</v>
      </c>
      <c r="J329" t="s">
        <v>31</v>
      </c>
      <c r="K329">
        <v>6</v>
      </c>
      <c r="L329" s="4">
        <v>17576</v>
      </c>
      <c r="M329">
        <v>1000</v>
      </c>
      <c r="N329">
        <v>16576</v>
      </c>
      <c r="O329" t="s">
        <v>32</v>
      </c>
      <c r="P329">
        <v>3.1</v>
      </c>
      <c r="Q329">
        <v>9</v>
      </c>
      <c r="R329" t="str">
        <f>TEXT(Healthcare_Data[[#This Row],[Visit_Date]],"mmm")</f>
        <v>May</v>
      </c>
      <c r="S329">
        <f>MONTH(Healthcare_Data[[#This Row],[Visit_Date]])</f>
        <v>5</v>
      </c>
      <c r="T329" t="str">
        <f>IF(Healthcare_Data[[#This Row],[Final_Bill]]&gt;=50000,"High",IF(Healthcare_Data[[#This Row],[Final_Bill]]&gt;=20000,"Medium","low"))</f>
        <v>low</v>
      </c>
    </row>
    <row r="330" spans="1:20" x14ac:dyDescent="0.3">
      <c r="A330" t="s">
        <v>385</v>
      </c>
      <c r="B330" s="3">
        <v>45781</v>
      </c>
      <c r="C330" t="s">
        <v>27</v>
      </c>
      <c r="D330" t="s">
        <v>51</v>
      </c>
      <c r="E330" t="s">
        <v>20</v>
      </c>
      <c r="F330" t="s">
        <v>40</v>
      </c>
      <c r="G330">
        <v>20</v>
      </c>
      <c r="H330" t="s">
        <v>35</v>
      </c>
      <c r="I330" t="s">
        <v>30</v>
      </c>
      <c r="J330" t="s">
        <v>58</v>
      </c>
      <c r="K330">
        <v>0</v>
      </c>
      <c r="L330" s="4">
        <v>8544</v>
      </c>
      <c r="M330">
        <v>0</v>
      </c>
      <c r="N330">
        <v>8544</v>
      </c>
      <c r="O330" t="s">
        <v>32</v>
      </c>
      <c r="P330">
        <v>3.1</v>
      </c>
      <c r="Q330">
        <v>31</v>
      </c>
      <c r="R330" t="str">
        <f>TEXT(Healthcare_Data[[#This Row],[Visit_Date]],"mmm")</f>
        <v>May</v>
      </c>
      <c r="S330">
        <f>MONTH(Healthcare_Data[[#This Row],[Visit_Date]])</f>
        <v>5</v>
      </c>
      <c r="T330" t="str">
        <f>IF(Healthcare_Data[[#This Row],[Final_Bill]]&gt;=50000,"High",IF(Healthcare_Data[[#This Row],[Final_Bill]]&gt;=20000,"Medium","low"))</f>
        <v>low</v>
      </c>
    </row>
    <row r="331" spans="1:20" x14ac:dyDescent="0.3">
      <c r="A331" t="s">
        <v>386</v>
      </c>
      <c r="B331" s="3">
        <v>45781</v>
      </c>
      <c r="C331" t="s">
        <v>18</v>
      </c>
      <c r="D331" t="s">
        <v>51</v>
      </c>
      <c r="E331" t="s">
        <v>20</v>
      </c>
      <c r="F331" t="s">
        <v>21</v>
      </c>
      <c r="G331">
        <v>34</v>
      </c>
      <c r="H331" t="s">
        <v>56</v>
      </c>
      <c r="I331" t="s">
        <v>23</v>
      </c>
      <c r="J331" t="s">
        <v>24</v>
      </c>
      <c r="K331">
        <v>0</v>
      </c>
      <c r="L331" s="4">
        <v>14388</v>
      </c>
      <c r="M331">
        <v>1000</v>
      </c>
      <c r="N331">
        <v>13388</v>
      </c>
      <c r="O331" t="s">
        <v>25</v>
      </c>
      <c r="P331">
        <v>4.5999999999999996</v>
      </c>
      <c r="Q331">
        <v>47</v>
      </c>
      <c r="R331" t="str">
        <f>TEXT(Healthcare_Data[[#This Row],[Visit_Date]],"mmm")</f>
        <v>May</v>
      </c>
      <c r="S331">
        <f>MONTH(Healthcare_Data[[#This Row],[Visit_Date]])</f>
        <v>5</v>
      </c>
      <c r="T331" t="str">
        <f>IF(Healthcare_Data[[#This Row],[Final_Bill]]&gt;=50000,"High",IF(Healthcare_Data[[#This Row],[Final_Bill]]&gt;=20000,"Medium","low"))</f>
        <v>low</v>
      </c>
    </row>
    <row r="332" spans="1:20" x14ac:dyDescent="0.3">
      <c r="A332" t="s">
        <v>387</v>
      </c>
      <c r="B332" s="3">
        <v>45782</v>
      </c>
      <c r="C332" t="s">
        <v>54</v>
      </c>
      <c r="D332" t="s">
        <v>34</v>
      </c>
      <c r="E332" t="s">
        <v>52</v>
      </c>
      <c r="F332" t="s">
        <v>40</v>
      </c>
      <c r="G332">
        <v>57</v>
      </c>
      <c r="H332" t="s">
        <v>29</v>
      </c>
      <c r="I332" t="s">
        <v>61</v>
      </c>
      <c r="J332" t="s">
        <v>58</v>
      </c>
      <c r="K332">
        <v>3</v>
      </c>
      <c r="L332" s="4">
        <v>71516</v>
      </c>
      <c r="M332">
        <v>0</v>
      </c>
      <c r="N332">
        <v>71516</v>
      </c>
      <c r="O332" t="s">
        <v>25</v>
      </c>
      <c r="P332">
        <v>4.5999999999999996</v>
      </c>
      <c r="Q332">
        <v>71</v>
      </c>
      <c r="R332" t="str">
        <f>TEXT(Healthcare_Data[[#This Row],[Visit_Date]],"mmm")</f>
        <v>May</v>
      </c>
      <c r="S332">
        <f>MONTH(Healthcare_Data[[#This Row],[Visit_Date]])</f>
        <v>5</v>
      </c>
      <c r="T332" t="str">
        <f>IF(Healthcare_Data[[#This Row],[Final_Bill]]&gt;=50000,"High",IF(Healthcare_Data[[#This Row],[Final_Bill]]&gt;=20000,"Medium","low"))</f>
        <v>High</v>
      </c>
    </row>
    <row r="333" spans="1:20" x14ac:dyDescent="0.3">
      <c r="A333" t="s">
        <v>388</v>
      </c>
      <c r="B333" s="3">
        <v>45783</v>
      </c>
      <c r="C333" t="s">
        <v>50</v>
      </c>
      <c r="D333" t="s">
        <v>51</v>
      </c>
      <c r="E333" t="s">
        <v>20</v>
      </c>
      <c r="F333" t="s">
        <v>40</v>
      </c>
      <c r="G333">
        <v>79</v>
      </c>
      <c r="H333" t="s">
        <v>35</v>
      </c>
      <c r="I333" t="s">
        <v>23</v>
      </c>
      <c r="J333" t="s">
        <v>58</v>
      </c>
      <c r="K333">
        <v>0</v>
      </c>
      <c r="L333" s="4">
        <v>14703</v>
      </c>
      <c r="M333">
        <v>0</v>
      </c>
      <c r="N333">
        <v>14703</v>
      </c>
      <c r="O333" t="s">
        <v>25</v>
      </c>
      <c r="P333">
        <v>5</v>
      </c>
      <c r="Q333">
        <v>23</v>
      </c>
      <c r="R333" t="str">
        <f>TEXT(Healthcare_Data[[#This Row],[Visit_Date]],"mmm")</f>
        <v>May</v>
      </c>
      <c r="S333">
        <f>MONTH(Healthcare_Data[[#This Row],[Visit_Date]])</f>
        <v>5</v>
      </c>
      <c r="T333" t="str">
        <f>IF(Healthcare_Data[[#This Row],[Final_Bill]]&gt;=50000,"High",IF(Healthcare_Data[[#This Row],[Final_Bill]]&gt;=20000,"Medium","low"))</f>
        <v>low</v>
      </c>
    </row>
    <row r="334" spans="1:20" x14ac:dyDescent="0.3">
      <c r="A334" t="s">
        <v>389</v>
      </c>
      <c r="B334" s="3">
        <v>45783</v>
      </c>
      <c r="C334" t="s">
        <v>27</v>
      </c>
      <c r="D334" t="s">
        <v>34</v>
      </c>
      <c r="E334" t="s">
        <v>52</v>
      </c>
      <c r="F334" t="s">
        <v>40</v>
      </c>
      <c r="G334">
        <v>28</v>
      </c>
      <c r="H334" t="s">
        <v>35</v>
      </c>
      <c r="I334" t="s">
        <v>42</v>
      </c>
      <c r="J334" t="s">
        <v>24</v>
      </c>
      <c r="K334">
        <v>12</v>
      </c>
      <c r="L334" s="4">
        <v>36676</v>
      </c>
      <c r="M334">
        <v>0</v>
      </c>
      <c r="N334">
        <v>36676</v>
      </c>
      <c r="O334" t="s">
        <v>25</v>
      </c>
      <c r="P334">
        <v>2.9</v>
      </c>
      <c r="Q334">
        <v>48</v>
      </c>
      <c r="R334" t="str">
        <f>TEXT(Healthcare_Data[[#This Row],[Visit_Date]],"mmm")</f>
        <v>May</v>
      </c>
      <c r="S334">
        <f>MONTH(Healthcare_Data[[#This Row],[Visit_Date]])</f>
        <v>5</v>
      </c>
      <c r="T334" t="str">
        <f>IF(Healthcare_Data[[#This Row],[Final_Bill]]&gt;=50000,"High",IF(Healthcare_Data[[#This Row],[Final_Bill]]&gt;=20000,"Medium","low"))</f>
        <v>Medium</v>
      </c>
    </row>
    <row r="335" spans="1:20" x14ac:dyDescent="0.3">
      <c r="A335" t="s">
        <v>390</v>
      </c>
      <c r="B335" s="3">
        <v>45783</v>
      </c>
      <c r="C335" t="s">
        <v>50</v>
      </c>
      <c r="D335" t="s">
        <v>28</v>
      </c>
      <c r="E335" t="s">
        <v>52</v>
      </c>
      <c r="F335" t="s">
        <v>21</v>
      </c>
      <c r="G335">
        <v>25</v>
      </c>
      <c r="H335" t="s">
        <v>22</v>
      </c>
      <c r="I335" t="s">
        <v>30</v>
      </c>
      <c r="J335" t="s">
        <v>31</v>
      </c>
      <c r="K335">
        <v>9</v>
      </c>
      <c r="L335" s="4">
        <v>48021</v>
      </c>
      <c r="M335">
        <v>2000</v>
      </c>
      <c r="N335">
        <v>46021</v>
      </c>
      <c r="O335" t="s">
        <v>25</v>
      </c>
      <c r="P335">
        <v>4.0999999999999996</v>
      </c>
      <c r="Q335">
        <v>77</v>
      </c>
      <c r="R335" t="str">
        <f>TEXT(Healthcare_Data[[#This Row],[Visit_Date]],"mmm")</f>
        <v>May</v>
      </c>
      <c r="S335">
        <f>MONTH(Healthcare_Data[[#This Row],[Visit_Date]])</f>
        <v>5</v>
      </c>
      <c r="T335" t="str">
        <f>IF(Healthcare_Data[[#This Row],[Final_Bill]]&gt;=50000,"High",IF(Healthcare_Data[[#This Row],[Final_Bill]]&gt;=20000,"Medium","low"))</f>
        <v>Medium</v>
      </c>
    </row>
    <row r="336" spans="1:20" x14ac:dyDescent="0.3">
      <c r="A336" t="s">
        <v>391</v>
      </c>
      <c r="B336" s="3">
        <v>45783</v>
      </c>
      <c r="C336" t="s">
        <v>54</v>
      </c>
      <c r="D336" t="s">
        <v>34</v>
      </c>
      <c r="E336" t="s">
        <v>20</v>
      </c>
      <c r="F336" t="s">
        <v>21</v>
      </c>
      <c r="G336">
        <v>47</v>
      </c>
      <c r="H336" t="s">
        <v>41</v>
      </c>
      <c r="I336" t="s">
        <v>63</v>
      </c>
      <c r="J336" t="s">
        <v>24</v>
      </c>
      <c r="K336">
        <v>0</v>
      </c>
      <c r="L336" s="4">
        <v>14196</v>
      </c>
      <c r="M336">
        <v>500</v>
      </c>
      <c r="N336">
        <v>13696</v>
      </c>
      <c r="O336" t="s">
        <v>25</v>
      </c>
      <c r="P336">
        <v>3.7</v>
      </c>
      <c r="Q336">
        <v>86</v>
      </c>
      <c r="R336" t="str">
        <f>TEXT(Healthcare_Data[[#This Row],[Visit_Date]],"mmm")</f>
        <v>May</v>
      </c>
      <c r="S336">
        <f>MONTH(Healthcare_Data[[#This Row],[Visit_Date]])</f>
        <v>5</v>
      </c>
      <c r="T336" t="str">
        <f>IF(Healthcare_Data[[#This Row],[Final_Bill]]&gt;=50000,"High",IF(Healthcare_Data[[#This Row],[Final_Bill]]&gt;=20000,"Medium","low"))</f>
        <v>low</v>
      </c>
    </row>
    <row r="337" spans="1:20" x14ac:dyDescent="0.3">
      <c r="A337" t="s">
        <v>392</v>
      </c>
      <c r="B337" s="3">
        <v>45783</v>
      </c>
      <c r="C337" t="s">
        <v>44</v>
      </c>
      <c r="D337" t="s">
        <v>19</v>
      </c>
      <c r="E337" t="s">
        <v>52</v>
      </c>
      <c r="F337" t="s">
        <v>40</v>
      </c>
      <c r="G337">
        <v>55</v>
      </c>
      <c r="H337" t="s">
        <v>29</v>
      </c>
      <c r="I337" t="s">
        <v>72</v>
      </c>
      <c r="J337" t="s">
        <v>36</v>
      </c>
      <c r="K337">
        <v>1</v>
      </c>
      <c r="L337" s="4">
        <v>78657</v>
      </c>
      <c r="M337">
        <v>0</v>
      </c>
      <c r="N337">
        <v>78657</v>
      </c>
      <c r="O337" t="s">
        <v>32</v>
      </c>
      <c r="P337">
        <v>2.9</v>
      </c>
      <c r="Q337">
        <v>57</v>
      </c>
      <c r="R337" t="str">
        <f>TEXT(Healthcare_Data[[#This Row],[Visit_Date]],"mmm")</f>
        <v>May</v>
      </c>
      <c r="S337">
        <f>MONTH(Healthcare_Data[[#This Row],[Visit_Date]])</f>
        <v>5</v>
      </c>
      <c r="T337" t="str">
        <f>IF(Healthcare_Data[[#This Row],[Final_Bill]]&gt;=50000,"High",IF(Healthcare_Data[[#This Row],[Final_Bill]]&gt;=20000,"Medium","low"))</f>
        <v>High</v>
      </c>
    </row>
    <row r="338" spans="1:20" x14ac:dyDescent="0.3">
      <c r="A338" t="s">
        <v>393</v>
      </c>
      <c r="B338" s="3">
        <v>45783</v>
      </c>
      <c r="C338" t="s">
        <v>18</v>
      </c>
      <c r="D338" t="s">
        <v>19</v>
      </c>
      <c r="E338" t="s">
        <v>20</v>
      </c>
      <c r="F338" t="s">
        <v>40</v>
      </c>
      <c r="G338">
        <v>80</v>
      </c>
      <c r="H338" t="s">
        <v>22</v>
      </c>
      <c r="I338" t="s">
        <v>57</v>
      </c>
      <c r="J338" t="s">
        <v>24</v>
      </c>
      <c r="K338">
        <v>0</v>
      </c>
      <c r="L338" s="4">
        <v>2449</v>
      </c>
      <c r="M338">
        <v>2000</v>
      </c>
      <c r="N338">
        <v>449</v>
      </c>
      <c r="O338" t="s">
        <v>25</v>
      </c>
      <c r="P338">
        <v>3.8</v>
      </c>
      <c r="Q338">
        <v>55</v>
      </c>
      <c r="R338" t="str">
        <f>TEXT(Healthcare_Data[[#This Row],[Visit_Date]],"mmm")</f>
        <v>May</v>
      </c>
      <c r="S338">
        <f>MONTH(Healthcare_Data[[#This Row],[Visit_Date]])</f>
        <v>5</v>
      </c>
      <c r="T338" t="str">
        <f>IF(Healthcare_Data[[#This Row],[Final_Bill]]&gt;=50000,"High",IF(Healthcare_Data[[#This Row],[Final_Bill]]&gt;=20000,"Medium","low"))</f>
        <v>low</v>
      </c>
    </row>
    <row r="339" spans="1:20" x14ac:dyDescent="0.3">
      <c r="A339" t="s">
        <v>394</v>
      </c>
      <c r="B339" s="3">
        <v>45784</v>
      </c>
      <c r="C339" t="s">
        <v>18</v>
      </c>
      <c r="D339" t="s">
        <v>39</v>
      </c>
      <c r="E339" t="s">
        <v>54</v>
      </c>
      <c r="F339" t="s">
        <v>21</v>
      </c>
      <c r="G339">
        <v>28</v>
      </c>
      <c r="H339" t="s">
        <v>56</v>
      </c>
      <c r="I339" t="s">
        <v>61</v>
      </c>
      <c r="J339" t="s">
        <v>36</v>
      </c>
      <c r="K339">
        <v>0</v>
      </c>
      <c r="L339" s="4">
        <v>15086</v>
      </c>
      <c r="M339">
        <v>500</v>
      </c>
      <c r="N339">
        <v>14586</v>
      </c>
      <c r="O339" t="s">
        <v>25</v>
      </c>
      <c r="P339">
        <v>3.3</v>
      </c>
      <c r="Q339">
        <v>19</v>
      </c>
      <c r="R339" t="str">
        <f>TEXT(Healthcare_Data[[#This Row],[Visit_Date]],"mmm")</f>
        <v>May</v>
      </c>
      <c r="S339">
        <f>MONTH(Healthcare_Data[[#This Row],[Visit_Date]])</f>
        <v>5</v>
      </c>
      <c r="T339" t="str">
        <f>IF(Healthcare_Data[[#This Row],[Final_Bill]]&gt;=50000,"High",IF(Healthcare_Data[[#This Row],[Final_Bill]]&gt;=20000,"Medium","low"))</f>
        <v>low</v>
      </c>
    </row>
    <row r="340" spans="1:20" x14ac:dyDescent="0.3">
      <c r="A340" t="s">
        <v>395</v>
      </c>
      <c r="B340" s="3">
        <v>45784</v>
      </c>
      <c r="C340" t="s">
        <v>18</v>
      </c>
      <c r="D340" t="s">
        <v>51</v>
      </c>
      <c r="E340" t="s">
        <v>20</v>
      </c>
      <c r="F340" t="s">
        <v>40</v>
      </c>
      <c r="G340">
        <v>18</v>
      </c>
      <c r="H340" t="s">
        <v>22</v>
      </c>
      <c r="I340" t="s">
        <v>30</v>
      </c>
      <c r="J340" t="s">
        <v>58</v>
      </c>
      <c r="K340">
        <v>0</v>
      </c>
      <c r="L340" s="4">
        <v>6296</v>
      </c>
      <c r="M340">
        <v>2000</v>
      </c>
      <c r="N340">
        <v>4296</v>
      </c>
      <c r="O340" t="s">
        <v>25</v>
      </c>
      <c r="P340">
        <v>3.6</v>
      </c>
      <c r="Q340">
        <v>103</v>
      </c>
      <c r="R340" t="str">
        <f>TEXT(Healthcare_Data[[#This Row],[Visit_Date]],"mmm")</f>
        <v>May</v>
      </c>
      <c r="S340">
        <f>MONTH(Healthcare_Data[[#This Row],[Visit_Date]])</f>
        <v>5</v>
      </c>
      <c r="T340" t="str">
        <f>IF(Healthcare_Data[[#This Row],[Final_Bill]]&gt;=50000,"High",IF(Healthcare_Data[[#This Row],[Final_Bill]]&gt;=20000,"Medium","low"))</f>
        <v>low</v>
      </c>
    </row>
    <row r="341" spans="1:20" x14ac:dyDescent="0.3">
      <c r="A341" t="s">
        <v>396</v>
      </c>
      <c r="B341" s="3">
        <v>45784</v>
      </c>
      <c r="C341" t="s">
        <v>18</v>
      </c>
      <c r="D341" t="s">
        <v>19</v>
      </c>
      <c r="E341" t="s">
        <v>54</v>
      </c>
      <c r="F341" t="s">
        <v>21</v>
      </c>
      <c r="G341">
        <v>75</v>
      </c>
      <c r="H341" t="s">
        <v>56</v>
      </c>
      <c r="I341" t="s">
        <v>69</v>
      </c>
      <c r="J341" t="s">
        <v>24</v>
      </c>
      <c r="K341">
        <v>0</v>
      </c>
      <c r="L341" s="4">
        <v>19678</v>
      </c>
      <c r="M341">
        <v>0</v>
      </c>
      <c r="N341">
        <v>19678</v>
      </c>
      <c r="O341" t="s">
        <v>25</v>
      </c>
      <c r="P341">
        <v>4.0999999999999996</v>
      </c>
      <c r="Q341">
        <v>65</v>
      </c>
      <c r="R341" t="str">
        <f>TEXT(Healthcare_Data[[#This Row],[Visit_Date]],"mmm")</f>
        <v>May</v>
      </c>
      <c r="S341">
        <f>MONTH(Healthcare_Data[[#This Row],[Visit_Date]])</f>
        <v>5</v>
      </c>
      <c r="T341" t="str">
        <f>IF(Healthcare_Data[[#This Row],[Final_Bill]]&gt;=50000,"High",IF(Healthcare_Data[[#This Row],[Final_Bill]]&gt;=20000,"Medium","low"))</f>
        <v>low</v>
      </c>
    </row>
    <row r="342" spans="1:20" x14ac:dyDescent="0.3">
      <c r="A342" t="s">
        <v>397</v>
      </c>
      <c r="B342" s="3">
        <v>45785</v>
      </c>
      <c r="C342" t="s">
        <v>18</v>
      </c>
      <c r="D342" t="s">
        <v>51</v>
      </c>
      <c r="E342" t="s">
        <v>20</v>
      </c>
      <c r="F342" t="s">
        <v>40</v>
      </c>
      <c r="G342">
        <v>31</v>
      </c>
      <c r="H342" t="s">
        <v>46</v>
      </c>
      <c r="I342" t="s">
        <v>69</v>
      </c>
      <c r="J342" t="s">
        <v>36</v>
      </c>
      <c r="K342">
        <v>0</v>
      </c>
      <c r="L342" s="4">
        <v>7328</v>
      </c>
      <c r="M342">
        <v>500</v>
      </c>
      <c r="N342">
        <v>6828</v>
      </c>
      <c r="O342" t="s">
        <v>25</v>
      </c>
      <c r="P342">
        <v>3.3</v>
      </c>
      <c r="Q342">
        <v>7</v>
      </c>
      <c r="R342" t="str">
        <f>TEXT(Healthcare_Data[[#This Row],[Visit_Date]],"mmm")</f>
        <v>May</v>
      </c>
      <c r="S342">
        <f>MONTH(Healthcare_Data[[#This Row],[Visit_Date]])</f>
        <v>5</v>
      </c>
      <c r="T342" t="str">
        <f>IF(Healthcare_Data[[#This Row],[Final_Bill]]&gt;=50000,"High",IF(Healthcare_Data[[#This Row],[Final_Bill]]&gt;=20000,"Medium","low"))</f>
        <v>low</v>
      </c>
    </row>
    <row r="343" spans="1:20" x14ac:dyDescent="0.3">
      <c r="A343" t="s">
        <v>398</v>
      </c>
      <c r="B343" s="3">
        <v>45785</v>
      </c>
      <c r="C343" t="s">
        <v>54</v>
      </c>
      <c r="D343" t="s">
        <v>39</v>
      </c>
      <c r="E343" t="s">
        <v>20</v>
      </c>
      <c r="F343" t="s">
        <v>40</v>
      </c>
      <c r="G343">
        <v>58</v>
      </c>
      <c r="H343" t="s">
        <v>35</v>
      </c>
      <c r="I343" t="s">
        <v>42</v>
      </c>
      <c r="J343" t="s">
        <v>31</v>
      </c>
      <c r="K343">
        <v>0</v>
      </c>
      <c r="L343" s="4">
        <v>12822</v>
      </c>
      <c r="M343">
        <v>1000</v>
      </c>
      <c r="N343">
        <v>11822</v>
      </c>
      <c r="O343" t="s">
        <v>25</v>
      </c>
      <c r="P343">
        <v>3.6</v>
      </c>
      <c r="Q343">
        <v>53</v>
      </c>
      <c r="R343" t="str">
        <f>TEXT(Healthcare_Data[[#This Row],[Visit_Date]],"mmm")</f>
        <v>May</v>
      </c>
      <c r="S343">
        <f>MONTH(Healthcare_Data[[#This Row],[Visit_Date]])</f>
        <v>5</v>
      </c>
      <c r="T343" t="str">
        <f>IF(Healthcare_Data[[#This Row],[Final_Bill]]&gt;=50000,"High",IF(Healthcare_Data[[#This Row],[Final_Bill]]&gt;=20000,"Medium","low"))</f>
        <v>low</v>
      </c>
    </row>
    <row r="344" spans="1:20" x14ac:dyDescent="0.3">
      <c r="A344" t="s">
        <v>399</v>
      </c>
      <c r="B344" s="3">
        <v>45785</v>
      </c>
      <c r="C344" t="s">
        <v>50</v>
      </c>
      <c r="D344" t="s">
        <v>34</v>
      </c>
      <c r="E344" t="s">
        <v>52</v>
      </c>
      <c r="F344" t="s">
        <v>21</v>
      </c>
      <c r="G344">
        <v>56</v>
      </c>
      <c r="H344" t="s">
        <v>35</v>
      </c>
      <c r="I344" t="s">
        <v>63</v>
      </c>
      <c r="J344" t="s">
        <v>58</v>
      </c>
      <c r="K344">
        <v>7</v>
      </c>
      <c r="L344" s="4">
        <v>73375</v>
      </c>
      <c r="M344">
        <v>1000</v>
      </c>
      <c r="N344">
        <v>72375</v>
      </c>
      <c r="O344" t="s">
        <v>25</v>
      </c>
      <c r="P344">
        <v>4.2</v>
      </c>
      <c r="Q344">
        <v>26</v>
      </c>
      <c r="R344" t="str">
        <f>TEXT(Healthcare_Data[[#This Row],[Visit_Date]],"mmm")</f>
        <v>May</v>
      </c>
      <c r="S344">
        <f>MONTH(Healthcare_Data[[#This Row],[Visit_Date]])</f>
        <v>5</v>
      </c>
      <c r="T344" t="str">
        <f>IF(Healthcare_Data[[#This Row],[Final_Bill]]&gt;=50000,"High",IF(Healthcare_Data[[#This Row],[Final_Bill]]&gt;=20000,"Medium","low"))</f>
        <v>High</v>
      </c>
    </row>
    <row r="345" spans="1:20" x14ac:dyDescent="0.3">
      <c r="A345" t="s">
        <v>400</v>
      </c>
      <c r="B345" s="3">
        <v>45785</v>
      </c>
      <c r="C345" t="s">
        <v>48</v>
      </c>
      <c r="D345" t="s">
        <v>34</v>
      </c>
      <c r="E345" t="s">
        <v>52</v>
      </c>
      <c r="F345" t="s">
        <v>21</v>
      </c>
      <c r="G345">
        <v>77</v>
      </c>
      <c r="H345" t="s">
        <v>29</v>
      </c>
      <c r="I345" t="s">
        <v>57</v>
      </c>
      <c r="J345" t="s">
        <v>24</v>
      </c>
      <c r="K345">
        <v>11</v>
      </c>
      <c r="L345" s="4">
        <v>50656</v>
      </c>
      <c r="M345">
        <v>1500</v>
      </c>
      <c r="N345">
        <v>49156</v>
      </c>
      <c r="O345" t="s">
        <v>25</v>
      </c>
      <c r="P345">
        <v>3.1</v>
      </c>
      <c r="Q345">
        <v>46</v>
      </c>
      <c r="R345" t="str">
        <f>TEXT(Healthcare_Data[[#This Row],[Visit_Date]],"mmm")</f>
        <v>May</v>
      </c>
      <c r="S345">
        <f>MONTH(Healthcare_Data[[#This Row],[Visit_Date]])</f>
        <v>5</v>
      </c>
      <c r="T345" t="str">
        <f>IF(Healthcare_Data[[#This Row],[Final_Bill]]&gt;=50000,"High",IF(Healthcare_Data[[#This Row],[Final_Bill]]&gt;=20000,"Medium","low"))</f>
        <v>Medium</v>
      </c>
    </row>
    <row r="346" spans="1:20" x14ac:dyDescent="0.3">
      <c r="A346" t="s">
        <v>401</v>
      </c>
      <c r="B346" s="3">
        <v>45786</v>
      </c>
      <c r="C346" t="s">
        <v>48</v>
      </c>
      <c r="D346" t="s">
        <v>39</v>
      </c>
      <c r="E346" t="s">
        <v>52</v>
      </c>
      <c r="F346" t="s">
        <v>40</v>
      </c>
      <c r="G346">
        <v>75</v>
      </c>
      <c r="H346" t="s">
        <v>41</v>
      </c>
      <c r="I346" t="s">
        <v>23</v>
      </c>
      <c r="J346" t="s">
        <v>58</v>
      </c>
      <c r="K346">
        <v>12</v>
      </c>
      <c r="L346" s="4">
        <v>25207</v>
      </c>
      <c r="M346">
        <v>1000</v>
      </c>
      <c r="N346">
        <v>24207</v>
      </c>
      <c r="O346" t="s">
        <v>25</v>
      </c>
      <c r="P346">
        <v>3.7</v>
      </c>
      <c r="Q346">
        <v>117</v>
      </c>
      <c r="R346" t="str">
        <f>TEXT(Healthcare_Data[[#This Row],[Visit_Date]],"mmm")</f>
        <v>May</v>
      </c>
      <c r="S346">
        <f>MONTH(Healthcare_Data[[#This Row],[Visit_Date]])</f>
        <v>5</v>
      </c>
      <c r="T346" t="str">
        <f>IF(Healthcare_Data[[#This Row],[Final_Bill]]&gt;=50000,"High",IF(Healthcare_Data[[#This Row],[Final_Bill]]&gt;=20000,"Medium","low"))</f>
        <v>Medium</v>
      </c>
    </row>
    <row r="347" spans="1:20" x14ac:dyDescent="0.3">
      <c r="A347" t="s">
        <v>402</v>
      </c>
      <c r="B347" s="3">
        <v>45786</v>
      </c>
      <c r="C347" t="s">
        <v>27</v>
      </c>
      <c r="D347" t="s">
        <v>28</v>
      </c>
      <c r="E347" t="s">
        <v>20</v>
      </c>
      <c r="F347" t="s">
        <v>40</v>
      </c>
      <c r="G347">
        <v>80</v>
      </c>
      <c r="H347" t="s">
        <v>46</v>
      </c>
      <c r="I347" t="s">
        <v>69</v>
      </c>
      <c r="J347" t="s">
        <v>31</v>
      </c>
      <c r="K347">
        <v>0</v>
      </c>
      <c r="L347" s="4">
        <v>11982</v>
      </c>
      <c r="M347">
        <v>0</v>
      </c>
      <c r="N347">
        <v>11982</v>
      </c>
      <c r="O347" t="s">
        <v>32</v>
      </c>
      <c r="P347">
        <v>4</v>
      </c>
      <c r="Q347">
        <v>8</v>
      </c>
      <c r="R347" t="str">
        <f>TEXT(Healthcare_Data[[#This Row],[Visit_Date]],"mmm")</f>
        <v>May</v>
      </c>
      <c r="S347">
        <f>MONTH(Healthcare_Data[[#This Row],[Visit_Date]])</f>
        <v>5</v>
      </c>
      <c r="T347" t="str">
        <f>IF(Healthcare_Data[[#This Row],[Final_Bill]]&gt;=50000,"High",IF(Healthcare_Data[[#This Row],[Final_Bill]]&gt;=20000,"Medium","low"))</f>
        <v>low</v>
      </c>
    </row>
    <row r="348" spans="1:20" x14ac:dyDescent="0.3">
      <c r="A348" t="s">
        <v>403</v>
      </c>
      <c r="B348" s="3">
        <v>45786</v>
      </c>
      <c r="C348" t="s">
        <v>50</v>
      </c>
      <c r="D348" t="s">
        <v>34</v>
      </c>
      <c r="E348" t="s">
        <v>54</v>
      </c>
      <c r="F348" t="s">
        <v>21</v>
      </c>
      <c r="G348">
        <v>59</v>
      </c>
      <c r="H348" t="s">
        <v>35</v>
      </c>
      <c r="I348" t="s">
        <v>57</v>
      </c>
      <c r="J348" t="s">
        <v>24</v>
      </c>
      <c r="K348">
        <v>0</v>
      </c>
      <c r="L348" s="4">
        <v>13122</v>
      </c>
      <c r="M348">
        <v>1000</v>
      </c>
      <c r="N348">
        <v>12122</v>
      </c>
      <c r="O348" t="s">
        <v>25</v>
      </c>
      <c r="P348">
        <v>2.6</v>
      </c>
      <c r="Q348">
        <v>27</v>
      </c>
      <c r="R348" t="str">
        <f>TEXT(Healthcare_Data[[#This Row],[Visit_Date]],"mmm")</f>
        <v>May</v>
      </c>
      <c r="S348">
        <f>MONTH(Healthcare_Data[[#This Row],[Visit_Date]])</f>
        <v>5</v>
      </c>
      <c r="T348" t="str">
        <f>IF(Healthcare_Data[[#This Row],[Final_Bill]]&gt;=50000,"High",IF(Healthcare_Data[[#This Row],[Final_Bill]]&gt;=20000,"Medium","low"))</f>
        <v>low</v>
      </c>
    </row>
    <row r="349" spans="1:20" x14ac:dyDescent="0.3">
      <c r="A349" t="s">
        <v>404</v>
      </c>
      <c r="B349" s="3">
        <v>45787</v>
      </c>
      <c r="C349" t="s">
        <v>54</v>
      </c>
      <c r="D349" t="s">
        <v>51</v>
      </c>
      <c r="E349" t="s">
        <v>52</v>
      </c>
      <c r="F349" t="s">
        <v>21</v>
      </c>
      <c r="G349">
        <v>55</v>
      </c>
      <c r="H349" t="s">
        <v>41</v>
      </c>
      <c r="I349" t="s">
        <v>57</v>
      </c>
      <c r="J349" t="s">
        <v>58</v>
      </c>
      <c r="K349">
        <v>4</v>
      </c>
      <c r="L349" s="4">
        <v>50283</v>
      </c>
      <c r="M349">
        <v>0</v>
      </c>
      <c r="N349">
        <v>50283</v>
      </c>
      <c r="O349" t="s">
        <v>59</v>
      </c>
      <c r="P349">
        <v>4.7</v>
      </c>
      <c r="Q349">
        <v>63</v>
      </c>
      <c r="R349" t="str">
        <f>TEXT(Healthcare_Data[[#This Row],[Visit_Date]],"mmm")</f>
        <v>May</v>
      </c>
      <c r="S349">
        <f>MONTH(Healthcare_Data[[#This Row],[Visit_Date]])</f>
        <v>5</v>
      </c>
      <c r="T349" t="str">
        <f>IF(Healthcare_Data[[#This Row],[Final_Bill]]&gt;=50000,"High",IF(Healthcare_Data[[#This Row],[Final_Bill]]&gt;=20000,"Medium","low"))</f>
        <v>High</v>
      </c>
    </row>
    <row r="350" spans="1:20" x14ac:dyDescent="0.3">
      <c r="A350" t="s">
        <v>405</v>
      </c>
      <c r="B350" s="3">
        <v>45787</v>
      </c>
      <c r="C350" t="s">
        <v>44</v>
      </c>
      <c r="D350" t="s">
        <v>34</v>
      </c>
      <c r="E350" t="s">
        <v>52</v>
      </c>
      <c r="F350" t="s">
        <v>40</v>
      </c>
      <c r="G350">
        <v>20</v>
      </c>
      <c r="H350" t="s">
        <v>46</v>
      </c>
      <c r="I350" t="s">
        <v>57</v>
      </c>
      <c r="J350" t="s">
        <v>24</v>
      </c>
      <c r="K350">
        <v>5</v>
      </c>
      <c r="L350" s="4">
        <v>32376</v>
      </c>
      <c r="M350">
        <v>500</v>
      </c>
      <c r="N350">
        <v>31876</v>
      </c>
      <c r="O350" t="s">
        <v>25</v>
      </c>
      <c r="P350">
        <v>4.4000000000000004</v>
      </c>
      <c r="Q350">
        <v>52</v>
      </c>
      <c r="R350" t="str">
        <f>TEXT(Healthcare_Data[[#This Row],[Visit_Date]],"mmm")</f>
        <v>May</v>
      </c>
      <c r="S350">
        <f>MONTH(Healthcare_Data[[#This Row],[Visit_Date]])</f>
        <v>5</v>
      </c>
      <c r="T350" t="str">
        <f>IF(Healthcare_Data[[#This Row],[Final_Bill]]&gt;=50000,"High",IF(Healthcare_Data[[#This Row],[Final_Bill]]&gt;=20000,"Medium","low"))</f>
        <v>Medium</v>
      </c>
    </row>
    <row r="351" spans="1:20" x14ac:dyDescent="0.3">
      <c r="A351" t="s">
        <v>406</v>
      </c>
      <c r="B351" s="3">
        <v>45788</v>
      </c>
      <c r="C351" t="s">
        <v>67</v>
      </c>
      <c r="D351" t="s">
        <v>34</v>
      </c>
      <c r="E351" t="s">
        <v>52</v>
      </c>
      <c r="F351" t="s">
        <v>21</v>
      </c>
      <c r="G351">
        <v>41</v>
      </c>
      <c r="H351" t="s">
        <v>115</v>
      </c>
      <c r="I351" t="s">
        <v>61</v>
      </c>
      <c r="J351" t="s">
        <v>36</v>
      </c>
      <c r="K351">
        <v>4</v>
      </c>
      <c r="L351" s="4">
        <v>24399</v>
      </c>
      <c r="M351">
        <v>500</v>
      </c>
      <c r="N351">
        <v>23899</v>
      </c>
      <c r="O351" t="s">
        <v>25</v>
      </c>
      <c r="P351">
        <v>4.7</v>
      </c>
      <c r="Q351">
        <v>31</v>
      </c>
      <c r="R351" t="str">
        <f>TEXT(Healthcare_Data[[#This Row],[Visit_Date]],"mmm")</f>
        <v>May</v>
      </c>
      <c r="S351">
        <f>MONTH(Healthcare_Data[[#This Row],[Visit_Date]])</f>
        <v>5</v>
      </c>
      <c r="T351" t="str">
        <f>IF(Healthcare_Data[[#This Row],[Final_Bill]]&gt;=50000,"High",IF(Healthcare_Data[[#This Row],[Final_Bill]]&gt;=20000,"Medium","low"))</f>
        <v>Medium</v>
      </c>
    </row>
    <row r="352" spans="1:20" x14ac:dyDescent="0.3">
      <c r="A352" t="s">
        <v>407</v>
      </c>
      <c r="B352" s="3">
        <v>45788</v>
      </c>
      <c r="C352" t="s">
        <v>38</v>
      </c>
      <c r="D352" t="s">
        <v>34</v>
      </c>
      <c r="E352" t="s">
        <v>20</v>
      </c>
      <c r="F352" t="s">
        <v>21</v>
      </c>
      <c r="G352">
        <v>26</v>
      </c>
      <c r="H352" t="s">
        <v>41</v>
      </c>
      <c r="I352" t="s">
        <v>63</v>
      </c>
      <c r="J352" t="s">
        <v>31</v>
      </c>
      <c r="K352">
        <v>0</v>
      </c>
      <c r="L352" s="4">
        <v>4223</v>
      </c>
      <c r="M352">
        <v>1000</v>
      </c>
      <c r="N352">
        <v>3223</v>
      </c>
      <c r="O352" t="s">
        <v>25</v>
      </c>
      <c r="P352">
        <v>4.9000000000000004</v>
      </c>
      <c r="Q352">
        <v>36</v>
      </c>
      <c r="R352" t="str">
        <f>TEXT(Healthcare_Data[[#This Row],[Visit_Date]],"mmm")</f>
        <v>May</v>
      </c>
      <c r="S352">
        <f>MONTH(Healthcare_Data[[#This Row],[Visit_Date]])</f>
        <v>5</v>
      </c>
      <c r="T352" t="str">
        <f>IF(Healthcare_Data[[#This Row],[Final_Bill]]&gt;=50000,"High",IF(Healthcare_Data[[#This Row],[Final_Bill]]&gt;=20000,"Medium","low"))</f>
        <v>low</v>
      </c>
    </row>
    <row r="353" spans="1:20" x14ac:dyDescent="0.3">
      <c r="A353" t="s">
        <v>408</v>
      </c>
      <c r="B353" s="3">
        <v>45788</v>
      </c>
      <c r="C353" t="s">
        <v>48</v>
      </c>
      <c r="D353" t="s">
        <v>19</v>
      </c>
      <c r="E353" t="s">
        <v>54</v>
      </c>
      <c r="F353" t="s">
        <v>21</v>
      </c>
      <c r="G353">
        <v>47</v>
      </c>
      <c r="H353" t="s">
        <v>65</v>
      </c>
      <c r="I353" t="s">
        <v>63</v>
      </c>
      <c r="J353" t="s">
        <v>24</v>
      </c>
      <c r="K353">
        <v>0</v>
      </c>
      <c r="L353" s="4">
        <v>22691</v>
      </c>
      <c r="M353">
        <v>500</v>
      </c>
      <c r="N353">
        <v>22191</v>
      </c>
      <c r="O353" t="s">
        <v>25</v>
      </c>
      <c r="P353">
        <v>4.3</v>
      </c>
      <c r="Q353">
        <v>44</v>
      </c>
      <c r="R353" t="str">
        <f>TEXT(Healthcare_Data[[#This Row],[Visit_Date]],"mmm")</f>
        <v>May</v>
      </c>
      <c r="S353">
        <f>MONTH(Healthcare_Data[[#This Row],[Visit_Date]])</f>
        <v>5</v>
      </c>
      <c r="T353" t="str">
        <f>IF(Healthcare_Data[[#This Row],[Final_Bill]]&gt;=50000,"High",IF(Healthcare_Data[[#This Row],[Final_Bill]]&gt;=20000,"Medium","low"))</f>
        <v>Medium</v>
      </c>
    </row>
    <row r="354" spans="1:20" x14ac:dyDescent="0.3">
      <c r="A354" t="s">
        <v>409</v>
      </c>
      <c r="B354" s="3">
        <v>45788</v>
      </c>
      <c r="C354" t="s">
        <v>27</v>
      </c>
      <c r="D354" t="s">
        <v>39</v>
      </c>
      <c r="E354" t="s">
        <v>20</v>
      </c>
      <c r="F354" t="s">
        <v>21</v>
      </c>
      <c r="G354">
        <v>48</v>
      </c>
      <c r="H354" t="s">
        <v>56</v>
      </c>
      <c r="I354" t="s">
        <v>63</v>
      </c>
      <c r="J354" t="s">
        <v>58</v>
      </c>
      <c r="K354">
        <v>0</v>
      </c>
      <c r="L354" s="4">
        <v>2555</v>
      </c>
      <c r="M354">
        <v>1000</v>
      </c>
      <c r="N354">
        <v>1555</v>
      </c>
      <c r="O354" t="s">
        <v>59</v>
      </c>
      <c r="P354">
        <v>4.2</v>
      </c>
      <c r="Q354">
        <v>14</v>
      </c>
      <c r="R354" t="str">
        <f>TEXT(Healthcare_Data[[#This Row],[Visit_Date]],"mmm")</f>
        <v>May</v>
      </c>
      <c r="S354">
        <f>MONTH(Healthcare_Data[[#This Row],[Visit_Date]])</f>
        <v>5</v>
      </c>
      <c r="T354" t="str">
        <f>IF(Healthcare_Data[[#This Row],[Final_Bill]]&gt;=50000,"High",IF(Healthcare_Data[[#This Row],[Final_Bill]]&gt;=20000,"Medium","low"))</f>
        <v>low</v>
      </c>
    </row>
    <row r="355" spans="1:20" x14ac:dyDescent="0.3">
      <c r="A355" t="s">
        <v>410</v>
      </c>
      <c r="B355" s="3">
        <v>45789</v>
      </c>
      <c r="C355" t="s">
        <v>48</v>
      </c>
      <c r="D355" t="s">
        <v>34</v>
      </c>
      <c r="E355" t="s">
        <v>54</v>
      </c>
      <c r="F355" t="s">
        <v>40</v>
      </c>
      <c r="G355">
        <v>54</v>
      </c>
      <c r="H355" t="s">
        <v>35</v>
      </c>
      <c r="I355" t="s">
        <v>63</v>
      </c>
      <c r="J355" t="s">
        <v>58</v>
      </c>
      <c r="K355">
        <v>0</v>
      </c>
      <c r="L355" s="4">
        <v>20388</v>
      </c>
      <c r="M355">
        <v>2000</v>
      </c>
      <c r="N355">
        <v>18388</v>
      </c>
      <c r="O355" t="s">
        <v>25</v>
      </c>
      <c r="P355">
        <v>3.9</v>
      </c>
      <c r="Q355">
        <v>63</v>
      </c>
      <c r="R355" t="str">
        <f>TEXT(Healthcare_Data[[#This Row],[Visit_Date]],"mmm")</f>
        <v>May</v>
      </c>
      <c r="S355">
        <f>MONTH(Healthcare_Data[[#This Row],[Visit_Date]])</f>
        <v>5</v>
      </c>
      <c r="T355" t="str">
        <f>IF(Healthcare_Data[[#This Row],[Final_Bill]]&gt;=50000,"High",IF(Healthcare_Data[[#This Row],[Final_Bill]]&gt;=20000,"Medium","low"))</f>
        <v>low</v>
      </c>
    </row>
    <row r="356" spans="1:20" x14ac:dyDescent="0.3">
      <c r="A356" t="s">
        <v>411</v>
      </c>
      <c r="B356" s="3">
        <v>45790</v>
      </c>
      <c r="C356" t="s">
        <v>50</v>
      </c>
      <c r="D356" t="s">
        <v>51</v>
      </c>
      <c r="E356" t="s">
        <v>52</v>
      </c>
      <c r="F356" t="s">
        <v>40</v>
      </c>
      <c r="G356">
        <v>32</v>
      </c>
      <c r="H356" t="s">
        <v>65</v>
      </c>
      <c r="I356" t="s">
        <v>42</v>
      </c>
      <c r="J356" t="s">
        <v>31</v>
      </c>
      <c r="K356">
        <v>2</v>
      </c>
      <c r="L356" s="4">
        <v>38869</v>
      </c>
      <c r="M356">
        <v>1000</v>
      </c>
      <c r="N356">
        <v>37869</v>
      </c>
      <c r="O356" t="s">
        <v>25</v>
      </c>
      <c r="P356">
        <v>2.8</v>
      </c>
      <c r="Q356">
        <v>120</v>
      </c>
      <c r="R356" t="str">
        <f>TEXT(Healthcare_Data[[#This Row],[Visit_Date]],"mmm")</f>
        <v>May</v>
      </c>
      <c r="S356">
        <f>MONTH(Healthcare_Data[[#This Row],[Visit_Date]])</f>
        <v>5</v>
      </c>
      <c r="T356" t="str">
        <f>IF(Healthcare_Data[[#This Row],[Final_Bill]]&gt;=50000,"High",IF(Healthcare_Data[[#This Row],[Final_Bill]]&gt;=20000,"Medium","low"))</f>
        <v>Medium</v>
      </c>
    </row>
    <row r="357" spans="1:20" x14ac:dyDescent="0.3">
      <c r="A357" t="s">
        <v>412</v>
      </c>
      <c r="B357" s="3">
        <v>45790</v>
      </c>
      <c r="C357" t="s">
        <v>54</v>
      </c>
      <c r="D357" t="s">
        <v>19</v>
      </c>
      <c r="E357" t="s">
        <v>52</v>
      </c>
      <c r="F357" t="s">
        <v>21</v>
      </c>
      <c r="G357">
        <v>33</v>
      </c>
      <c r="H357" t="s">
        <v>56</v>
      </c>
      <c r="I357" t="s">
        <v>69</v>
      </c>
      <c r="J357" t="s">
        <v>31</v>
      </c>
      <c r="K357">
        <v>10</v>
      </c>
      <c r="L357" s="4">
        <v>64306</v>
      </c>
      <c r="M357">
        <v>0</v>
      </c>
      <c r="N357">
        <v>64306</v>
      </c>
      <c r="O357" t="s">
        <v>32</v>
      </c>
      <c r="P357">
        <v>3.9</v>
      </c>
      <c r="Q357">
        <v>78</v>
      </c>
      <c r="R357" t="str">
        <f>TEXT(Healthcare_Data[[#This Row],[Visit_Date]],"mmm")</f>
        <v>May</v>
      </c>
      <c r="S357">
        <f>MONTH(Healthcare_Data[[#This Row],[Visit_Date]])</f>
        <v>5</v>
      </c>
      <c r="T357" t="str">
        <f>IF(Healthcare_Data[[#This Row],[Final_Bill]]&gt;=50000,"High",IF(Healthcare_Data[[#This Row],[Final_Bill]]&gt;=20000,"Medium","low"))</f>
        <v>High</v>
      </c>
    </row>
    <row r="358" spans="1:20" x14ac:dyDescent="0.3">
      <c r="A358" t="s">
        <v>413</v>
      </c>
      <c r="B358" s="3">
        <v>45790</v>
      </c>
      <c r="C358" t="s">
        <v>50</v>
      </c>
      <c r="D358" t="s">
        <v>19</v>
      </c>
      <c r="E358" t="s">
        <v>20</v>
      </c>
      <c r="F358" t="s">
        <v>40</v>
      </c>
      <c r="G358">
        <v>28</v>
      </c>
      <c r="H358" t="s">
        <v>41</v>
      </c>
      <c r="I358" t="s">
        <v>23</v>
      </c>
      <c r="J358" t="s">
        <v>31</v>
      </c>
      <c r="K358">
        <v>0</v>
      </c>
      <c r="L358" s="4">
        <v>5176</v>
      </c>
      <c r="M358">
        <v>2000</v>
      </c>
      <c r="N358">
        <v>3176</v>
      </c>
      <c r="O358" t="s">
        <v>25</v>
      </c>
      <c r="P358">
        <v>4</v>
      </c>
      <c r="Q358">
        <v>83</v>
      </c>
      <c r="R358" t="str">
        <f>TEXT(Healthcare_Data[[#This Row],[Visit_Date]],"mmm")</f>
        <v>May</v>
      </c>
      <c r="S358">
        <f>MONTH(Healthcare_Data[[#This Row],[Visit_Date]])</f>
        <v>5</v>
      </c>
      <c r="T358" t="str">
        <f>IF(Healthcare_Data[[#This Row],[Final_Bill]]&gt;=50000,"High",IF(Healthcare_Data[[#This Row],[Final_Bill]]&gt;=20000,"Medium","low"))</f>
        <v>low</v>
      </c>
    </row>
    <row r="359" spans="1:20" x14ac:dyDescent="0.3">
      <c r="A359" t="s">
        <v>414</v>
      </c>
      <c r="B359" s="3">
        <v>45790</v>
      </c>
      <c r="C359" t="s">
        <v>54</v>
      </c>
      <c r="D359" t="s">
        <v>34</v>
      </c>
      <c r="E359" t="s">
        <v>20</v>
      </c>
      <c r="F359" t="s">
        <v>21</v>
      </c>
      <c r="G359">
        <v>77</v>
      </c>
      <c r="H359" t="s">
        <v>35</v>
      </c>
      <c r="I359" t="s">
        <v>63</v>
      </c>
      <c r="J359" t="s">
        <v>31</v>
      </c>
      <c r="K359">
        <v>0</v>
      </c>
      <c r="L359" s="4">
        <v>5309</v>
      </c>
      <c r="M359">
        <v>2000</v>
      </c>
      <c r="N359">
        <v>3309</v>
      </c>
      <c r="O359" t="s">
        <v>25</v>
      </c>
      <c r="P359">
        <v>4.4000000000000004</v>
      </c>
      <c r="Q359">
        <v>80</v>
      </c>
      <c r="R359" t="str">
        <f>TEXT(Healthcare_Data[[#This Row],[Visit_Date]],"mmm")</f>
        <v>May</v>
      </c>
      <c r="S359">
        <f>MONTH(Healthcare_Data[[#This Row],[Visit_Date]])</f>
        <v>5</v>
      </c>
      <c r="T359" t="str">
        <f>IF(Healthcare_Data[[#This Row],[Final_Bill]]&gt;=50000,"High",IF(Healthcare_Data[[#This Row],[Final_Bill]]&gt;=20000,"Medium","low"))</f>
        <v>low</v>
      </c>
    </row>
    <row r="360" spans="1:20" x14ac:dyDescent="0.3">
      <c r="A360" t="s">
        <v>415</v>
      </c>
      <c r="B360" s="3">
        <v>45790</v>
      </c>
      <c r="C360" t="s">
        <v>44</v>
      </c>
      <c r="D360" t="s">
        <v>34</v>
      </c>
      <c r="E360" t="s">
        <v>54</v>
      </c>
      <c r="F360" t="s">
        <v>40</v>
      </c>
      <c r="G360">
        <v>62</v>
      </c>
      <c r="H360" t="s">
        <v>41</v>
      </c>
      <c r="I360" t="s">
        <v>42</v>
      </c>
      <c r="J360" t="s">
        <v>58</v>
      </c>
      <c r="K360">
        <v>0</v>
      </c>
      <c r="L360" s="4">
        <v>17386</v>
      </c>
      <c r="M360">
        <v>0</v>
      </c>
      <c r="N360">
        <v>17386</v>
      </c>
      <c r="O360" t="s">
        <v>25</v>
      </c>
      <c r="P360">
        <v>3.9</v>
      </c>
      <c r="Q360">
        <v>89</v>
      </c>
      <c r="R360" t="str">
        <f>TEXT(Healthcare_Data[[#This Row],[Visit_Date]],"mmm")</f>
        <v>May</v>
      </c>
      <c r="S360">
        <f>MONTH(Healthcare_Data[[#This Row],[Visit_Date]])</f>
        <v>5</v>
      </c>
      <c r="T360" t="str">
        <f>IF(Healthcare_Data[[#This Row],[Final_Bill]]&gt;=50000,"High",IF(Healthcare_Data[[#This Row],[Final_Bill]]&gt;=20000,"Medium","low"))</f>
        <v>low</v>
      </c>
    </row>
    <row r="361" spans="1:20" x14ac:dyDescent="0.3">
      <c r="A361" t="s">
        <v>416</v>
      </c>
      <c r="B361" s="3">
        <v>45791</v>
      </c>
      <c r="C361" t="s">
        <v>27</v>
      </c>
      <c r="D361" t="s">
        <v>51</v>
      </c>
      <c r="E361" t="s">
        <v>54</v>
      </c>
      <c r="F361" t="s">
        <v>40</v>
      </c>
      <c r="G361">
        <v>31</v>
      </c>
      <c r="H361" t="s">
        <v>56</v>
      </c>
      <c r="I361" t="s">
        <v>42</v>
      </c>
      <c r="J361" t="s">
        <v>31</v>
      </c>
      <c r="K361">
        <v>0</v>
      </c>
      <c r="L361" s="4">
        <v>40031</v>
      </c>
      <c r="M361">
        <v>500</v>
      </c>
      <c r="N361">
        <v>39531</v>
      </c>
      <c r="O361" t="s">
        <v>32</v>
      </c>
      <c r="P361">
        <v>3.9</v>
      </c>
      <c r="Q361">
        <v>10</v>
      </c>
      <c r="R361" t="str">
        <f>TEXT(Healthcare_Data[[#This Row],[Visit_Date]],"mmm")</f>
        <v>May</v>
      </c>
      <c r="S361">
        <f>MONTH(Healthcare_Data[[#This Row],[Visit_Date]])</f>
        <v>5</v>
      </c>
      <c r="T361" t="str">
        <f>IF(Healthcare_Data[[#This Row],[Final_Bill]]&gt;=50000,"High",IF(Healthcare_Data[[#This Row],[Final_Bill]]&gt;=20000,"Medium","low"))</f>
        <v>Medium</v>
      </c>
    </row>
    <row r="362" spans="1:20" x14ac:dyDescent="0.3">
      <c r="A362" t="s">
        <v>417</v>
      </c>
      <c r="B362" s="3">
        <v>45791</v>
      </c>
      <c r="C362" t="s">
        <v>38</v>
      </c>
      <c r="D362" t="s">
        <v>39</v>
      </c>
      <c r="E362" t="s">
        <v>20</v>
      </c>
      <c r="F362" t="s">
        <v>40</v>
      </c>
      <c r="G362">
        <v>46</v>
      </c>
      <c r="H362" t="s">
        <v>115</v>
      </c>
      <c r="I362" t="s">
        <v>61</v>
      </c>
      <c r="J362" t="s">
        <v>24</v>
      </c>
      <c r="K362">
        <v>0</v>
      </c>
      <c r="L362" s="4">
        <v>3460</v>
      </c>
      <c r="M362">
        <v>0</v>
      </c>
      <c r="N362">
        <v>3460</v>
      </c>
      <c r="O362" t="s">
        <v>25</v>
      </c>
      <c r="P362">
        <v>4.7</v>
      </c>
      <c r="Q362">
        <v>101</v>
      </c>
      <c r="R362" t="str">
        <f>TEXT(Healthcare_Data[[#This Row],[Visit_Date]],"mmm")</f>
        <v>May</v>
      </c>
      <c r="S362">
        <f>MONTH(Healthcare_Data[[#This Row],[Visit_Date]])</f>
        <v>5</v>
      </c>
      <c r="T362" t="str">
        <f>IF(Healthcare_Data[[#This Row],[Final_Bill]]&gt;=50000,"High",IF(Healthcare_Data[[#This Row],[Final_Bill]]&gt;=20000,"Medium","low"))</f>
        <v>low</v>
      </c>
    </row>
    <row r="363" spans="1:20" x14ac:dyDescent="0.3">
      <c r="A363" t="s">
        <v>418</v>
      </c>
      <c r="B363" s="3">
        <v>45791</v>
      </c>
      <c r="C363" t="s">
        <v>38</v>
      </c>
      <c r="D363" t="s">
        <v>39</v>
      </c>
      <c r="E363" t="s">
        <v>20</v>
      </c>
      <c r="F363" t="s">
        <v>40</v>
      </c>
      <c r="G363">
        <v>30</v>
      </c>
      <c r="H363" t="s">
        <v>46</v>
      </c>
      <c r="I363" t="s">
        <v>23</v>
      </c>
      <c r="J363" t="s">
        <v>36</v>
      </c>
      <c r="K363">
        <v>0</v>
      </c>
      <c r="L363" s="4">
        <v>17556</v>
      </c>
      <c r="M363">
        <v>2000</v>
      </c>
      <c r="N363">
        <v>15556</v>
      </c>
      <c r="O363" t="s">
        <v>25</v>
      </c>
      <c r="P363">
        <v>4.4000000000000004</v>
      </c>
      <c r="Q363">
        <v>91</v>
      </c>
      <c r="R363" t="str">
        <f>TEXT(Healthcare_Data[[#This Row],[Visit_Date]],"mmm")</f>
        <v>May</v>
      </c>
      <c r="S363">
        <f>MONTH(Healthcare_Data[[#This Row],[Visit_Date]])</f>
        <v>5</v>
      </c>
      <c r="T363" t="str">
        <f>IF(Healthcare_Data[[#This Row],[Final_Bill]]&gt;=50000,"High",IF(Healthcare_Data[[#This Row],[Final_Bill]]&gt;=20000,"Medium","low"))</f>
        <v>low</v>
      </c>
    </row>
    <row r="364" spans="1:20" x14ac:dyDescent="0.3">
      <c r="A364" t="s">
        <v>419</v>
      </c>
      <c r="B364" s="3">
        <v>45792</v>
      </c>
      <c r="C364" t="s">
        <v>27</v>
      </c>
      <c r="D364" t="s">
        <v>19</v>
      </c>
      <c r="E364" t="s">
        <v>20</v>
      </c>
      <c r="F364" t="s">
        <v>21</v>
      </c>
      <c r="G364">
        <v>79</v>
      </c>
      <c r="H364" t="s">
        <v>56</v>
      </c>
      <c r="I364" t="s">
        <v>69</v>
      </c>
      <c r="J364" t="s">
        <v>58</v>
      </c>
      <c r="K364">
        <v>0</v>
      </c>
      <c r="L364" s="4">
        <v>1511</v>
      </c>
      <c r="M364">
        <v>1500</v>
      </c>
      <c r="N364">
        <v>11</v>
      </c>
      <c r="O364" t="s">
        <v>25</v>
      </c>
      <c r="P364">
        <v>4.8</v>
      </c>
      <c r="Q364">
        <v>59</v>
      </c>
      <c r="R364" t="str">
        <f>TEXT(Healthcare_Data[[#This Row],[Visit_Date]],"mmm")</f>
        <v>May</v>
      </c>
      <c r="S364">
        <f>MONTH(Healthcare_Data[[#This Row],[Visit_Date]])</f>
        <v>5</v>
      </c>
      <c r="T364" t="str">
        <f>IF(Healthcare_Data[[#This Row],[Final_Bill]]&gt;=50000,"High",IF(Healthcare_Data[[#This Row],[Final_Bill]]&gt;=20000,"Medium","low"))</f>
        <v>low</v>
      </c>
    </row>
    <row r="365" spans="1:20" x14ac:dyDescent="0.3">
      <c r="A365" t="s">
        <v>420</v>
      </c>
      <c r="B365" s="3">
        <v>45792</v>
      </c>
      <c r="C365" t="s">
        <v>27</v>
      </c>
      <c r="D365" t="s">
        <v>19</v>
      </c>
      <c r="E365" t="s">
        <v>20</v>
      </c>
      <c r="F365" t="s">
        <v>40</v>
      </c>
      <c r="G365">
        <v>34</v>
      </c>
      <c r="H365" t="s">
        <v>35</v>
      </c>
      <c r="I365" t="s">
        <v>23</v>
      </c>
      <c r="J365" t="s">
        <v>36</v>
      </c>
      <c r="K365">
        <v>0</v>
      </c>
      <c r="L365" s="4">
        <v>18202</v>
      </c>
      <c r="M365">
        <v>1000</v>
      </c>
      <c r="N365">
        <v>17202</v>
      </c>
      <c r="O365" t="s">
        <v>25</v>
      </c>
      <c r="P365">
        <v>3.6</v>
      </c>
      <c r="Q365">
        <v>54</v>
      </c>
      <c r="R365" t="str">
        <f>TEXT(Healthcare_Data[[#This Row],[Visit_Date]],"mmm")</f>
        <v>May</v>
      </c>
      <c r="S365">
        <f>MONTH(Healthcare_Data[[#This Row],[Visit_Date]])</f>
        <v>5</v>
      </c>
      <c r="T365" t="str">
        <f>IF(Healthcare_Data[[#This Row],[Final_Bill]]&gt;=50000,"High",IF(Healthcare_Data[[#This Row],[Final_Bill]]&gt;=20000,"Medium","low"))</f>
        <v>low</v>
      </c>
    </row>
    <row r="366" spans="1:20" x14ac:dyDescent="0.3">
      <c r="A366" t="s">
        <v>421</v>
      </c>
      <c r="B366" s="3">
        <v>45792</v>
      </c>
      <c r="C366" t="s">
        <v>50</v>
      </c>
      <c r="D366" t="s">
        <v>34</v>
      </c>
      <c r="E366" t="s">
        <v>20</v>
      </c>
      <c r="F366" t="s">
        <v>21</v>
      </c>
      <c r="G366">
        <v>36</v>
      </c>
      <c r="H366" t="s">
        <v>22</v>
      </c>
      <c r="I366" t="s">
        <v>63</v>
      </c>
      <c r="J366" t="s">
        <v>58</v>
      </c>
      <c r="K366">
        <v>0</v>
      </c>
      <c r="L366" s="4">
        <v>4686</v>
      </c>
      <c r="M366">
        <v>1000</v>
      </c>
      <c r="N366">
        <v>3686</v>
      </c>
      <c r="O366" t="s">
        <v>25</v>
      </c>
      <c r="P366">
        <v>4.5999999999999996</v>
      </c>
      <c r="Q366">
        <v>96</v>
      </c>
      <c r="R366" t="str">
        <f>TEXT(Healthcare_Data[[#This Row],[Visit_Date]],"mmm")</f>
        <v>May</v>
      </c>
      <c r="S366">
        <f>MONTH(Healthcare_Data[[#This Row],[Visit_Date]])</f>
        <v>5</v>
      </c>
      <c r="T366" t="str">
        <f>IF(Healthcare_Data[[#This Row],[Final_Bill]]&gt;=50000,"High",IF(Healthcare_Data[[#This Row],[Final_Bill]]&gt;=20000,"Medium","low"))</f>
        <v>low</v>
      </c>
    </row>
    <row r="367" spans="1:20" x14ac:dyDescent="0.3">
      <c r="A367" t="s">
        <v>422</v>
      </c>
      <c r="B367" s="3">
        <v>45793</v>
      </c>
      <c r="C367" t="s">
        <v>48</v>
      </c>
      <c r="D367" t="s">
        <v>19</v>
      </c>
      <c r="E367" t="s">
        <v>20</v>
      </c>
      <c r="F367" t="s">
        <v>21</v>
      </c>
      <c r="G367">
        <v>48</v>
      </c>
      <c r="H367" t="s">
        <v>65</v>
      </c>
      <c r="I367" t="s">
        <v>61</v>
      </c>
      <c r="J367" t="s">
        <v>24</v>
      </c>
      <c r="K367">
        <v>0</v>
      </c>
      <c r="L367" s="4">
        <v>11164</v>
      </c>
      <c r="M367">
        <v>1500</v>
      </c>
      <c r="N367">
        <v>9664</v>
      </c>
      <c r="O367" t="s">
        <v>25</v>
      </c>
      <c r="P367">
        <v>3.2</v>
      </c>
      <c r="Q367">
        <v>54</v>
      </c>
      <c r="R367" t="str">
        <f>TEXT(Healthcare_Data[[#This Row],[Visit_Date]],"mmm")</f>
        <v>May</v>
      </c>
      <c r="S367">
        <f>MONTH(Healthcare_Data[[#This Row],[Visit_Date]])</f>
        <v>5</v>
      </c>
      <c r="T367" t="str">
        <f>IF(Healthcare_Data[[#This Row],[Final_Bill]]&gt;=50000,"High",IF(Healthcare_Data[[#This Row],[Final_Bill]]&gt;=20000,"Medium","low"))</f>
        <v>low</v>
      </c>
    </row>
    <row r="368" spans="1:20" x14ac:dyDescent="0.3">
      <c r="A368" t="s">
        <v>423</v>
      </c>
      <c r="B368" s="3">
        <v>45793</v>
      </c>
      <c r="C368" t="s">
        <v>44</v>
      </c>
      <c r="D368" t="s">
        <v>28</v>
      </c>
      <c r="E368" t="s">
        <v>52</v>
      </c>
      <c r="F368" t="s">
        <v>40</v>
      </c>
      <c r="G368">
        <v>21</v>
      </c>
      <c r="H368" t="s">
        <v>29</v>
      </c>
      <c r="I368" t="s">
        <v>61</v>
      </c>
      <c r="J368" t="s">
        <v>36</v>
      </c>
      <c r="K368">
        <v>13</v>
      </c>
      <c r="L368" s="4">
        <v>64379</v>
      </c>
      <c r="M368">
        <v>500</v>
      </c>
      <c r="N368">
        <v>63879</v>
      </c>
      <c r="O368" t="s">
        <v>32</v>
      </c>
      <c r="P368">
        <v>3.3</v>
      </c>
      <c r="Q368">
        <v>55</v>
      </c>
      <c r="R368" t="str">
        <f>TEXT(Healthcare_Data[[#This Row],[Visit_Date]],"mmm")</f>
        <v>May</v>
      </c>
      <c r="S368">
        <f>MONTH(Healthcare_Data[[#This Row],[Visit_Date]])</f>
        <v>5</v>
      </c>
      <c r="T368" t="str">
        <f>IF(Healthcare_Data[[#This Row],[Final_Bill]]&gt;=50000,"High",IF(Healthcare_Data[[#This Row],[Final_Bill]]&gt;=20000,"Medium","low"))</f>
        <v>High</v>
      </c>
    </row>
    <row r="369" spans="1:20" x14ac:dyDescent="0.3">
      <c r="A369" t="s">
        <v>424</v>
      </c>
      <c r="B369" s="3">
        <v>45793</v>
      </c>
      <c r="C369" t="s">
        <v>50</v>
      </c>
      <c r="D369" t="s">
        <v>28</v>
      </c>
      <c r="E369" t="s">
        <v>20</v>
      </c>
      <c r="F369" t="s">
        <v>21</v>
      </c>
      <c r="G369">
        <v>73</v>
      </c>
      <c r="H369" t="s">
        <v>41</v>
      </c>
      <c r="I369" t="s">
        <v>72</v>
      </c>
      <c r="J369" t="s">
        <v>24</v>
      </c>
      <c r="K369">
        <v>0</v>
      </c>
      <c r="L369" s="4">
        <v>15301</v>
      </c>
      <c r="M369">
        <v>0</v>
      </c>
      <c r="N369">
        <v>15301</v>
      </c>
      <c r="O369" t="s">
        <v>59</v>
      </c>
      <c r="P369">
        <v>3.6</v>
      </c>
      <c r="Q369">
        <v>69</v>
      </c>
      <c r="R369" t="str">
        <f>TEXT(Healthcare_Data[[#This Row],[Visit_Date]],"mmm")</f>
        <v>May</v>
      </c>
      <c r="S369">
        <f>MONTH(Healthcare_Data[[#This Row],[Visit_Date]])</f>
        <v>5</v>
      </c>
      <c r="T369" t="str">
        <f>IF(Healthcare_Data[[#This Row],[Final_Bill]]&gt;=50000,"High",IF(Healthcare_Data[[#This Row],[Final_Bill]]&gt;=20000,"Medium","low"))</f>
        <v>low</v>
      </c>
    </row>
    <row r="370" spans="1:20" x14ac:dyDescent="0.3">
      <c r="A370" t="s">
        <v>425</v>
      </c>
      <c r="B370" s="3">
        <v>45794</v>
      </c>
      <c r="C370" t="s">
        <v>44</v>
      </c>
      <c r="D370" t="s">
        <v>51</v>
      </c>
      <c r="E370" t="s">
        <v>20</v>
      </c>
      <c r="F370" t="s">
        <v>21</v>
      </c>
      <c r="G370">
        <v>34</v>
      </c>
      <c r="H370" t="s">
        <v>46</v>
      </c>
      <c r="I370" t="s">
        <v>72</v>
      </c>
      <c r="J370" t="s">
        <v>24</v>
      </c>
      <c r="K370">
        <v>0</v>
      </c>
      <c r="L370" s="4">
        <v>10971</v>
      </c>
      <c r="M370">
        <v>0</v>
      </c>
      <c r="N370">
        <v>10971</v>
      </c>
      <c r="O370" t="s">
        <v>25</v>
      </c>
      <c r="P370">
        <v>3.6</v>
      </c>
      <c r="Q370">
        <v>14</v>
      </c>
      <c r="R370" t="str">
        <f>TEXT(Healthcare_Data[[#This Row],[Visit_Date]],"mmm")</f>
        <v>May</v>
      </c>
      <c r="S370">
        <f>MONTH(Healthcare_Data[[#This Row],[Visit_Date]])</f>
        <v>5</v>
      </c>
      <c r="T370" t="str">
        <f>IF(Healthcare_Data[[#This Row],[Final_Bill]]&gt;=50000,"High",IF(Healthcare_Data[[#This Row],[Final_Bill]]&gt;=20000,"Medium","low"))</f>
        <v>low</v>
      </c>
    </row>
    <row r="371" spans="1:20" x14ac:dyDescent="0.3">
      <c r="A371" t="s">
        <v>426</v>
      </c>
      <c r="B371" s="3">
        <v>45794</v>
      </c>
      <c r="C371" t="s">
        <v>67</v>
      </c>
      <c r="D371" t="s">
        <v>19</v>
      </c>
      <c r="E371" t="s">
        <v>20</v>
      </c>
      <c r="F371" t="s">
        <v>40</v>
      </c>
      <c r="G371">
        <v>49</v>
      </c>
      <c r="H371" t="s">
        <v>65</v>
      </c>
      <c r="I371" t="s">
        <v>63</v>
      </c>
      <c r="J371" t="s">
        <v>58</v>
      </c>
      <c r="K371">
        <v>0</v>
      </c>
      <c r="L371" s="4">
        <v>2270</v>
      </c>
      <c r="M371">
        <v>1000</v>
      </c>
      <c r="N371">
        <v>1270</v>
      </c>
      <c r="O371" t="s">
        <v>25</v>
      </c>
      <c r="P371">
        <v>3.8</v>
      </c>
      <c r="Q371">
        <v>36</v>
      </c>
      <c r="R371" t="str">
        <f>TEXT(Healthcare_Data[[#This Row],[Visit_Date]],"mmm")</f>
        <v>May</v>
      </c>
      <c r="S371">
        <f>MONTH(Healthcare_Data[[#This Row],[Visit_Date]])</f>
        <v>5</v>
      </c>
      <c r="T371" t="str">
        <f>IF(Healthcare_Data[[#This Row],[Final_Bill]]&gt;=50000,"High",IF(Healthcare_Data[[#This Row],[Final_Bill]]&gt;=20000,"Medium","low"))</f>
        <v>low</v>
      </c>
    </row>
    <row r="372" spans="1:20" x14ac:dyDescent="0.3">
      <c r="A372" t="s">
        <v>427</v>
      </c>
      <c r="B372" s="3">
        <v>45795</v>
      </c>
      <c r="C372" t="s">
        <v>48</v>
      </c>
      <c r="D372" t="s">
        <v>39</v>
      </c>
      <c r="E372" t="s">
        <v>20</v>
      </c>
      <c r="F372" t="s">
        <v>40</v>
      </c>
      <c r="G372">
        <v>75</v>
      </c>
      <c r="H372" t="s">
        <v>35</v>
      </c>
      <c r="I372" t="s">
        <v>30</v>
      </c>
      <c r="J372" t="s">
        <v>24</v>
      </c>
      <c r="K372">
        <v>0</v>
      </c>
      <c r="L372" s="4">
        <v>13739</v>
      </c>
      <c r="M372">
        <v>1000</v>
      </c>
      <c r="N372">
        <v>12739</v>
      </c>
      <c r="O372" t="s">
        <v>25</v>
      </c>
      <c r="P372">
        <v>3.8</v>
      </c>
      <c r="Q372">
        <v>111</v>
      </c>
      <c r="R372" t="str">
        <f>TEXT(Healthcare_Data[[#This Row],[Visit_Date]],"mmm")</f>
        <v>May</v>
      </c>
      <c r="S372">
        <f>MONTH(Healthcare_Data[[#This Row],[Visit_Date]])</f>
        <v>5</v>
      </c>
      <c r="T372" t="str">
        <f>IF(Healthcare_Data[[#This Row],[Final_Bill]]&gt;=50000,"High",IF(Healthcare_Data[[#This Row],[Final_Bill]]&gt;=20000,"Medium","low"))</f>
        <v>low</v>
      </c>
    </row>
    <row r="373" spans="1:20" x14ac:dyDescent="0.3">
      <c r="A373" t="s">
        <v>428</v>
      </c>
      <c r="B373" s="3">
        <v>45796</v>
      </c>
      <c r="C373" t="s">
        <v>44</v>
      </c>
      <c r="D373" t="s">
        <v>39</v>
      </c>
      <c r="E373" t="s">
        <v>52</v>
      </c>
      <c r="F373" t="s">
        <v>40</v>
      </c>
      <c r="G373">
        <v>39</v>
      </c>
      <c r="H373" t="s">
        <v>46</v>
      </c>
      <c r="I373" t="s">
        <v>72</v>
      </c>
      <c r="J373" t="s">
        <v>36</v>
      </c>
      <c r="K373">
        <v>1</v>
      </c>
      <c r="L373" s="4">
        <v>41508</v>
      </c>
      <c r="M373">
        <v>1000</v>
      </c>
      <c r="N373">
        <v>40508</v>
      </c>
      <c r="O373" t="s">
        <v>32</v>
      </c>
      <c r="P373">
        <v>2.6</v>
      </c>
      <c r="Q373">
        <v>38</v>
      </c>
      <c r="R373" t="str">
        <f>TEXT(Healthcare_Data[[#This Row],[Visit_Date]],"mmm")</f>
        <v>May</v>
      </c>
      <c r="S373">
        <f>MONTH(Healthcare_Data[[#This Row],[Visit_Date]])</f>
        <v>5</v>
      </c>
      <c r="T373" t="str">
        <f>IF(Healthcare_Data[[#This Row],[Final_Bill]]&gt;=50000,"High",IF(Healthcare_Data[[#This Row],[Final_Bill]]&gt;=20000,"Medium","low"))</f>
        <v>Medium</v>
      </c>
    </row>
    <row r="374" spans="1:20" x14ac:dyDescent="0.3">
      <c r="A374" t="s">
        <v>429</v>
      </c>
      <c r="B374" s="3">
        <v>45796</v>
      </c>
      <c r="C374" t="s">
        <v>50</v>
      </c>
      <c r="D374" t="s">
        <v>19</v>
      </c>
      <c r="E374" t="s">
        <v>54</v>
      </c>
      <c r="F374" t="s">
        <v>40</v>
      </c>
      <c r="G374">
        <v>44</v>
      </c>
      <c r="H374" t="s">
        <v>65</v>
      </c>
      <c r="I374" t="s">
        <v>61</v>
      </c>
      <c r="J374" t="s">
        <v>58</v>
      </c>
      <c r="K374">
        <v>0</v>
      </c>
      <c r="L374" s="4">
        <v>10176</v>
      </c>
      <c r="M374">
        <v>0</v>
      </c>
      <c r="N374">
        <v>10176</v>
      </c>
      <c r="O374" t="s">
        <v>25</v>
      </c>
      <c r="P374">
        <v>4.5</v>
      </c>
      <c r="Q374">
        <v>110</v>
      </c>
      <c r="R374" t="str">
        <f>TEXT(Healthcare_Data[[#This Row],[Visit_Date]],"mmm")</f>
        <v>May</v>
      </c>
      <c r="S374">
        <f>MONTH(Healthcare_Data[[#This Row],[Visit_Date]])</f>
        <v>5</v>
      </c>
      <c r="T374" t="str">
        <f>IF(Healthcare_Data[[#This Row],[Final_Bill]]&gt;=50000,"High",IF(Healthcare_Data[[#This Row],[Final_Bill]]&gt;=20000,"Medium","low"))</f>
        <v>low</v>
      </c>
    </row>
    <row r="375" spans="1:20" x14ac:dyDescent="0.3">
      <c r="A375" t="s">
        <v>430</v>
      </c>
      <c r="B375" s="3">
        <v>45797</v>
      </c>
      <c r="C375" t="s">
        <v>18</v>
      </c>
      <c r="D375" t="s">
        <v>28</v>
      </c>
      <c r="E375" t="s">
        <v>20</v>
      </c>
      <c r="F375" t="s">
        <v>40</v>
      </c>
      <c r="G375">
        <v>30</v>
      </c>
      <c r="H375" t="s">
        <v>22</v>
      </c>
      <c r="I375" t="s">
        <v>42</v>
      </c>
      <c r="J375" t="s">
        <v>31</v>
      </c>
      <c r="K375">
        <v>0</v>
      </c>
      <c r="L375" s="4">
        <v>13394</v>
      </c>
      <c r="M375">
        <v>1000</v>
      </c>
      <c r="N375">
        <v>12394</v>
      </c>
      <c r="O375" t="s">
        <v>25</v>
      </c>
      <c r="P375">
        <v>5</v>
      </c>
      <c r="Q375">
        <v>73</v>
      </c>
      <c r="R375" t="str">
        <f>TEXT(Healthcare_Data[[#This Row],[Visit_Date]],"mmm")</f>
        <v>May</v>
      </c>
      <c r="S375">
        <f>MONTH(Healthcare_Data[[#This Row],[Visit_Date]])</f>
        <v>5</v>
      </c>
      <c r="T375" t="str">
        <f>IF(Healthcare_Data[[#This Row],[Final_Bill]]&gt;=50000,"High",IF(Healthcare_Data[[#This Row],[Final_Bill]]&gt;=20000,"Medium","low"))</f>
        <v>low</v>
      </c>
    </row>
    <row r="376" spans="1:20" x14ac:dyDescent="0.3">
      <c r="A376" t="s">
        <v>431</v>
      </c>
      <c r="B376" s="3">
        <v>45797</v>
      </c>
      <c r="C376" t="s">
        <v>48</v>
      </c>
      <c r="D376" t="s">
        <v>28</v>
      </c>
      <c r="E376" t="s">
        <v>20</v>
      </c>
      <c r="F376" t="s">
        <v>40</v>
      </c>
      <c r="G376">
        <v>64</v>
      </c>
      <c r="H376" t="s">
        <v>41</v>
      </c>
      <c r="I376" t="s">
        <v>63</v>
      </c>
      <c r="J376" t="s">
        <v>31</v>
      </c>
      <c r="K376">
        <v>0</v>
      </c>
      <c r="L376" s="4">
        <v>3877</v>
      </c>
      <c r="M376">
        <v>500</v>
      </c>
      <c r="N376">
        <v>3377</v>
      </c>
      <c r="O376" t="s">
        <v>25</v>
      </c>
      <c r="P376">
        <v>4.8</v>
      </c>
      <c r="Q376">
        <v>39</v>
      </c>
      <c r="R376" t="str">
        <f>TEXT(Healthcare_Data[[#This Row],[Visit_Date]],"mmm")</f>
        <v>May</v>
      </c>
      <c r="S376">
        <f>MONTH(Healthcare_Data[[#This Row],[Visit_Date]])</f>
        <v>5</v>
      </c>
      <c r="T376" t="str">
        <f>IF(Healthcare_Data[[#This Row],[Final_Bill]]&gt;=50000,"High",IF(Healthcare_Data[[#This Row],[Final_Bill]]&gt;=20000,"Medium","low"))</f>
        <v>low</v>
      </c>
    </row>
    <row r="377" spans="1:20" x14ac:dyDescent="0.3">
      <c r="A377" t="s">
        <v>432</v>
      </c>
      <c r="B377" s="3">
        <v>45798</v>
      </c>
      <c r="C377" t="s">
        <v>67</v>
      </c>
      <c r="D377" t="s">
        <v>34</v>
      </c>
      <c r="E377" t="s">
        <v>20</v>
      </c>
      <c r="F377" t="s">
        <v>40</v>
      </c>
      <c r="G377">
        <v>62</v>
      </c>
      <c r="H377" t="s">
        <v>29</v>
      </c>
      <c r="I377" t="s">
        <v>42</v>
      </c>
      <c r="J377" t="s">
        <v>24</v>
      </c>
      <c r="K377">
        <v>0</v>
      </c>
      <c r="L377" s="4">
        <v>7700</v>
      </c>
      <c r="M377">
        <v>0</v>
      </c>
      <c r="N377">
        <v>7700</v>
      </c>
      <c r="O377" t="s">
        <v>25</v>
      </c>
      <c r="P377">
        <v>3.9</v>
      </c>
      <c r="Q377">
        <v>41</v>
      </c>
      <c r="R377" t="str">
        <f>TEXT(Healthcare_Data[[#This Row],[Visit_Date]],"mmm")</f>
        <v>May</v>
      </c>
      <c r="S377">
        <f>MONTH(Healthcare_Data[[#This Row],[Visit_Date]])</f>
        <v>5</v>
      </c>
      <c r="T377" t="str">
        <f>IF(Healthcare_Data[[#This Row],[Final_Bill]]&gt;=50000,"High",IF(Healthcare_Data[[#This Row],[Final_Bill]]&gt;=20000,"Medium","low"))</f>
        <v>low</v>
      </c>
    </row>
    <row r="378" spans="1:20" x14ac:dyDescent="0.3">
      <c r="A378" t="s">
        <v>433</v>
      </c>
      <c r="B378" s="3">
        <v>45798</v>
      </c>
      <c r="C378" t="s">
        <v>27</v>
      </c>
      <c r="D378" t="s">
        <v>51</v>
      </c>
      <c r="E378" t="s">
        <v>52</v>
      </c>
      <c r="F378" t="s">
        <v>21</v>
      </c>
      <c r="G378">
        <v>47</v>
      </c>
      <c r="H378" t="s">
        <v>22</v>
      </c>
      <c r="I378" t="s">
        <v>63</v>
      </c>
      <c r="J378" t="s">
        <v>36</v>
      </c>
      <c r="K378">
        <v>11</v>
      </c>
      <c r="L378" s="4">
        <v>53669</v>
      </c>
      <c r="M378">
        <v>0</v>
      </c>
      <c r="N378">
        <v>53669</v>
      </c>
      <c r="O378" t="s">
        <v>59</v>
      </c>
      <c r="P378">
        <v>2.8</v>
      </c>
      <c r="Q378">
        <v>65</v>
      </c>
      <c r="R378" t="str">
        <f>TEXT(Healthcare_Data[[#This Row],[Visit_Date]],"mmm")</f>
        <v>May</v>
      </c>
      <c r="S378">
        <f>MONTH(Healthcare_Data[[#This Row],[Visit_Date]])</f>
        <v>5</v>
      </c>
      <c r="T378" t="str">
        <f>IF(Healthcare_Data[[#This Row],[Final_Bill]]&gt;=50000,"High",IF(Healthcare_Data[[#This Row],[Final_Bill]]&gt;=20000,"Medium","low"))</f>
        <v>High</v>
      </c>
    </row>
    <row r="379" spans="1:20" x14ac:dyDescent="0.3">
      <c r="A379" t="s">
        <v>434</v>
      </c>
      <c r="B379" s="3">
        <v>45799</v>
      </c>
      <c r="C379" t="s">
        <v>27</v>
      </c>
      <c r="D379" t="s">
        <v>39</v>
      </c>
      <c r="E379" t="s">
        <v>20</v>
      </c>
      <c r="F379" t="s">
        <v>40</v>
      </c>
      <c r="G379">
        <v>30</v>
      </c>
      <c r="H379" t="s">
        <v>65</v>
      </c>
      <c r="I379" t="s">
        <v>63</v>
      </c>
      <c r="J379" t="s">
        <v>31</v>
      </c>
      <c r="K379">
        <v>0</v>
      </c>
      <c r="L379" s="4">
        <v>11024</v>
      </c>
      <c r="M379">
        <v>500</v>
      </c>
      <c r="N379">
        <v>10524</v>
      </c>
      <c r="O379" t="s">
        <v>25</v>
      </c>
      <c r="P379">
        <v>3.1</v>
      </c>
      <c r="Q379">
        <v>84</v>
      </c>
      <c r="R379" t="str">
        <f>TEXT(Healthcare_Data[[#This Row],[Visit_Date]],"mmm")</f>
        <v>May</v>
      </c>
      <c r="S379">
        <f>MONTH(Healthcare_Data[[#This Row],[Visit_Date]])</f>
        <v>5</v>
      </c>
      <c r="T379" t="str">
        <f>IF(Healthcare_Data[[#This Row],[Final_Bill]]&gt;=50000,"High",IF(Healthcare_Data[[#This Row],[Final_Bill]]&gt;=20000,"Medium","low"))</f>
        <v>low</v>
      </c>
    </row>
    <row r="380" spans="1:20" x14ac:dyDescent="0.3">
      <c r="A380" t="s">
        <v>435</v>
      </c>
      <c r="B380" s="3">
        <v>45799</v>
      </c>
      <c r="C380" t="s">
        <v>38</v>
      </c>
      <c r="D380" t="s">
        <v>34</v>
      </c>
      <c r="E380" t="s">
        <v>20</v>
      </c>
      <c r="F380" t="s">
        <v>21</v>
      </c>
      <c r="G380">
        <v>71</v>
      </c>
      <c r="H380" t="s">
        <v>65</v>
      </c>
      <c r="I380" t="s">
        <v>61</v>
      </c>
      <c r="J380" t="s">
        <v>31</v>
      </c>
      <c r="K380">
        <v>0</v>
      </c>
      <c r="L380" s="4">
        <v>5218</v>
      </c>
      <c r="M380">
        <v>1000</v>
      </c>
      <c r="N380">
        <v>4218</v>
      </c>
      <c r="O380" t="s">
        <v>25</v>
      </c>
      <c r="P380">
        <v>3.2</v>
      </c>
      <c r="Q380">
        <v>7</v>
      </c>
      <c r="R380" t="str">
        <f>TEXT(Healthcare_Data[[#This Row],[Visit_Date]],"mmm")</f>
        <v>May</v>
      </c>
      <c r="S380">
        <f>MONTH(Healthcare_Data[[#This Row],[Visit_Date]])</f>
        <v>5</v>
      </c>
      <c r="T380" t="str">
        <f>IF(Healthcare_Data[[#This Row],[Final_Bill]]&gt;=50000,"High",IF(Healthcare_Data[[#This Row],[Final_Bill]]&gt;=20000,"Medium","low"))</f>
        <v>low</v>
      </c>
    </row>
    <row r="381" spans="1:20" x14ac:dyDescent="0.3">
      <c r="A381" t="s">
        <v>436</v>
      </c>
      <c r="B381" s="3">
        <v>45800</v>
      </c>
      <c r="C381" t="s">
        <v>38</v>
      </c>
      <c r="D381" t="s">
        <v>28</v>
      </c>
      <c r="E381" t="s">
        <v>20</v>
      </c>
      <c r="F381" t="s">
        <v>21</v>
      </c>
      <c r="G381">
        <v>25</v>
      </c>
      <c r="H381" t="s">
        <v>35</v>
      </c>
      <c r="I381" t="s">
        <v>72</v>
      </c>
      <c r="J381" t="s">
        <v>36</v>
      </c>
      <c r="K381">
        <v>0</v>
      </c>
      <c r="L381" s="4">
        <v>9410</v>
      </c>
      <c r="M381">
        <v>500</v>
      </c>
      <c r="N381">
        <v>8910</v>
      </c>
      <c r="O381" t="s">
        <v>25</v>
      </c>
      <c r="P381">
        <v>3.6</v>
      </c>
      <c r="Q381">
        <v>50</v>
      </c>
      <c r="R381" t="str">
        <f>TEXT(Healthcare_Data[[#This Row],[Visit_Date]],"mmm")</f>
        <v>May</v>
      </c>
      <c r="S381">
        <f>MONTH(Healthcare_Data[[#This Row],[Visit_Date]])</f>
        <v>5</v>
      </c>
      <c r="T381" t="str">
        <f>IF(Healthcare_Data[[#This Row],[Final_Bill]]&gt;=50000,"High",IF(Healthcare_Data[[#This Row],[Final_Bill]]&gt;=20000,"Medium","low"))</f>
        <v>low</v>
      </c>
    </row>
    <row r="382" spans="1:20" x14ac:dyDescent="0.3">
      <c r="A382" t="s">
        <v>437</v>
      </c>
      <c r="B382" s="3">
        <v>45800</v>
      </c>
      <c r="C382" t="s">
        <v>38</v>
      </c>
      <c r="D382" t="s">
        <v>19</v>
      </c>
      <c r="E382" t="s">
        <v>54</v>
      </c>
      <c r="F382" t="s">
        <v>21</v>
      </c>
      <c r="G382">
        <v>39</v>
      </c>
      <c r="H382" t="s">
        <v>46</v>
      </c>
      <c r="I382" t="s">
        <v>63</v>
      </c>
      <c r="J382" t="s">
        <v>24</v>
      </c>
      <c r="K382">
        <v>0</v>
      </c>
      <c r="L382" s="4">
        <v>40885</v>
      </c>
      <c r="M382">
        <v>0</v>
      </c>
      <c r="N382">
        <v>40885</v>
      </c>
      <c r="O382" t="s">
        <v>25</v>
      </c>
      <c r="P382">
        <v>4.0999999999999996</v>
      </c>
      <c r="Q382">
        <v>108</v>
      </c>
      <c r="R382" t="str">
        <f>TEXT(Healthcare_Data[[#This Row],[Visit_Date]],"mmm")</f>
        <v>May</v>
      </c>
      <c r="S382">
        <f>MONTH(Healthcare_Data[[#This Row],[Visit_Date]])</f>
        <v>5</v>
      </c>
      <c r="T382" t="str">
        <f>IF(Healthcare_Data[[#This Row],[Final_Bill]]&gt;=50000,"High",IF(Healthcare_Data[[#This Row],[Final_Bill]]&gt;=20000,"Medium","low"))</f>
        <v>Medium</v>
      </c>
    </row>
    <row r="383" spans="1:20" x14ac:dyDescent="0.3">
      <c r="A383" t="s">
        <v>438</v>
      </c>
      <c r="B383" s="3">
        <v>45800</v>
      </c>
      <c r="C383" t="s">
        <v>27</v>
      </c>
      <c r="D383" t="s">
        <v>39</v>
      </c>
      <c r="E383" t="s">
        <v>54</v>
      </c>
      <c r="F383" t="s">
        <v>21</v>
      </c>
      <c r="G383">
        <v>32</v>
      </c>
      <c r="H383" t="s">
        <v>35</v>
      </c>
      <c r="I383" t="s">
        <v>23</v>
      </c>
      <c r="J383" t="s">
        <v>36</v>
      </c>
      <c r="K383">
        <v>0</v>
      </c>
      <c r="L383" s="4">
        <v>24691</v>
      </c>
      <c r="M383">
        <v>1000</v>
      </c>
      <c r="N383">
        <v>23691</v>
      </c>
      <c r="O383" t="s">
        <v>25</v>
      </c>
      <c r="P383">
        <v>4.4000000000000004</v>
      </c>
      <c r="Q383">
        <v>52</v>
      </c>
      <c r="R383" t="str">
        <f>TEXT(Healthcare_Data[[#This Row],[Visit_Date]],"mmm")</f>
        <v>May</v>
      </c>
      <c r="S383">
        <f>MONTH(Healthcare_Data[[#This Row],[Visit_Date]])</f>
        <v>5</v>
      </c>
      <c r="T383" t="str">
        <f>IF(Healthcare_Data[[#This Row],[Final_Bill]]&gt;=50000,"High",IF(Healthcare_Data[[#This Row],[Final_Bill]]&gt;=20000,"Medium","low"))</f>
        <v>Medium</v>
      </c>
    </row>
    <row r="384" spans="1:20" x14ac:dyDescent="0.3">
      <c r="A384" t="s">
        <v>439</v>
      </c>
      <c r="B384" s="3">
        <v>45801</v>
      </c>
      <c r="C384" t="s">
        <v>54</v>
      </c>
      <c r="D384" t="s">
        <v>34</v>
      </c>
      <c r="E384" t="s">
        <v>20</v>
      </c>
      <c r="F384" t="s">
        <v>21</v>
      </c>
      <c r="G384">
        <v>42</v>
      </c>
      <c r="H384" t="s">
        <v>56</v>
      </c>
      <c r="I384" t="s">
        <v>69</v>
      </c>
      <c r="J384" t="s">
        <v>1057</v>
      </c>
      <c r="K384">
        <v>0</v>
      </c>
      <c r="L384" s="4">
        <v>12037</v>
      </c>
      <c r="M384">
        <v>1500</v>
      </c>
      <c r="N384">
        <v>10537</v>
      </c>
      <c r="O384" t="s">
        <v>32</v>
      </c>
      <c r="P384">
        <v>3.5</v>
      </c>
      <c r="Q384">
        <v>13</v>
      </c>
      <c r="R384" t="str">
        <f>TEXT(Healthcare_Data[[#This Row],[Visit_Date]],"mmm")</f>
        <v>May</v>
      </c>
      <c r="S384">
        <f>MONTH(Healthcare_Data[[#This Row],[Visit_Date]])</f>
        <v>5</v>
      </c>
      <c r="T384" t="str">
        <f>IF(Healthcare_Data[[#This Row],[Final_Bill]]&gt;=50000,"High",IF(Healthcare_Data[[#This Row],[Final_Bill]]&gt;=20000,"Medium","low"))</f>
        <v>low</v>
      </c>
    </row>
    <row r="385" spans="1:20" x14ac:dyDescent="0.3">
      <c r="A385" t="s">
        <v>440</v>
      </c>
      <c r="B385" s="3">
        <v>45801</v>
      </c>
      <c r="C385" t="s">
        <v>67</v>
      </c>
      <c r="D385" t="s">
        <v>28</v>
      </c>
      <c r="E385" t="s">
        <v>54</v>
      </c>
      <c r="F385" t="s">
        <v>21</v>
      </c>
      <c r="G385">
        <v>75</v>
      </c>
      <c r="H385" t="s">
        <v>35</v>
      </c>
      <c r="I385" t="s">
        <v>42</v>
      </c>
      <c r="J385" t="s">
        <v>24</v>
      </c>
      <c r="K385">
        <v>0</v>
      </c>
      <c r="L385" s="4">
        <v>38418</v>
      </c>
      <c r="M385">
        <v>0</v>
      </c>
      <c r="N385">
        <v>38418</v>
      </c>
      <c r="O385" t="s">
        <v>25</v>
      </c>
      <c r="P385">
        <v>3.5</v>
      </c>
      <c r="Q385">
        <v>117</v>
      </c>
      <c r="R385" t="str">
        <f>TEXT(Healthcare_Data[[#This Row],[Visit_Date]],"mmm")</f>
        <v>May</v>
      </c>
      <c r="S385">
        <f>MONTH(Healthcare_Data[[#This Row],[Visit_Date]])</f>
        <v>5</v>
      </c>
      <c r="T385" t="str">
        <f>IF(Healthcare_Data[[#This Row],[Final_Bill]]&gt;=50000,"High",IF(Healthcare_Data[[#This Row],[Final_Bill]]&gt;=20000,"Medium","low"))</f>
        <v>Medium</v>
      </c>
    </row>
    <row r="386" spans="1:20" x14ac:dyDescent="0.3">
      <c r="A386" t="s">
        <v>441</v>
      </c>
      <c r="B386" s="3">
        <v>45801</v>
      </c>
      <c r="C386" t="s">
        <v>50</v>
      </c>
      <c r="D386" t="s">
        <v>39</v>
      </c>
      <c r="E386" t="s">
        <v>20</v>
      </c>
      <c r="F386" t="s">
        <v>40</v>
      </c>
      <c r="G386">
        <v>73</v>
      </c>
      <c r="H386" t="s">
        <v>56</v>
      </c>
      <c r="I386" t="s">
        <v>61</v>
      </c>
      <c r="J386" t="s">
        <v>24</v>
      </c>
      <c r="K386">
        <v>0</v>
      </c>
      <c r="L386" s="4">
        <v>4099</v>
      </c>
      <c r="M386">
        <v>1000</v>
      </c>
      <c r="N386">
        <v>3099</v>
      </c>
      <c r="O386" t="s">
        <v>25</v>
      </c>
      <c r="P386">
        <v>4.5</v>
      </c>
      <c r="Q386">
        <v>21</v>
      </c>
      <c r="R386" t="str">
        <f>TEXT(Healthcare_Data[[#This Row],[Visit_Date]],"mmm")</f>
        <v>May</v>
      </c>
      <c r="S386">
        <f>MONTH(Healthcare_Data[[#This Row],[Visit_Date]])</f>
        <v>5</v>
      </c>
      <c r="T386" t="str">
        <f>IF(Healthcare_Data[[#This Row],[Final_Bill]]&gt;=50000,"High",IF(Healthcare_Data[[#This Row],[Final_Bill]]&gt;=20000,"Medium","low"))</f>
        <v>low</v>
      </c>
    </row>
    <row r="387" spans="1:20" x14ac:dyDescent="0.3">
      <c r="A387" t="s">
        <v>442</v>
      </c>
      <c r="B387" s="3">
        <v>45801</v>
      </c>
      <c r="C387" t="s">
        <v>50</v>
      </c>
      <c r="D387" t="s">
        <v>28</v>
      </c>
      <c r="E387" t="s">
        <v>20</v>
      </c>
      <c r="F387" t="s">
        <v>21</v>
      </c>
      <c r="G387">
        <v>26</v>
      </c>
      <c r="H387" t="s">
        <v>22</v>
      </c>
      <c r="I387" t="s">
        <v>42</v>
      </c>
      <c r="J387" t="s">
        <v>58</v>
      </c>
      <c r="K387">
        <v>0</v>
      </c>
      <c r="L387" s="4">
        <v>5750</v>
      </c>
      <c r="M387">
        <v>1000</v>
      </c>
      <c r="N387">
        <v>4750</v>
      </c>
      <c r="O387" t="s">
        <v>25</v>
      </c>
      <c r="P387">
        <v>4</v>
      </c>
      <c r="Q387">
        <v>25</v>
      </c>
      <c r="R387" t="str">
        <f>TEXT(Healthcare_Data[[#This Row],[Visit_Date]],"mmm")</f>
        <v>May</v>
      </c>
      <c r="S387">
        <f>MONTH(Healthcare_Data[[#This Row],[Visit_Date]])</f>
        <v>5</v>
      </c>
      <c r="T387" t="str">
        <f>IF(Healthcare_Data[[#This Row],[Final_Bill]]&gt;=50000,"High",IF(Healthcare_Data[[#This Row],[Final_Bill]]&gt;=20000,"Medium","low"))</f>
        <v>low</v>
      </c>
    </row>
    <row r="388" spans="1:20" x14ac:dyDescent="0.3">
      <c r="A388" t="s">
        <v>443</v>
      </c>
      <c r="B388" s="3">
        <v>45801</v>
      </c>
      <c r="C388" t="s">
        <v>18</v>
      </c>
      <c r="D388" t="s">
        <v>39</v>
      </c>
      <c r="E388" t="s">
        <v>54</v>
      </c>
      <c r="F388" t="s">
        <v>21</v>
      </c>
      <c r="G388">
        <v>62</v>
      </c>
      <c r="H388" t="s">
        <v>115</v>
      </c>
      <c r="I388" t="s">
        <v>42</v>
      </c>
      <c r="J388" t="s">
        <v>24</v>
      </c>
      <c r="K388">
        <v>0</v>
      </c>
      <c r="L388" s="4">
        <v>36513</v>
      </c>
      <c r="M388">
        <v>1000</v>
      </c>
      <c r="N388">
        <v>35513</v>
      </c>
      <c r="O388" t="s">
        <v>25</v>
      </c>
      <c r="P388">
        <v>3.7</v>
      </c>
      <c r="Q388">
        <v>55</v>
      </c>
      <c r="R388" t="str">
        <f>TEXT(Healthcare_Data[[#This Row],[Visit_Date]],"mmm")</f>
        <v>May</v>
      </c>
      <c r="S388">
        <f>MONTH(Healthcare_Data[[#This Row],[Visit_Date]])</f>
        <v>5</v>
      </c>
      <c r="T388" t="str">
        <f>IF(Healthcare_Data[[#This Row],[Final_Bill]]&gt;=50000,"High",IF(Healthcare_Data[[#This Row],[Final_Bill]]&gt;=20000,"Medium","low"))</f>
        <v>Medium</v>
      </c>
    </row>
    <row r="389" spans="1:20" x14ac:dyDescent="0.3">
      <c r="A389" t="s">
        <v>444</v>
      </c>
      <c r="B389" s="3">
        <v>45801</v>
      </c>
      <c r="C389" t="s">
        <v>38</v>
      </c>
      <c r="D389" t="s">
        <v>39</v>
      </c>
      <c r="E389" t="s">
        <v>52</v>
      </c>
      <c r="F389" t="s">
        <v>21</v>
      </c>
      <c r="G389">
        <v>41</v>
      </c>
      <c r="H389" t="s">
        <v>115</v>
      </c>
      <c r="I389" t="s">
        <v>69</v>
      </c>
      <c r="J389" t="s">
        <v>31</v>
      </c>
      <c r="K389">
        <v>2</v>
      </c>
      <c r="L389" s="4">
        <v>72609</v>
      </c>
      <c r="M389">
        <v>500</v>
      </c>
      <c r="N389">
        <v>72109</v>
      </c>
      <c r="O389" t="s">
        <v>25</v>
      </c>
      <c r="P389">
        <v>3.3</v>
      </c>
      <c r="Q389">
        <v>37</v>
      </c>
      <c r="R389" t="str">
        <f>TEXT(Healthcare_Data[[#This Row],[Visit_Date]],"mmm")</f>
        <v>May</v>
      </c>
      <c r="S389">
        <f>MONTH(Healthcare_Data[[#This Row],[Visit_Date]])</f>
        <v>5</v>
      </c>
      <c r="T389" t="str">
        <f>IF(Healthcare_Data[[#This Row],[Final_Bill]]&gt;=50000,"High",IF(Healthcare_Data[[#This Row],[Final_Bill]]&gt;=20000,"Medium","low"))</f>
        <v>High</v>
      </c>
    </row>
    <row r="390" spans="1:20" x14ac:dyDescent="0.3">
      <c r="A390" t="s">
        <v>445</v>
      </c>
      <c r="B390" s="3">
        <v>45801</v>
      </c>
      <c r="C390" t="s">
        <v>18</v>
      </c>
      <c r="D390" t="s">
        <v>19</v>
      </c>
      <c r="E390" t="s">
        <v>20</v>
      </c>
      <c r="F390" t="s">
        <v>21</v>
      </c>
      <c r="G390">
        <v>49</v>
      </c>
      <c r="H390" t="s">
        <v>41</v>
      </c>
      <c r="I390" t="s">
        <v>23</v>
      </c>
      <c r="J390" t="s">
        <v>36</v>
      </c>
      <c r="K390">
        <v>0</v>
      </c>
      <c r="L390" s="4">
        <v>6597</v>
      </c>
      <c r="M390">
        <v>1500</v>
      </c>
      <c r="N390">
        <v>5097</v>
      </c>
      <c r="O390" t="s">
        <v>25</v>
      </c>
      <c r="P390">
        <v>3.1</v>
      </c>
      <c r="Q390">
        <v>95</v>
      </c>
      <c r="R390" t="str">
        <f>TEXT(Healthcare_Data[[#This Row],[Visit_Date]],"mmm")</f>
        <v>May</v>
      </c>
      <c r="S390">
        <f>MONTH(Healthcare_Data[[#This Row],[Visit_Date]])</f>
        <v>5</v>
      </c>
      <c r="T390" t="str">
        <f>IF(Healthcare_Data[[#This Row],[Final_Bill]]&gt;=50000,"High",IF(Healthcare_Data[[#This Row],[Final_Bill]]&gt;=20000,"Medium","low"))</f>
        <v>low</v>
      </c>
    </row>
    <row r="391" spans="1:20" x14ac:dyDescent="0.3">
      <c r="A391" t="s">
        <v>446</v>
      </c>
      <c r="B391" s="3">
        <v>45802</v>
      </c>
      <c r="C391" t="s">
        <v>67</v>
      </c>
      <c r="D391" t="s">
        <v>39</v>
      </c>
      <c r="E391" t="s">
        <v>20</v>
      </c>
      <c r="F391" t="s">
        <v>40</v>
      </c>
      <c r="G391">
        <v>77</v>
      </c>
      <c r="H391" t="s">
        <v>35</v>
      </c>
      <c r="I391" t="s">
        <v>69</v>
      </c>
      <c r="J391" t="s">
        <v>36</v>
      </c>
      <c r="K391">
        <v>0</v>
      </c>
      <c r="L391" s="4">
        <v>14134</v>
      </c>
      <c r="M391">
        <v>1000</v>
      </c>
      <c r="N391">
        <v>13134</v>
      </c>
      <c r="O391" t="s">
        <v>25</v>
      </c>
      <c r="P391">
        <v>4</v>
      </c>
      <c r="Q391">
        <v>106</v>
      </c>
      <c r="R391" t="str">
        <f>TEXT(Healthcare_Data[[#This Row],[Visit_Date]],"mmm")</f>
        <v>May</v>
      </c>
      <c r="S391">
        <f>MONTH(Healthcare_Data[[#This Row],[Visit_Date]])</f>
        <v>5</v>
      </c>
      <c r="T391" t="str">
        <f>IF(Healthcare_Data[[#This Row],[Final_Bill]]&gt;=50000,"High",IF(Healthcare_Data[[#This Row],[Final_Bill]]&gt;=20000,"Medium","low"))</f>
        <v>low</v>
      </c>
    </row>
    <row r="392" spans="1:20" x14ac:dyDescent="0.3">
      <c r="A392" t="s">
        <v>447</v>
      </c>
      <c r="B392" s="3">
        <v>45802</v>
      </c>
      <c r="C392" t="s">
        <v>67</v>
      </c>
      <c r="D392" t="s">
        <v>28</v>
      </c>
      <c r="E392" t="s">
        <v>20</v>
      </c>
      <c r="F392" t="s">
        <v>21</v>
      </c>
      <c r="G392">
        <v>36</v>
      </c>
      <c r="H392" t="s">
        <v>46</v>
      </c>
      <c r="I392" t="s">
        <v>63</v>
      </c>
      <c r="J392" t="s">
        <v>36</v>
      </c>
      <c r="K392">
        <v>0</v>
      </c>
      <c r="L392" s="4">
        <v>14777</v>
      </c>
      <c r="M392">
        <v>1000</v>
      </c>
      <c r="N392">
        <v>13777</v>
      </c>
      <c r="O392" t="s">
        <v>25</v>
      </c>
      <c r="P392">
        <v>3.4</v>
      </c>
      <c r="Q392">
        <v>5</v>
      </c>
      <c r="R392" t="str">
        <f>TEXT(Healthcare_Data[[#This Row],[Visit_Date]],"mmm")</f>
        <v>May</v>
      </c>
      <c r="S392">
        <f>MONTH(Healthcare_Data[[#This Row],[Visit_Date]])</f>
        <v>5</v>
      </c>
      <c r="T392" t="str">
        <f>IF(Healthcare_Data[[#This Row],[Final_Bill]]&gt;=50000,"High",IF(Healthcare_Data[[#This Row],[Final_Bill]]&gt;=20000,"Medium","low"))</f>
        <v>low</v>
      </c>
    </row>
    <row r="393" spans="1:20" x14ac:dyDescent="0.3">
      <c r="A393" t="s">
        <v>448</v>
      </c>
      <c r="B393" s="3">
        <v>45802</v>
      </c>
      <c r="C393" t="s">
        <v>54</v>
      </c>
      <c r="D393" t="s">
        <v>51</v>
      </c>
      <c r="E393" t="s">
        <v>20</v>
      </c>
      <c r="F393" t="s">
        <v>40</v>
      </c>
      <c r="G393">
        <v>19</v>
      </c>
      <c r="H393" t="s">
        <v>56</v>
      </c>
      <c r="I393" t="s">
        <v>69</v>
      </c>
      <c r="J393" t="s">
        <v>58</v>
      </c>
      <c r="K393">
        <v>0</v>
      </c>
      <c r="L393" s="4">
        <v>5655</v>
      </c>
      <c r="M393">
        <v>0</v>
      </c>
      <c r="N393">
        <v>5655</v>
      </c>
      <c r="O393" t="s">
        <v>25</v>
      </c>
      <c r="P393">
        <v>3.1</v>
      </c>
      <c r="Q393">
        <v>8</v>
      </c>
      <c r="R393" t="str">
        <f>TEXT(Healthcare_Data[[#This Row],[Visit_Date]],"mmm")</f>
        <v>May</v>
      </c>
      <c r="S393">
        <f>MONTH(Healthcare_Data[[#This Row],[Visit_Date]])</f>
        <v>5</v>
      </c>
      <c r="T393" t="str">
        <f>IF(Healthcare_Data[[#This Row],[Final_Bill]]&gt;=50000,"High",IF(Healthcare_Data[[#This Row],[Final_Bill]]&gt;=20000,"Medium","low"))</f>
        <v>low</v>
      </c>
    </row>
    <row r="394" spans="1:20" x14ac:dyDescent="0.3">
      <c r="A394" t="s">
        <v>449</v>
      </c>
      <c r="B394" s="3">
        <v>45802</v>
      </c>
      <c r="C394" t="s">
        <v>67</v>
      </c>
      <c r="D394" t="s">
        <v>19</v>
      </c>
      <c r="E394" t="s">
        <v>20</v>
      </c>
      <c r="F394" t="s">
        <v>40</v>
      </c>
      <c r="G394">
        <v>68</v>
      </c>
      <c r="H394" t="s">
        <v>46</v>
      </c>
      <c r="I394" t="s">
        <v>30</v>
      </c>
      <c r="J394" t="s">
        <v>31</v>
      </c>
      <c r="K394">
        <v>0</v>
      </c>
      <c r="L394" s="4">
        <v>5817</v>
      </c>
      <c r="M394">
        <v>2000</v>
      </c>
      <c r="N394">
        <v>3817</v>
      </c>
      <c r="O394" t="s">
        <v>25</v>
      </c>
      <c r="P394">
        <v>4.7</v>
      </c>
      <c r="Q394">
        <v>119</v>
      </c>
      <c r="R394" t="str">
        <f>TEXT(Healthcare_Data[[#This Row],[Visit_Date]],"mmm")</f>
        <v>May</v>
      </c>
      <c r="S394">
        <f>MONTH(Healthcare_Data[[#This Row],[Visit_Date]])</f>
        <v>5</v>
      </c>
      <c r="T394" t="str">
        <f>IF(Healthcare_Data[[#This Row],[Final_Bill]]&gt;=50000,"High",IF(Healthcare_Data[[#This Row],[Final_Bill]]&gt;=20000,"Medium","low"))</f>
        <v>low</v>
      </c>
    </row>
    <row r="395" spans="1:20" x14ac:dyDescent="0.3">
      <c r="A395" t="s">
        <v>450</v>
      </c>
      <c r="B395" s="3">
        <v>45802</v>
      </c>
      <c r="C395" t="s">
        <v>50</v>
      </c>
      <c r="D395" t="s">
        <v>51</v>
      </c>
      <c r="E395" t="s">
        <v>54</v>
      </c>
      <c r="F395" t="s">
        <v>21</v>
      </c>
      <c r="G395">
        <v>18</v>
      </c>
      <c r="H395" t="s">
        <v>46</v>
      </c>
      <c r="I395" t="s">
        <v>57</v>
      </c>
      <c r="J395" t="s">
        <v>58</v>
      </c>
      <c r="K395">
        <v>0</v>
      </c>
      <c r="L395" s="4">
        <v>30257</v>
      </c>
      <c r="M395">
        <v>0</v>
      </c>
      <c r="N395">
        <v>30257</v>
      </c>
      <c r="O395" t="s">
        <v>25</v>
      </c>
      <c r="P395">
        <v>4.0999999999999996</v>
      </c>
      <c r="Q395">
        <v>67</v>
      </c>
      <c r="R395" t="str">
        <f>TEXT(Healthcare_Data[[#This Row],[Visit_Date]],"mmm")</f>
        <v>May</v>
      </c>
      <c r="S395">
        <f>MONTH(Healthcare_Data[[#This Row],[Visit_Date]])</f>
        <v>5</v>
      </c>
      <c r="T395" t="str">
        <f>IF(Healthcare_Data[[#This Row],[Final_Bill]]&gt;=50000,"High",IF(Healthcare_Data[[#This Row],[Final_Bill]]&gt;=20000,"Medium","low"))</f>
        <v>Medium</v>
      </c>
    </row>
    <row r="396" spans="1:20" x14ac:dyDescent="0.3">
      <c r="A396" t="s">
        <v>451</v>
      </c>
      <c r="B396" s="3">
        <v>45803</v>
      </c>
      <c r="C396" t="s">
        <v>27</v>
      </c>
      <c r="D396" t="s">
        <v>28</v>
      </c>
      <c r="E396" t="s">
        <v>20</v>
      </c>
      <c r="F396" t="s">
        <v>21</v>
      </c>
      <c r="G396">
        <v>30</v>
      </c>
      <c r="H396" t="s">
        <v>115</v>
      </c>
      <c r="I396" t="s">
        <v>30</v>
      </c>
      <c r="J396" t="s">
        <v>24</v>
      </c>
      <c r="K396">
        <v>0</v>
      </c>
      <c r="L396" s="4">
        <v>1576</v>
      </c>
      <c r="M396">
        <v>0</v>
      </c>
      <c r="N396">
        <v>1576</v>
      </c>
      <c r="O396" t="s">
        <v>59</v>
      </c>
      <c r="P396">
        <v>4.5</v>
      </c>
      <c r="Q396">
        <v>118</v>
      </c>
      <c r="R396" t="str">
        <f>TEXT(Healthcare_Data[[#This Row],[Visit_Date]],"mmm")</f>
        <v>May</v>
      </c>
      <c r="S396">
        <f>MONTH(Healthcare_Data[[#This Row],[Visit_Date]])</f>
        <v>5</v>
      </c>
      <c r="T396" t="str">
        <f>IF(Healthcare_Data[[#This Row],[Final_Bill]]&gt;=50000,"High",IF(Healthcare_Data[[#This Row],[Final_Bill]]&gt;=20000,"Medium","low"))</f>
        <v>low</v>
      </c>
    </row>
    <row r="397" spans="1:20" x14ac:dyDescent="0.3">
      <c r="A397" t="s">
        <v>452</v>
      </c>
      <c r="B397" s="3">
        <v>45803</v>
      </c>
      <c r="C397" t="s">
        <v>18</v>
      </c>
      <c r="D397" t="s">
        <v>28</v>
      </c>
      <c r="E397" t="s">
        <v>20</v>
      </c>
      <c r="F397" t="s">
        <v>21</v>
      </c>
      <c r="G397">
        <v>74</v>
      </c>
      <c r="H397" t="s">
        <v>22</v>
      </c>
      <c r="I397" t="s">
        <v>23</v>
      </c>
      <c r="J397" t="s">
        <v>36</v>
      </c>
      <c r="K397">
        <v>0</v>
      </c>
      <c r="L397" s="4">
        <v>18288</v>
      </c>
      <c r="M397">
        <v>0</v>
      </c>
      <c r="N397">
        <v>18288</v>
      </c>
      <c r="O397" t="s">
        <v>25</v>
      </c>
      <c r="P397">
        <v>3.3</v>
      </c>
      <c r="Q397">
        <v>35</v>
      </c>
      <c r="R397" t="str">
        <f>TEXT(Healthcare_Data[[#This Row],[Visit_Date]],"mmm")</f>
        <v>May</v>
      </c>
      <c r="S397">
        <f>MONTH(Healthcare_Data[[#This Row],[Visit_Date]])</f>
        <v>5</v>
      </c>
      <c r="T397" t="str">
        <f>IF(Healthcare_Data[[#This Row],[Final_Bill]]&gt;=50000,"High",IF(Healthcare_Data[[#This Row],[Final_Bill]]&gt;=20000,"Medium","low"))</f>
        <v>low</v>
      </c>
    </row>
    <row r="398" spans="1:20" x14ac:dyDescent="0.3">
      <c r="A398" t="s">
        <v>453</v>
      </c>
      <c r="B398" s="3">
        <v>45803</v>
      </c>
      <c r="C398" t="s">
        <v>48</v>
      </c>
      <c r="D398" t="s">
        <v>34</v>
      </c>
      <c r="E398" t="s">
        <v>54</v>
      </c>
      <c r="F398" t="s">
        <v>40</v>
      </c>
      <c r="G398">
        <v>60</v>
      </c>
      <c r="H398" t="s">
        <v>29</v>
      </c>
      <c r="I398" t="s">
        <v>42</v>
      </c>
      <c r="J398" t="s">
        <v>58</v>
      </c>
      <c r="K398">
        <v>0</v>
      </c>
      <c r="L398" s="4">
        <v>23234</v>
      </c>
      <c r="M398">
        <v>500</v>
      </c>
      <c r="N398">
        <v>22734</v>
      </c>
      <c r="O398" t="s">
        <v>25</v>
      </c>
      <c r="P398">
        <v>3.7</v>
      </c>
      <c r="Q398">
        <v>45</v>
      </c>
      <c r="R398" t="str">
        <f>TEXT(Healthcare_Data[[#This Row],[Visit_Date]],"mmm")</f>
        <v>May</v>
      </c>
      <c r="S398">
        <f>MONTH(Healthcare_Data[[#This Row],[Visit_Date]])</f>
        <v>5</v>
      </c>
      <c r="T398" t="str">
        <f>IF(Healthcare_Data[[#This Row],[Final_Bill]]&gt;=50000,"High",IF(Healthcare_Data[[#This Row],[Final_Bill]]&gt;=20000,"Medium","low"))</f>
        <v>Medium</v>
      </c>
    </row>
    <row r="399" spans="1:20" x14ac:dyDescent="0.3">
      <c r="A399" t="s">
        <v>454</v>
      </c>
      <c r="B399" s="3">
        <v>45804</v>
      </c>
      <c r="C399" t="s">
        <v>48</v>
      </c>
      <c r="D399" t="s">
        <v>34</v>
      </c>
      <c r="E399" t="s">
        <v>20</v>
      </c>
      <c r="F399" t="s">
        <v>21</v>
      </c>
      <c r="G399">
        <v>72</v>
      </c>
      <c r="H399" t="s">
        <v>35</v>
      </c>
      <c r="I399" t="s">
        <v>72</v>
      </c>
      <c r="J399" t="s">
        <v>58</v>
      </c>
      <c r="K399">
        <v>0</v>
      </c>
      <c r="L399" s="4">
        <v>18458</v>
      </c>
      <c r="M399">
        <v>0</v>
      </c>
      <c r="N399">
        <v>18458</v>
      </c>
      <c r="O399" t="s">
        <v>59</v>
      </c>
      <c r="P399">
        <v>3.1</v>
      </c>
      <c r="Q399">
        <v>86</v>
      </c>
      <c r="R399" t="str">
        <f>TEXT(Healthcare_Data[[#This Row],[Visit_Date]],"mmm")</f>
        <v>May</v>
      </c>
      <c r="S399">
        <f>MONTH(Healthcare_Data[[#This Row],[Visit_Date]])</f>
        <v>5</v>
      </c>
      <c r="T399" t="str">
        <f>IF(Healthcare_Data[[#This Row],[Final_Bill]]&gt;=50000,"High",IF(Healthcare_Data[[#This Row],[Final_Bill]]&gt;=20000,"Medium","low"))</f>
        <v>low</v>
      </c>
    </row>
    <row r="400" spans="1:20" x14ac:dyDescent="0.3">
      <c r="A400" t="s">
        <v>455</v>
      </c>
      <c r="B400" s="3">
        <v>45804</v>
      </c>
      <c r="C400" t="s">
        <v>18</v>
      </c>
      <c r="D400" t="s">
        <v>34</v>
      </c>
      <c r="E400" t="s">
        <v>20</v>
      </c>
      <c r="F400" t="s">
        <v>40</v>
      </c>
      <c r="G400">
        <v>32</v>
      </c>
      <c r="H400" t="s">
        <v>41</v>
      </c>
      <c r="I400" t="s">
        <v>63</v>
      </c>
      <c r="J400" t="s">
        <v>24</v>
      </c>
      <c r="K400">
        <v>0</v>
      </c>
      <c r="L400" s="4">
        <v>18224</v>
      </c>
      <c r="M400">
        <v>2000</v>
      </c>
      <c r="N400">
        <v>16224</v>
      </c>
      <c r="O400" t="s">
        <v>25</v>
      </c>
      <c r="P400">
        <v>3.5</v>
      </c>
      <c r="Q400">
        <v>76</v>
      </c>
      <c r="R400" t="str">
        <f>TEXT(Healthcare_Data[[#This Row],[Visit_Date]],"mmm")</f>
        <v>May</v>
      </c>
      <c r="S400">
        <f>MONTH(Healthcare_Data[[#This Row],[Visit_Date]])</f>
        <v>5</v>
      </c>
      <c r="T400" t="str">
        <f>IF(Healthcare_Data[[#This Row],[Final_Bill]]&gt;=50000,"High",IF(Healthcare_Data[[#This Row],[Final_Bill]]&gt;=20000,"Medium","low"))</f>
        <v>low</v>
      </c>
    </row>
    <row r="401" spans="1:20" x14ac:dyDescent="0.3">
      <c r="A401" t="s">
        <v>456</v>
      </c>
      <c r="B401" s="3">
        <v>45804</v>
      </c>
      <c r="C401" t="s">
        <v>67</v>
      </c>
      <c r="D401" t="s">
        <v>28</v>
      </c>
      <c r="E401" t="s">
        <v>20</v>
      </c>
      <c r="F401" t="s">
        <v>21</v>
      </c>
      <c r="G401">
        <v>52</v>
      </c>
      <c r="H401" t="s">
        <v>65</v>
      </c>
      <c r="I401" t="s">
        <v>42</v>
      </c>
      <c r="J401" t="s">
        <v>58</v>
      </c>
      <c r="K401">
        <v>0</v>
      </c>
      <c r="L401" s="4">
        <v>12428</v>
      </c>
      <c r="M401">
        <v>2000</v>
      </c>
      <c r="N401">
        <v>10428</v>
      </c>
      <c r="O401" t="s">
        <v>25</v>
      </c>
      <c r="P401">
        <v>4.0999999999999996</v>
      </c>
      <c r="Q401">
        <v>5</v>
      </c>
      <c r="R401" t="str">
        <f>TEXT(Healthcare_Data[[#This Row],[Visit_Date]],"mmm")</f>
        <v>May</v>
      </c>
      <c r="S401">
        <f>MONTH(Healthcare_Data[[#This Row],[Visit_Date]])</f>
        <v>5</v>
      </c>
      <c r="T401" t="str">
        <f>IF(Healthcare_Data[[#This Row],[Final_Bill]]&gt;=50000,"High",IF(Healthcare_Data[[#This Row],[Final_Bill]]&gt;=20000,"Medium","low"))</f>
        <v>low</v>
      </c>
    </row>
    <row r="402" spans="1:20" x14ac:dyDescent="0.3">
      <c r="A402" t="s">
        <v>457</v>
      </c>
      <c r="B402" s="3">
        <v>45804</v>
      </c>
      <c r="C402" t="s">
        <v>48</v>
      </c>
      <c r="D402" t="s">
        <v>39</v>
      </c>
      <c r="E402" t="s">
        <v>54</v>
      </c>
      <c r="F402" t="s">
        <v>21</v>
      </c>
      <c r="G402">
        <v>22</v>
      </c>
      <c r="H402" t="s">
        <v>65</v>
      </c>
      <c r="I402" t="s">
        <v>72</v>
      </c>
      <c r="J402" t="s">
        <v>31</v>
      </c>
      <c r="K402">
        <v>0</v>
      </c>
      <c r="L402" s="4">
        <v>30419</v>
      </c>
      <c r="M402">
        <v>500</v>
      </c>
      <c r="N402">
        <v>29919</v>
      </c>
      <c r="O402" t="s">
        <v>25</v>
      </c>
      <c r="P402">
        <v>3.9</v>
      </c>
      <c r="Q402">
        <v>48</v>
      </c>
      <c r="R402" t="str">
        <f>TEXT(Healthcare_Data[[#This Row],[Visit_Date]],"mmm")</f>
        <v>May</v>
      </c>
      <c r="S402">
        <f>MONTH(Healthcare_Data[[#This Row],[Visit_Date]])</f>
        <v>5</v>
      </c>
      <c r="T402" t="str">
        <f>IF(Healthcare_Data[[#This Row],[Final_Bill]]&gt;=50000,"High",IF(Healthcare_Data[[#This Row],[Final_Bill]]&gt;=20000,"Medium","low"))</f>
        <v>Medium</v>
      </c>
    </row>
    <row r="403" spans="1:20" x14ac:dyDescent="0.3">
      <c r="A403" t="s">
        <v>458</v>
      </c>
      <c r="B403" s="3">
        <v>45804</v>
      </c>
      <c r="C403" t="s">
        <v>67</v>
      </c>
      <c r="D403" t="s">
        <v>34</v>
      </c>
      <c r="E403" t="s">
        <v>52</v>
      </c>
      <c r="F403" t="s">
        <v>21</v>
      </c>
      <c r="G403">
        <v>70</v>
      </c>
      <c r="H403" t="s">
        <v>35</v>
      </c>
      <c r="I403" t="s">
        <v>23</v>
      </c>
      <c r="J403" t="s">
        <v>58</v>
      </c>
      <c r="K403">
        <v>7</v>
      </c>
      <c r="L403" s="4">
        <v>48205</v>
      </c>
      <c r="M403">
        <v>500</v>
      </c>
      <c r="N403">
        <v>47705</v>
      </c>
      <c r="O403" t="s">
        <v>25</v>
      </c>
      <c r="P403">
        <v>4.7</v>
      </c>
      <c r="Q403">
        <v>44</v>
      </c>
      <c r="R403" t="str">
        <f>TEXT(Healthcare_Data[[#This Row],[Visit_Date]],"mmm")</f>
        <v>May</v>
      </c>
      <c r="S403">
        <f>MONTH(Healthcare_Data[[#This Row],[Visit_Date]])</f>
        <v>5</v>
      </c>
      <c r="T403" t="str">
        <f>IF(Healthcare_Data[[#This Row],[Final_Bill]]&gt;=50000,"High",IF(Healthcare_Data[[#This Row],[Final_Bill]]&gt;=20000,"Medium","low"))</f>
        <v>Medium</v>
      </c>
    </row>
    <row r="404" spans="1:20" x14ac:dyDescent="0.3">
      <c r="A404" t="s">
        <v>459</v>
      </c>
      <c r="B404" s="3">
        <v>45804</v>
      </c>
      <c r="C404" t="s">
        <v>48</v>
      </c>
      <c r="D404" t="s">
        <v>51</v>
      </c>
      <c r="E404" t="s">
        <v>20</v>
      </c>
      <c r="F404" t="s">
        <v>21</v>
      </c>
      <c r="G404">
        <v>26</v>
      </c>
      <c r="H404" t="s">
        <v>56</v>
      </c>
      <c r="I404" t="s">
        <v>23</v>
      </c>
      <c r="J404" t="s">
        <v>31</v>
      </c>
      <c r="K404">
        <v>0</v>
      </c>
      <c r="L404" s="4">
        <v>10430</v>
      </c>
      <c r="M404">
        <v>0</v>
      </c>
      <c r="N404">
        <v>10430</v>
      </c>
      <c r="O404" t="s">
        <v>25</v>
      </c>
      <c r="P404">
        <v>2.6</v>
      </c>
      <c r="Q404">
        <v>81</v>
      </c>
      <c r="R404" t="str">
        <f>TEXT(Healthcare_Data[[#This Row],[Visit_Date]],"mmm")</f>
        <v>May</v>
      </c>
      <c r="S404">
        <f>MONTH(Healthcare_Data[[#This Row],[Visit_Date]])</f>
        <v>5</v>
      </c>
      <c r="T404" t="str">
        <f>IF(Healthcare_Data[[#This Row],[Final_Bill]]&gt;=50000,"High",IF(Healthcare_Data[[#This Row],[Final_Bill]]&gt;=20000,"Medium","low"))</f>
        <v>low</v>
      </c>
    </row>
    <row r="405" spans="1:20" x14ac:dyDescent="0.3">
      <c r="A405" t="s">
        <v>460</v>
      </c>
      <c r="B405" s="3">
        <v>45805</v>
      </c>
      <c r="C405" t="s">
        <v>54</v>
      </c>
      <c r="D405" t="s">
        <v>34</v>
      </c>
      <c r="E405" t="s">
        <v>52</v>
      </c>
      <c r="F405" t="s">
        <v>21</v>
      </c>
      <c r="G405">
        <v>79</v>
      </c>
      <c r="H405" t="s">
        <v>41</v>
      </c>
      <c r="I405" t="s">
        <v>42</v>
      </c>
      <c r="J405" t="s">
        <v>58</v>
      </c>
      <c r="K405">
        <v>14</v>
      </c>
      <c r="L405" s="4">
        <v>15632</v>
      </c>
      <c r="M405">
        <v>0</v>
      </c>
      <c r="N405">
        <v>15632</v>
      </c>
      <c r="O405" t="s">
        <v>25</v>
      </c>
      <c r="P405">
        <v>4.4000000000000004</v>
      </c>
      <c r="Q405">
        <v>99</v>
      </c>
      <c r="R405" t="str">
        <f>TEXT(Healthcare_Data[[#This Row],[Visit_Date]],"mmm")</f>
        <v>May</v>
      </c>
      <c r="S405">
        <f>MONTH(Healthcare_Data[[#This Row],[Visit_Date]])</f>
        <v>5</v>
      </c>
      <c r="T405" t="str">
        <f>IF(Healthcare_Data[[#This Row],[Final_Bill]]&gt;=50000,"High",IF(Healthcare_Data[[#This Row],[Final_Bill]]&gt;=20000,"Medium","low"))</f>
        <v>low</v>
      </c>
    </row>
    <row r="406" spans="1:20" x14ac:dyDescent="0.3">
      <c r="A406" t="s">
        <v>461</v>
      </c>
      <c r="B406" s="3">
        <v>45805</v>
      </c>
      <c r="C406" t="s">
        <v>38</v>
      </c>
      <c r="D406" t="s">
        <v>28</v>
      </c>
      <c r="E406" t="s">
        <v>54</v>
      </c>
      <c r="F406" t="s">
        <v>21</v>
      </c>
      <c r="G406">
        <v>48</v>
      </c>
      <c r="H406" t="s">
        <v>115</v>
      </c>
      <c r="I406" t="s">
        <v>30</v>
      </c>
      <c r="J406" t="s">
        <v>58</v>
      </c>
      <c r="K406">
        <v>0</v>
      </c>
      <c r="L406" s="4">
        <v>34382</v>
      </c>
      <c r="M406">
        <v>1000</v>
      </c>
      <c r="N406">
        <v>33382</v>
      </c>
      <c r="O406" t="s">
        <v>25</v>
      </c>
      <c r="P406">
        <v>3.6</v>
      </c>
      <c r="Q406">
        <v>68</v>
      </c>
      <c r="R406" t="str">
        <f>TEXT(Healthcare_Data[[#This Row],[Visit_Date]],"mmm")</f>
        <v>May</v>
      </c>
      <c r="S406">
        <f>MONTH(Healthcare_Data[[#This Row],[Visit_Date]])</f>
        <v>5</v>
      </c>
      <c r="T406" t="str">
        <f>IF(Healthcare_Data[[#This Row],[Final_Bill]]&gt;=50000,"High",IF(Healthcare_Data[[#This Row],[Final_Bill]]&gt;=20000,"Medium","low"))</f>
        <v>Medium</v>
      </c>
    </row>
    <row r="407" spans="1:20" x14ac:dyDescent="0.3">
      <c r="A407" t="s">
        <v>462</v>
      </c>
      <c r="B407" s="3">
        <v>45805</v>
      </c>
      <c r="C407" t="s">
        <v>18</v>
      </c>
      <c r="D407" t="s">
        <v>19</v>
      </c>
      <c r="E407" t="s">
        <v>52</v>
      </c>
      <c r="F407" t="s">
        <v>21</v>
      </c>
      <c r="G407">
        <v>34</v>
      </c>
      <c r="H407" t="s">
        <v>56</v>
      </c>
      <c r="I407" t="s">
        <v>63</v>
      </c>
      <c r="J407" t="s">
        <v>36</v>
      </c>
      <c r="K407">
        <v>8</v>
      </c>
      <c r="L407" s="4">
        <v>36573</v>
      </c>
      <c r="M407">
        <v>0</v>
      </c>
      <c r="N407">
        <v>36573</v>
      </c>
      <c r="O407" t="s">
        <v>59</v>
      </c>
      <c r="P407">
        <v>3.9</v>
      </c>
      <c r="Q407">
        <v>33</v>
      </c>
      <c r="R407" t="str">
        <f>TEXT(Healthcare_Data[[#This Row],[Visit_Date]],"mmm")</f>
        <v>May</v>
      </c>
      <c r="S407">
        <f>MONTH(Healthcare_Data[[#This Row],[Visit_Date]])</f>
        <v>5</v>
      </c>
      <c r="T407" t="str">
        <f>IF(Healthcare_Data[[#This Row],[Final_Bill]]&gt;=50000,"High",IF(Healthcare_Data[[#This Row],[Final_Bill]]&gt;=20000,"Medium","low"))</f>
        <v>Medium</v>
      </c>
    </row>
    <row r="408" spans="1:20" x14ac:dyDescent="0.3">
      <c r="A408" t="s">
        <v>463</v>
      </c>
      <c r="B408" s="3">
        <v>45806</v>
      </c>
      <c r="C408" t="s">
        <v>27</v>
      </c>
      <c r="D408" t="s">
        <v>39</v>
      </c>
      <c r="E408" t="s">
        <v>20</v>
      </c>
      <c r="F408" t="s">
        <v>40</v>
      </c>
      <c r="G408">
        <v>78</v>
      </c>
      <c r="H408" t="s">
        <v>22</v>
      </c>
      <c r="I408" t="s">
        <v>30</v>
      </c>
      <c r="J408" t="s">
        <v>24</v>
      </c>
      <c r="K408">
        <v>0</v>
      </c>
      <c r="L408" s="4">
        <v>11815</v>
      </c>
      <c r="M408">
        <v>500</v>
      </c>
      <c r="N408">
        <v>11315</v>
      </c>
      <c r="O408" t="s">
        <v>25</v>
      </c>
      <c r="P408">
        <v>4.9000000000000004</v>
      </c>
      <c r="Q408">
        <v>68</v>
      </c>
      <c r="R408" t="str">
        <f>TEXT(Healthcare_Data[[#This Row],[Visit_Date]],"mmm")</f>
        <v>May</v>
      </c>
      <c r="S408">
        <f>MONTH(Healthcare_Data[[#This Row],[Visit_Date]])</f>
        <v>5</v>
      </c>
      <c r="T408" t="str">
        <f>IF(Healthcare_Data[[#This Row],[Final_Bill]]&gt;=50000,"High",IF(Healthcare_Data[[#This Row],[Final_Bill]]&gt;=20000,"Medium","low"))</f>
        <v>low</v>
      </c>
    </row>
    <row r="409" spans="1:20" x14ac:dyDescent="0.3">
      <c r="A409" t="s">
        <v>464</v>
      </c>
      <c r="B409" s="3">
        <v>45807</v>
      </c>
      <c r="C409" t="s">
        <v>27</v>
      </c>
      <c r="D409" t="s">
        <v>19</v>
      </c>
      <c r="E409" t="s">
        <v>20</v>
      </c>
      <c r="F409" t="s">
        <v>40</v>
      </c>
      <c r="G409">
        <v>36</v>
      </c>
      <c r="H409" t="s">
        <v>29</v>
      </c>
      <c r="I409" t="s">
        <v>42</v>
      </c>
      <c r="J409" t="s">
        <v>58</v>
      </c>
      <c r="K409">
        <v>0</v>
      </c>
      <c r="L409" s="4">
        <v>19671</v>
      </c>
      <c r="M409">
        <v>0</v>
      </c>
      <c r="N409">
        <v>19671</v>
      </c>
      <c r="O409" t="s">
        <v>25</v>
      </c>
      <c r="P409">
        <v>3.9</v>
      </c>
      <c r="Q409">
        <v>107</v>
      </c>
      <c r="R409" t="str">
        <f>TEXT(Healthcare_Data[[#This Row],[Visit_Date]],"mmm")</f>
        <v>May</v>
      </c>
      <c r="S409">
        <f>MONTH(Healthcare_Data[[#This Row],[Visit_Date]])</f>
        <v>5</v>
      </c>
      <c r="T409" t="str">
        <f>IF(Healthcare_Data[[#This Row],[Final_Bill]]&gt;=50000,"High",IF(Healthcare_Data[[#This Row],[Final_Bill]]&gt;=20000,"Medium","low"))</f>
        <v>low</v>
      </c>
    </row>
    <row r="410" spans="1:20" x14ac:dyDescent="0.3">
      <c r="A410" t="s">
        <v>465</v>
      </c>
      <c r="B410" s="3">
        <v>45807</v>
      </c>
      <c r="C410" t="s">
        <v>54</v>
      </c>
      <c r="D410" t="s">
        <v>51</v>
      </c>
      <c r="E410" t="s">
        <v>20</v>
      </c>
      <c r="F410" t="s">
        <v>40</v>
      </c>
      <c r="G410">
        <v>25</v>
      </c>
      <c r="H410" t="s">
        <v>56</v>
      </c>
      <c r="I410" t="s">
        <v>30</v>
      </c>
      <c r="J410" t="s">
        <v>24</v>
      </c>
      <c r="K410">
        <v>0</v>
      </c>
      <c r="L410" s="4">
        <v>17736</v>
      </c>
      <c r="M410">
        <v>0</v>
      </c>
      <c r="N410">
        <v>17736</v>
      </c>
      <c r="O410" t="s">
        <v>32</v>
      </c>
      <c r="P410">
        <v>2.6</v>
      </c>
      <c r="Q410">
        <v>101</v>
      </c>
      <c r="R410" t="str">
        <f>TEXT(Healthcare_Data[[#This Row],[Visit_Date]],"mmm")</f>
        <v>May</v>
      </c>
      <c r="S410">
        <f>MONTH(Healthcare_Data[[#This Row],[Visit_Date]])</f>
        <v>5</v>
      </c>
      <c r="T410" t="str">
        <f>IF(Healthcare_Data[[#This Row],[Final_Bill]]&gt;=50000,"High",IF(Healthcare_Data[[#This Row],[Final_Bill]]&gt;=20000,"Medium","low"))</f>
        <v>low</v>
      </c>
    </row>
    <row r="411" spans="1:20" x14ac:dyDescent="0.3">
      <c r="A411" t="s">
        <v>466</v>
      </c>
      <c r="B411" s="3">
        <v>45807</v>
      </c>
      <c r="C411" t="s">
        <v>54</v>
      </c>
      <c r="D411" t="s">
        <v>39</v>
      </c>
      <c r="E411" t="s">
        <v>54</v>
      </c>
      <c r="F411" t="s">
        <v>40</v>
      </c>
      <c r="G411">
        <v>52</v>
      </c>
      <c r="H411" t="s">
        <v>56</v>
      </c>
      <c r="I411" t="s">
        <v>57</v>
      </c>
      <c r="J411" t="s">
        <v>36</v>
      </c>
      <c r="K411">
        <v>0</v>
      </c>
      <c r="L411" s="4">
        <v>37401</v>
      </c>
      <c r="M411">
        <v>0</v>
      </c>
      <c r="N411">
        <v>37401</v>
      </c>
      <c r="O411" t="s">
        <v>25</v>
      </c>
      <c r="P411">
        <v>4.3</v>
      </c>
      <c r="Q411">
        <v>21</v>
      </c>
      <c r="R411" t="str">
        <f>TEXT(Healthcare_Data[[#This Row],[Visit_Date]],"mmm")</f>
        <v>May</v>
      </c>
      <c r="S411">
        <f>MONTH(Healthcare_Data[[#This Row],[Visit_Date]])</f>
        <v>5</v>
      </c>
      <c r="T411" t="str">
        <f>IF(Healthcare_Data[[#This Row],[Final_Bill]]&gt;=50000,"High",IF(Healthcare_Data[[#This Row],[Final_Bill]]&gt;=20000,"Medium","low"))</f>
        <v>Medium</v>
      </c>
    </row>
    <row r="412" spans="1:20" x14ac:dyDescent="0.3">
      <c r="A412" t="s">
        <v>467</v>
      </c>
      <c r="B412" s="3">
        <v>45808</v>
      </c>
      <c r="C412" t="s">
        <v>48</v>
      </c>
      <c r="D412" t="s">
        <v>34</v>
      </c>
      <c r="E412" t="s">
        <v>20</v>
      </c>
      <c r="F412" t="s">
        <v>21</v>
      </c>
      <c r="G412">
        <v>56</v>
      </c>
      <c r="H412" t="s">
        <v>115</v>
      </c>
      <c r="I412" t="s">
        <v>42</v>
      </c>
      <c r="J412" t="s">
        <v>1057</v>
      </c>
      <c r="K412">
        <v>0</v>
      </c>
      <c r="L412" s="4">
        <v>12602</v>
      </c>
      <c r="M412">
        <v>1500</v>
      </c>
      <c r="N412">
        <v>11102</v>
      </c>
      <c r="O412" t="s">
        <v>25</v>
      </c>
      <c r="P412">
        <v>2.8</v>
      </c>
      <c r="Q412">
        <v>70</v>
      </c>
      <c r="R412" t="str">
        <f>TEXT(Healthcare_Data[[#This Row],[Visit_Date]],"mmm")</f>
        <v>May</v>
      </c>
      <c r="S412">
        <f>MONTH(Healthcare_Data[[#This Row],[Visit_Date]])</f>
        <v>5</v>
      </c>
      <c r="T412" t="str">
        <f>IF(Healthcare_Data[[#This Row],[Final_Bill]]&gt;=50000,"High",IF(Healthcare_Data[[#This Row],[Final_Bill]]&gt;=20000,"Medium","low"))</f>
        <v>low</v>
      </c>
    </row>
    <row r="413" spans="1:20" x14ac:dyDescent="0.3">
      <c r="A413" t="s">
        <v>468</v>
      </c>
      <c r="B413" s="3">
        <v>45808</v>
      </c>
      <c r="C413" t="s">
        <v>67</v>
      </c>
      <c r="D413" t="s">
        <v>39</v>
      </c>
      <c r="E413" t="s">
        <v>52</v>
      </c>
      <c r="F413" t="s">
        <v>40</v>
      </c>
      <c r="G413">
        <v>68</v>
      </c>
      <c r="H413" t="s">
        <v>22</v>
      </c>
      <c r="I413" t="s">
        <v>72</v>
      </c>
      <c r="J413" t="s">
        <v>36</v>
      </c>
      <c r="K413">
        <v>8</v>
      </c>
      <c r="L413" s="4">
        <v>58151</v>
      </c>
      <c r="M413">
        <v>0</v>
      </c>
      <c r="N413">
        <v>58151</v>
      </c>
      <c r="O413" t="s">
        <v>25</v>
      </c>
      <c r="P413">
        <v>4.5</v>
      </c>
      <c r="Q413">
        <v>48</v>
      </c>
      <c r="R413" t="str">
        <f>TEXT(Healthcare_Data[[#This Row],[Visit_Date]],"mmm")</f>
        <v>May</v>
      </c>
      <c r="S413">
        <f>MONTH(Healthcare_Data[[#This Row],[Visit_Date]])</f>
        <v>5</v>
      </c>
      <c r="T413" t="str">
        <f>IF(Healthcare_Data[[#This Row],[Final_Bill]]&gt;=50000,"High",IF(Healthcare_Data[[#This Row],[Final_Bill]]&gt;=20000,"Medium","low"))</f>
        <v>High</v>
      </c>
    </row>
    <row r="414" spans="1:20" x14ac:dyDescent="0.3">
      <c r="A414" t="s">
        <v>469</v>
      </c>
      <c r="B414" s="3">
        <v>45808</v>
      </c>
      <c r="C414" t="s">
        <v>38</v>
      </c>
      <c r="D414" t="s">
        <v>19</v>
      </c>
      <c r="E414" t="s">
        <v>54</v>
      </c>
      <c r="F414" t="s">
        <v>21</v>
      </c>
      <c r="G414">
        <v>61</v>
      </c>
      <c r="H414" t="s">
        <v>65</v>
      </c>
      <c r="I414" t="s">
        <v>42</v>
      </c>
      <c r="J414" t="s">
        <v>24</v>
      </c>
      <c r="K414">
        <v>0</v>
      </c>
      <c r="L414" s="4">
        <v>23870</v>
      </c>
      <c r="M414">
        <v>2000</v>
      </c>
      <c r="N414">
        <v>21870</v>
      </c>
      <c r="O414" t="s">
        <v>25</v>
      </c>
      <c r="P414">
        <v>3.5</v>
      </c>
      <c r="Q414">
        <v>14</v>
      </c>
      <c r="R414" t="str">
        <f>TEXT(Healthcare_Data[[#This Row],[Visit_Date]],"mmm")</f>
        <v>May</v>
      </c>
      <c r="S414">
        <f>MONTH(Healthcare_Data[[#This Row],[Visit_Date]])</f>
        <v>5</v>
      </c>
      <c r="T414" t="str">
        <f>IF(Healthcare_Data[[#This Row],[Final_Bill]]&gt;=50000,"High",IF(Healthcare_Data[[#This Row],[Final_Bill]]&gt;=20000,"Medium","low"))</f>
        <v>Medium</v>
      </c>
    </row>
    <row r="415" spans="1:20" x14ac:dyDescent="0.3">
      <c r="A415" t="s">
        <v>470</v>
      </c>
      <c r="B415" s="3">
        <v>45808</v>
      </c>
      <c r="C415" t="s">
        <v>18</v>
      </c>
      <c r="D415" t="s">
        <v>51</v>
      </c>
      <c r="E415" t="s">
        <v>52</v>
      </c>
      <c r="F415" t="s">
        <v>21</v>
      </c>
      <c r="G415">
        <v>49</v>
      </c>
      <c r="H415" t="s">
        <v>65</v>
      </c>
      <c r="I415" t="s">
        <v>1057</v>
      </c>
      <c r="J415" t="s">
        <v>24</v>
      </c>
      <c r="K415">
        <v>4</v>
      </c>
      <c r="L415" s="4">
        <v>74043</v>
      </c>
      <c r="M415">
        <v>2000</v>
      </c>
      <c r="N415">
        <v>72043</v>
      </c>
      <c r="O415" t="s">
        <v>25</v>
      </c>
      <c r="P415">
        <v>3.6</v>
      </c>
      <c r="Q415">
        <v>96</v>
      </c>
      <c r="R415" t="str">
        <f>TEXT(Healthcare_Data[[#This Row],[Visit_Date]],"mmm")</f>
        <v>May</v>
      </c>
      <c r="S415">
        <f>MONTH(Healthcare_Data[[#This Row],[Visit_Date]])</f>
        <v>5</v>
      </c>
      <c r="T415" t="str">
        <f>IF(Healthcare_Data[[#This Row],[Final_Bill]]&gt;=50000,"High",IF(Healthcare_Data[[#This Row],[Final_Bill]]&gt;=20000,"Medium","low"))</f>
        <v>High</v>
      </c>
    </row>
    <row r="416" spans="1:20" x14ac:dyDescent="0.3">
      <c r="A416" t="s">
        <v>471</v>
      </c>
      <c r="B416" s="3">
        <v>45808</v>
      </c>
      <c r="C416" t="s">
        <v>38</v>
      </c>
      <c r="D416" t="s">
        <v>19</v>
      </c>
      <c r="E416" t="s">
        <v>20</v>
      </c>
      <c r="F416" t="s">
        <v>21</v>
      </c>
      <c r="G416">
        <v>22</v>
      </c>
      <c r="H416" t="s">
        <v>22</v>
      </c>
      <c r="I416" t="s">
        <v>42</v>
      </c>
      <c r="J416" t="s">
        <v>36</v>
      </c>
      <c r="K416">
        <v>0</v>
      </c>
      <c r="L416" s="4">
        <v>9050</v>
      </c>
      <c r="M416">
        <v>1000</v>
      </c>
      <c r="N416">
        <v>8050</v>
      </c>
      <c r="O416" t="s">
        <v>25</v>
      </c>
      <c r="P416">
        <v>4.2</v>
      </c>
      <c r="Q416">
        <v>108</v>
      </c>
      <c r="R416" t="str">
        <f>TEXT(Healthcare_Data[[#This Row],[Visit_Date]],"mmm")</f>
        <v>May</v>
      </c>
      <c r="S416">
        <f>MONTH(Healthcare_Data[[#This Row],[Visit_Date]])</f>
        <v>5</v>
      </c>
      <c r="T416" t="str">
        <f>IF(Healthcare_Data[[#This Row],[Final_Bill]]&gt;=50000,"High",IF(Healthcare_Data[[#This Row],[Final_Bill]]&gt;=20000,"Medium","low"))</f>
        <v>low</v>
      </c>
    </row>
    <row r="417" spans="1:20" x14ac:dyDescent="0.3">
      <c r="A417" t="s">
        <v>472</v>
      </c>
      <c r="B417" s="3">
        <v>45809</v>
      </c>
      <c r="C417" t="s">
        <v>48</v>
      </c>
      <c r="D417" t="s">
        <v>39</v>
      </c>
      <c r="E417" t="s">
        <v>52</v>
      </c>
      <c r="F417" t="s">
        <v>21</v>
      </c>
      <c r="G417">
        <v>65</v>
      </c>
      <c r="H417" t="s">
        <v>22</v>
      </c>
      <c r="I417" t="s">
        <v>57</v>
      </c>
      <c r="J417" t="s">
        <v>24</v>
      </c>
      <c r="K417">
        <v>5</v>
      </c>
      <c r="L417" s="4">
        <v>60278</v>
      </c>
      <c r="M417">
        <v>0</v>
      </c>
      <c r="N417">
        <v>60278</v>
      </c>
      <c r="O417" t="s">
        <v>32</v>
      </c>
      <c r="P417">
        <v>3.3</v>
      </c>
      <c r="Q417">
        <v>61</v>
      </c>
      <c r="R417" t="str">
        <f>TEXT(Healthcare_Data[[#This Row],[Visit_Date]],"mmm")</f>
        <v>Jun</v>
      </c>
      <c r="S417">
        <f>MONTH(Healthcare_Data[[#This Row],[Visit_Date]])</f>
        <v>6</v>
      </c>
      <c r="T417" t="str">
        <f>IF(Healthcare_Data[[#This Row],[Final_Bill]]&gt;=50000,"High",IF(Healthcare_Data[[#This Row],[Final_Bill]]&gt;=20000,"Medium","low"))</f>
        <v>High</v>
      </c>
    </row>
    <row r="418" spans="1:20" x14ac:dyDescent="0.3">
      <c r="A418" t="s">
        <v>473</v>
      </c>
      <c r="B418" s="3">
        <v>45809</v>
      </c>
      <c r="C418" t="s">
        <v>18</v>
      </c>
      <c r="D418" t="s">
        <v>28</v>
      </c>
      <c r="E418" t="s">
        <v>52</v>
      </c>
      <c r="F418" t="s">
        <v>40</v>
      </c>
      <c r="G418">
        <v>54</v>
      </c>
      <c r="H418" t="s">
        <v>29</v>
      </c>
      <c r="I418" t="s">
        <v>63</v>
      </c>
      <c r="J418" t="s">
        <v>36</v>
      </c>
      <c r="K418">
        <v>10</v>
      </c>
      <c r="L418" s="4">
        <v>61732</v>
      </c>
      <c r="M418">
        <v>500</v>
      </c>
      <c r="N418">
        <v>61232</v>
      </c>
      <c r="O418" t="s">
        <v>25</v>
      </c>
      <c r="P418">
        <v>2.7</v>
      </c>
      <c r="Q418">
        <v>104</v>
      </c>
      <c r="R418" t="str">
        <f>TEXT(Healthcare_Data[[#This Row],[Visit_Date]],"mmm")</f>
        <v>Jun</v>
      </c>
      <c r="S418">
        <f>MONTH(Healthcare_Data[[#This Row],[Visit_Date]])</f>
        <v>6</v>
      </c>
      <c r="T418" t="str">
        <f>IF(Healthcare_Data[[#This Row],[Final_Bill]]&gt;=50000,"High",IF(Healthcare_Data[[#This Row],[Final_Bill]]&gt;=20000,"Medium","low"))</f>
        <v>High</v>
      </c>
    </row>
    <row r="419" spans="1:20" x14ac:dyDescent="0.3">
      <c r="A419" t="s">
        <v>474</v>
      </c>
      <c r="B419" s="3">
        <v>45809</v>
      </c>
      <c r="C419" t="s">
        <v>27</v>
      </c>
      <c r="D419" t="s">
        <v>34</v>
      </c>
      <c r="E419" t="s">
        <v>54</v>
      </c>
      <c r="F419" t="s">
        <v>21</v>
      </c>
      <c r="G419">
        <v>29</v>
      </c>
      <c r="H419" t="s">
        <v>22</v>
      </c>
      <c r="I419" t="s">
        <v>42</v>
      </c>
      <c r="J419" t="s">
        <v>24</v>
      </c>
      <c r="K419">
        <v>0</v>
      </c>
      <c r="L419" s="4">
        <v>27613</v>
      </c>
      <c r="M419">
        <v>500</v>
      </c>
      <c r="N419">
        <v>27113</v>
      </c>
      <c r="O419" t="s">
        <v>32</v>
      </c>
      <c r="P419">
        <v>4</v>
      </c>
      <c r="Q419">
        <v>89</v>
      </c>
      <c r="R419" t="str">
        <f>TEXT(Healthcare_Data[[#This Row],[Visit_Date]],"mmm")</f>
        <v>Jun</v>
      </c>
      <c r="S419">
        <f>MONTH(Healthcare_Data[[#This Row],[Visit_Date]])</f>
        <v>6</v>
      </c>
      <c r="T419" t="str">
        <f>IF(Healthcare_Data[[#This Row],[Final_Bill]]&gt;=50000,"High",IF(Healthcare_Data[[#This Row],[Final_Bill]]&gt;=20000,"Medium","low"))</f>
        <v>Medium</v>
      </c>
    </row>
    <row r="420" spans="1:20" x14ac:dyDescent="0.3">
      <c r="A420" t="s">
        <v>475</v>
      </c>
      <c r="B420" s="3">
        <v>45809</v>
      </c>
      <c r="C420" t="s">
        <v>48</v>
      </c>
      <c r="D420" t="s">
        <v>51</v>
      </c>
      <c r="E420" t="s">
        <v>20</v>
      </c>
      <c r="F420" t="s">
        <v>21</v>
      </c>
      <c r="G420">
        <v>80</v>
      </c>
      <c r="H420" t="s">
        <v>35</v>
      </c>
      <c r="I420" t="s">
        <v>72</v>
      </c>
      <c r="J420" t="s">
        <v>36</v>
      </c>
      <c r="K420">
        <v>0</v>
      </c>
      <c r="L420" s="4">
        <v>19677</v>
      </c>
      <c r="M420">
        <v>2000</v>
      </c>
      <c r="N420">
        <v>17677</v>
      </c>
      <c r="O420" t="s">
        <v>25</v>
      </c>
      <c r="P420">
        <v>4.2</v>
      </c>
      <c r="Q420">
        <v>78</v>
      </c>
      <c r="R420" t="str">
        <f>TEXT(Healthcare_Data[[#This Row],[Visit_Date]],"mmm")</f>
        <v>Jun</v>
      </c>
      <c r="S420">
        <f>MONTH(Healthcare_Data[[#This Row],[Visit_Date]])</f>
        <v>6</v>
      </c>
      <c r="T420" t="str">
        <f>IF(Healthcare_Data[[#This Row],[Final_Bill]]&gt;=50000,"High",IF(Healthcare_Data[[#This Row],[Final_Bill]]&gt;=20000,"Medium","low"))</f>
        <v>low</v>
      </c>
    </row>
    <row r="421" spans="1:20" x14ac:dyDescent="0.3">
      <c r="A421" t="s">
        <v>476</v>
      </c>
      <c r="B421" s="3">
        <v>45809</v>
      </c>
      <c r="C421" t="s">
        <v>44</v>
      </c>
      <c r="D421" t="s">
        <v>51</v>
      </c>
      <c r="E421" t="s">
        <v>20</v>
      </c>
      <c r="F421" t="s">
        <v>40</v>
      </c>
      <c r="G421">
        <v>79</v>
      </c>
      <c r="H421" t="s">
        <v>41</v>
      </c>
      <c r="I421" t="s">
        <v>23</v>
      </c>
      <c r="J421" t="s">
        <v>31</v>
      </c>
      <c r="K421">
        <v>0</v>
      </c>
      <c r="L421" s="4">
        <v>2261</v>
      </c>
      <c r="M421">
        <v>0</v>
      </c>
      <c r="N421">
        <v>2261</v>
      </c>
      <c r="O421" t="s">
        <v>32</v>
      </c>
      <c r="P421">
        <v>4.0999999999999996</v>
      </c>
      <c r="Q421">
        <v>42</v>
      </c>
      <c r="R421" t="str">
        <f>TEXT(Healthcare_Data[[#This Row],[Visit_Date]],"mmm")</f>
        <v>Jun</v>
      </c>
      <c r="S421">
        <f>MONTH(Healthcare_Data[[#This Row],[Visit_Date]])</f>
        <v>6</v>
      </c>
      <c r="T421" t="str">
        <f>IF(Healthcare_Data[[#This Row],[Final_Bill]]&gt;=50000,"High",IF(Healthcare_Data[[#This Row],[Final_Bill]]&gt;=20000,"Medium","low"))</f>
        <v>low</v>
      </c>
    </row>
    <row r="422" spans="1:20" x14ac:dyDescent="0.3">
      <c r="A422" t="s">
        <v>477</v>
      </c>
      <c r="B422" s="3">
        <v>45809</v>
      </c>
      <c r="C422" t="s">
        <v>27</v>
      </c>
      <c r="D422" t="s">
        <v>34</v>
      </c>
      <c r="E422" t="s">
        <v>20</v>
      </c>
      <c r="F422" t="s">
        <v>40</v>
      </c>
      <c r="G422">
        <v>75</v>
      </c>
      <c r="H422" t="s">
        <v>46</v>
      </c>
      <c r="I422" t="s">
        <v>42</v>
      </c>
      <c r="J422" t="s">
        <v>24</v>
      </c>
      <c r="K422">
        <v>0</v>
      </c>
      <c r="L422" s="4">
        <v>10808</v>
      </c>
      <c r="M422">
        <v>0</v>
      </c>
      <c r="N422">
        <v>10808</v>
      </c>
      <c r="O422" t="s">
        <v>25</v>
      </c>
      <c r="P422">
        <v>3.8</v>
      </c>
      <c r="Q422">
        <v>12</v>
      </c>
      <c r="R422" t="str">
        <f>TEXT(Healthcare_Data[[#This Row],[Visit_Date]],"mmm")</f>
        <v>Jun</v>
      </c>
      <c r="S422">
        <f>MONTH(Healthcare_Data[[#This Row],[Visit_Date]])</f>
        <v>6</v>
      </c>
      <c r="T422" t="str">
        <f>IF(Healthcare_Data[[#This Row],[Final_Bill]]&gt;=50000,"High",IF(Healthcare_Data[[#This Row],[Final_Bill]]&gt;=20000,"Medium","low"))</f>
        <v>low</v>
      </c>
    </row>
    <row r="423" spans="1:20" x14ac:dyDescent="0.3">
      <c r="A423" t="s">
        <v>478</v>
      </c>
      <c r="B423" s="3">
        <v>45810</v>
      </c>
      <c r="C423" t="s">
        <v>38</v>
      </c>
      <c r="D423" t="s">
        <v>28</v>
      </c>
      <c r="E423" t="s">
        <v>52</v>
      </c>
      <c r="F423" t="s">
        <v>40</v>
      </c>
      <c r="G423">
        <v>30</v>
      </c>
      <c r="H423" t="s">
        <v>115</v>
      </c>
      <c r="I423" t="s">
        <v>63</v>
      </c>
      <c r="J423" t="s">
        <v>24</v>
      </c>
      <c r="K423">
        <v>3</v>
      </c>
      <c r="L423" s="4">
        <v>18130</v>
      </c>
      <c r="M423">
        <v>1500</v>
      </c>
      <c r="N423">
        <v>16630</v>
      </c>
      <c r="O423" t="s">
        <v>25</v>
      </c>
      <c r="P423">
        <v>4.0999999999999996</v>
      </c>
      <c r="Q423">
        <v>9</v>
      </c>
      <c r="R423" t="str">
        <f>TEXT(Healthcare_Data[[#This Row],[Visit_Date]],"mmm")</f>
        <v>Jun</v>
      </c>
      <c r="S423">
        <f>MONTH(Healthcare_Data[[#This Row],[Visit_Date]])</f>
        <v>6</v>
      </c>
      <c r="T423" t="str">
        <f>IF(Healthcare_Data[[#This Row],[Final_Bill]]&gt;=50000,"High",IF(Healthcare_Data[[#This Row],[Final_Bill]]&gt;=20000,"Medium","low"))</f>
        <v>low</v>
      </c>
    </row>
    <row r="424" spans="1:20" x14ac:dyDescent="0.3">
      <c r="A424" t="s">
        <v>479</v>
      </c>
      <c r="B424" s="3">
        <v>45810</v>
      </c>
      <c r="C424" t="s">
        <v>48</v>
      </c>
      <c r="D424" t="s">
        <v>51</v>
      </c>
      <c r="E424" t="s">
        <v>20</v>
      </c>
      <c r="F424" t="s">
        <v>40</v>
      </c>
      <c r="G424">
        <v>38</v>
      </c>
      <c r="H424" t="s">
        <v>56</v>
      </c>
      <c r="I424" t="s">
        <v>57</v>
      </c>
      <c r="J424" t="s">
        <v>58</v>
      </c>
      <c r="K424">
        <v>0</v>
      </c>
      <c r="L424" s="4">
        <v>13221</v>
      </c>
      <c r="M424">
        <v>0</v>
      </c>
      <c r="N424">
        <v>13221</v>
      </c>
      <c r="O424" t="s">
        <v>25</v>
      </c>
      <c r="P424">
        <v>4.0999999999999996</v>
      </c>
      <c r="Q424">
        <v>67</v>
      </c>
      <c r="R424" t="str">
        <f>TEXT(Healthcare_Data[[#This Row],[Visit_Date]],"mmm")</f>
        <v>Jun</v>
      </c>
      <c r="S424">
        <f>MONTH(Healthcare_Data[[#This Row],[Visit_Date]])</f>
        <v>6</v>
      </c>
      <c r="T424" t="str">
        <f>IF(Healthcare_Data[[#This Row],[Final_Bill]]&gt;=50000,"High",IF(Healthcare_Data[[#This Row],[Final_Bill]]&gt;=20000,"Medium","low"))</f>
        <v>low</v>
      </c>
    </row>
    <row r="425" spans="1:20" x14ac:dyDescent="0.3">
      <c r="A425" t="s">
        <v>480</v>
      </c>
      <c r="B425" s="3">
        <v>45811</v>
      </c>
      <c r="C425" t="s">
        <v>18</v>
      </c>
      <c r="D425" t="s">
        <v>19</v>
      </c>
      <c r="E425" t="s">
        <v>52</v>
      </c>
      <c r="F425" t="s">
        <v>21</v>
      </c>
      <c r="G425">
        <v>24</v>
      </c>
      <c r="H425" t="s">
        <v>41</v>
      </c>
      <c r="I425" t="s">
        <v>57</v>
      </c>
      <c r="J425" t="s">
        <v>24</v>
      </c>
      <c r="K425">
        <v>14</v>
      </c>
      <c r="L425" s="4">
        <v>44886</v>
      </c>
      <c r="M425">
        <v>2000</v>
      </c>
      <c r="N425">
        <v>42886</v>
      </c>
      <c r="O425" t="s">
        <v>25</v>
      </c>
      <c r="P425">
        <v>4.8</v>
      </c>
      <c r="Q425">
        <v>107</v>
      </c>
      <c r="R425" t="str">
        <f>TEXT(Healthcare_Data[[#This Row],[Visit_Date]],"mmm")</f>
        <v>Jun</v>
      </c>
      <c r="S425">
        <f>MONTH(Healthcare_Data[[#This Row],[Visit_Date]])</f>
        <v>6</v>
      </c>
      <c r="T425" t="str">
        <f>IF(Healthcare_Data[[#This Row],[Final_Bill]]&gt;=50000,"High",IF(Healthcare_Data[[#This Row],[Final_Bill]]&gt;=20000,"Medium","low"))</f>
        <v>Medium</v>
      </c>
    </row>
    <row r="426" spans="1:20" x14ac:dyDescent="0.3">
      <c r="A426" t="s">
        <v>481</v>
      </c>
      <c r="B426" s="3">
        <v>45811</v>
      </c>
      <c r="C426" t="s">
        <v>44</v>
      </c>
      <c r="D426" t="s">
        <v>34</v>
      </c>
      <c r="E426" t="s">
        <v>20</v>
      </c>
      <c r="F426" t="s">
        <v>21</v>
      </c>
      <c r="G426">
        <v>69</v>
      </c>
      <c r="H426" t="s">
        <v>22</v>
      </c>
      <c r="I426" t="s">
        <v>61</v>
      </c>
      <c r="J426" t="s">
        <v>24</v>
      </c>
      <c r="K426">
        <v>0</v>
      </c>
      <c r="L426" s="4">
        <v>10416</v>
      </c>
      <c r="M426">
        <v>0</v>
      </c>
      <c r="N426">
        <v>10416</v>
      </c>
      <c r="O426" t="s">
        <v>25</v>
      </c>
      <c r="P426">
        <v>2.5</v>
      </c>
      <c r="Q426">
        <v>99</v>
      </c>
      <c r="R426" t="str">
        <f>TEXT(Healthcare_Data[[#This Row],[Visit_Date]],"mmm")</f>
        <v>Jun</v>
      </c>
      <c r="S426">
        <f>MONTH(Healthcare_Data[[#This Row],[Visit_Date]])</f>
        <v>6</v>
      </c>
      <c r="T426" t="str">
        <f>IF(Healthcare_Data[[#This Row],[Final_Bill]]&gt;=50000,"High",IF(Healthcare_Data[[#This Row],[Final_Bill]]&gt;=20000,"Medium","low"))</f>
        <v>low</v>
      </c>
    </row>
    <row r="427" spans="1:20" x14ac:dyDescent="0.3">
      <c r="A427" t="s">
        <v>482</v>
      </c>
      <c r="B427" s="3">
        <v>45811</v>
      </c>
      <c r="C427" t="s">
        <v>44</v>
      </c>
      <c r="D427" t="s">
        <v>28</v>
      </c>
      <c r="E427" t="s">
        <v>20</v>
      </c>
      <c r="F427" t="s">
        <v>40</v>
      </c>
      <c r="G427">
        <v>48</v>
      </c>
      <c r="H427" t="s">
        <v>115</v>
      </c>
      <c r="I427" t="s">
        <v>61</v>
      </c>
      <c r="J427" t="s">
        <v>24</v>
      </c>
      <c r="K427">
        <v>0</v>
      </c>
      <c r="L427" s="4">
        <v>1755</v>
      </c>
      <c r="M427">
        <v>0</v>
      </c>
      <c r="N427">
        <v>1755</v>
      </c>
      <c r="O427" t="s">
        <v>25</v>
      </c>
      <c r="P427">
        <v>4.5999999999999996</v>
      </c>
      <c r="Q427">
        <v>87</v>
      </c>
      <c r="R427" t="str">
        <f>TEXT(Healthcare_Data[[#This Row],[Visit_Date]],"mmm")</f>
        <v>Jun</v>
      </c>
      <c r="S427">
        <f>MONTH(Healthcare_Data[[#This Row],[Visit_Date]])</f>
        <v>6</v>
      </c>
      <c r="T427" t="str">
        <f>IF(Healthcare_Data[[#This Row],[Final_Bill]]&gt;=50000,"High",IF(Healthcare_Data[[#This Row],[Final_Bill]]&gt;=20000,"Medium","low"))</f>
        <v>low</v>
      </c>
    </row>
    <row r="428" spans="1:20" x14ac:dyDescent="0.3">
      <c r="A428" t="s">
        <v>483</v>
      </c>
      <c r="B428" s="3">
        <v>45812</v>
      </c>
      <c r="C428" t="s">
        <v>44</v>
      </c>
      <c r="D428" t="s">
        <v>39</v>
      </c>
      <c r="E428" t="s">
        <v>52</v>
      </c>
      <c r="F428" t="s">
        <v>40</v>
      </c>
      <c r="G428">
        <v>56</v>
      </c>
      <c r="H428" t="s">
        <v>41</v>
      </c>
      <c r="I428" t="s">
        <v>61</v>
      </c>
      <c r="J428" t="s">
        <v>24</v>
      </c>
      <c r="K428">
        <v>11</v>
      </c>
      <c r="L428" s="4">
        <v>32040</v>
      </c>
      <c r="M428">
        <v>500</v>
      </c>
      <c r="N428">
        <v>31540</v>
      </c>
      <c r="O428" t="s">
        <v>25</v>
      </c>
      <c r="P428">
        <v>3.8</v>
      </c>
      <c r="Q428">
        <v>41</v>
      </c>
      <c r="R428" t="str">
        <f>TEXT(Healthcare_Data[[#This Row],[Visit_Date]],"mmm")</f>
        <v>Jun</v>
      </c>
      <c r="S428">
        <f>MONTH(Healthcare_Data[[#This Row],[Visit_Date]])</f>
        <v>6</v>
      </c>
      <c r="T428" t="str">
        <f>IF(Healthcare_Data[[#This Row],[Final_Bill]]&gt;=50000,"High",IF(Healthcare_Data[[#This Row],[Final_Bill]]&gt;=20000,"Medium","low"))</f>
        <v>Medium</v>
      </c>
    </row>
    <row r="429" spans="1:20" x14ac:dyDescent="0.3">
      <c r="A429" t="s">
        <v>484</v>
      </c>
      <c r="B429" s="3">
        <v>45812</v>
      </c>
      <c r="C429" t="s">
        <v>18</v>
      </c>
      <c r="D429" t="s">
        <v>51</v>
      </c>
      <c r="E429" t="s">
        <v>20</v>
      </c>
      <c r="F429" t="s">
        <v>21</v>
      </c>
      <c r="G429">
        <v>23</v>
      </c>
      <c r="H429" t="s">
        <v>56</v>
      </c>
      <c r="I429" t="s">
        <v>69</v>
      </c>
      <c r="J429" t="s">
        <v>24</v>
      </c>
      <c r="K429">
        <v>0</v>
      </c>
      <c r="L429" s="4">
        <v>5319</v>
      </c>
      <c r="M429">
        <v>0</v>
      </c>
      <c r="N429">
        <v>5319</v>
      </c>
      <c r="O429" t="s">
        <v>25</v>
      </c>
      <c r="P429">
        <v>2.7</v>
      </c>
      <c r="Q429">
        <v>117</v>
      </c>
      <c r="R429" t="str">
        <f>TEXT(Healthcare_Data[[#This Row],[Visit_Date]],"mmm")</f>
        <v>Jun</v>
      </c>
      <c r="S429">
        <f>MONTH(Healthcare_Data[[#This Row],[Visit_Date]])</f>
        <v>6</v>
      </c>
      <c r="T429" t="str">
        <f>IF(Healthcare_Data[[#This Row],[Final_Bill]]&gt;=50000,"High",IF(Healthcare_Data[[#This Row],[Final_Bill]]&gt;=20000,"Medium","low"))</f>
        <v>low</v>
      </c>
    </row>
    <row r="430" spans="1:20" x14ac:dyDescent="0.3">
      <c r="A430" t="s">
        <v>485</v>
      </c>
      <c r="B430" s="3">
        <v>45813</v>
      </c>
      <c r="C430" t="s">
        <v>48</v>
      </c>
      <c r="D430" t="s">
        <v>34</v>
      </c>
      <c r="E430" t="s">
        <v>20</v>
      </c>
      <c r="F430" t="s">
        <v>40</v>
      </c>
      <c r="G430">
        <v>37</v>
      </c>
      <c r="H430" t="s">
        <v>115</v>
      </c>
      <c r="I430" t="s">
        <v>72</v>
      </c>
      <c r="J430" t="s">
        <v>24</v>
      </c>
      <c r="K430">
        <v>0</v>
      </c>
      <c r="L430" s="4">
        <v>11423</v>
      </c>
      <c r="M430">
        <v>0</v>
      </c>
      <c r="N430">
        <v>11423</v>
      </c>
      <c r="O430" t="s">
        <v>59</v>
      </c>
      <c r="P430">
        <v>3.5</v>
      </c>
      <c r="Q430">
        <v>117</v>
      </c>
      <c r="R430" t="str">
        <f>TEXT(Healthcare_Data[[#This Row],[Visit_Date]],"mmm")</f>
        <v>Jun</v>
      </c>
      <c r="S430">
        <f>MONTH(Healthcare_Data[[#This Row],[Visit_Date]])</f>
        <v>6</v>
      </c>
      <c r="T430" t="str">
        <f>IF(Healthcare_Data[[#This Row],[Final_Bill]]&gt;=50000,"High",IF(Healthcare_Data[[#This Row],[Final_Bill]]&gt;=20000,"Medium","low"))</f>
        <v>low</v>
      </c>
    </row>
    <row r="431" spans="1:20" x14ac:dyDescent="0.3">
      <c r="A431" t="s">
        <v>486</v>
      </c>
      <c r="B431" s="3">
        <v>45814</v>
      </c>
      <c r="C431" t="s">
        <v>27</v>
      </c>
      <c r="D431" t="s">
        <v>51</v>
      </c>
      <c r="E431" t="s">
        <v>20</v>
      </c>
      <c r="F431" t="s">
        <v>21</v>
      </c>
      <c r="G431">
        <v>43</v>
      </c>
      <c r="H431" t="s">
        <v>35</v>
      </c>
      <c r="I431" t="s">
        <v>1057</v>
      </c>
      <c r="J431" t="s">
        <v>58</v>
      </c>
      <c r="K431">
        <v>0</v>
      </c>
      <c r="L431" s="4">
        <v>12641</v>
      </c>
      <c r="M431">
        <v>1000</v>
      </c>
      <c r="N431">
        <v>11641</v>
      </c>
      <c r="O431" t="s">
        <v>25</v>
      </c>
      <c r="P431">
        <v>3.5</v>
      </c>
      <c r="Q431">
        <v>72</v>
      </c>
      <c r="R431" t="str">
        <f>TEXT(Healthcare_Data[[#This Row],[Visit_Date]],"mmm")</f>
        <v>Jun</v>
      </c>
      <c r="S431">
        <f>MONTH(Healthcare_Data[[#This Row],[Visit_Date]])</f>
        <v>6</v>
      </c>
      <c r="T431" t="str">
        <f>IF(Healthcare_Data[[#This Row],[Final_Bill]]&gt;=50000,"High",IF(Healthcare_Data[[#This Row],[Final_Bill]]&gt;=20000,"Medium","low"))</f>
        <v>low</v>
      </c>
    </row>
    <row r="432" spans="1:20" x14ac:dyDescent="0.3">
      <c r="A432" t="s">
        <v>487</v>
      </c>
      <c r="B432" s="3">
        <v>45815</v>
      </c>
      <c r="C432" t="s">
        <v>44</v>
      </c>
      <c r="D432" t="s">
        <v>39</v>
      </c>
      <c r="E432" t="s">
        <v>20</v>
      </c>
      <c r="F432" t="s">
        <v>40</v>
      </c>
      <c r="G432">
        <v>63</v>
      </c>
      <c r="H432" t="s">
        <v>56</v>
      </c>
      <c r="I432" t="s">
        <v>30</v>
      </c>
      <c r="J432" t="s">
        <v>24</v>
      </c>
      <c r="K432">
        <v>0</v>
      </c>
      <c r="L432" s="4">
        <v>18607</v>
      </c>
      <c r="M432">
        <v>0</v>
      </c>
      <c r="N432">
        <v>18607</v>
      </c>
      <c r="O432" t="s">
        <v>32</v>
      </c>
      <c r="P432">
        <v>3</v>
      </c>
      <c r="Q432">
        <v>71</v>
      </c>
      <c r="R432" t="str">
        <f>TEXT(Healthcare_Data[[#This Row],[Visit_Date]],"mmm")</f>
        <v>Jun</v>
      </c>
      <c r="S432">
        <f>MONTH(Healthcare_Data[[#This Row],[Visit_Date]])</f>
        <v>6</v>
      </c>
      <c r="T432" t="str">
        <f>IF(Healthcare_Data[[#This Row],[Final_Bill]]&gt;=50000,"High",IF(Healthcare_Data[[#This Row],[Final_Bill]]&gt;=20000,"Medium","low"))</f>
        <v>low</v>
      </c>
    </row>
    <row r="433" spans="1:20" x14ac:dyDescent="0.3">
      <c r="A433" t="s">
        <v>488</v>
      </c>
      <c r="B433" s="3">
        <v>45815</v>
      </c>
      <c r="C433" t="s">
        <v>54</v>
      </c>
      <c r="D433" t="s">
        <v>28</v>
      </c>
      <c r="E433" t="s">
        <v>20</v>
      </c>
      <c r="F433" t="s">
        <v>21</v>
      </c>
      <c r="G433">
        <v>53</v>
      </c>
      <c r="H433" t="s">
        <v>115</v>
      </c>
      <c r="I433" t="s">
        <v>72</v>
      </c>
      <c r="J433" t="s">
        <v>24</v>
      </c>
      <c r="K433">
        <v>0</v>
      </c>
      <c r="L433" s="4">
        <v>3015</v>
      </c>
      <c r="M433">
        <v>0</v>
      </c>
      <c r="N433">
        <v>3015</v>
      </c>
      <c r="O433" t="s">
        <v>25</v>
      </c>
      <c r="P433">
        <v>3.3</v>
      </c>
      <c r="Q433">
        <v>7</v>
      </c>
      <c r="R433" t="str">
        <f>TEXT(Healthcare_Data[[#This Row],[Visit_Date]],"mmm")</f>
        <v>Jun</v>
      </c>
      <c r="S433">
        <f>MONTH(Healthcare_Data[[#This Row],[Visit_Date]])</f>
        <v>6</v>
      </c>
      <c r="T433" t="str">
        <f>IF(Healthcare_Data[[#This Row],[Final_Bill]]&gt;=50000,"High",IF(Healthcare_Data[[#This Row],[Final_Bill]]&gt;=20000,"Medium","low"))</f>
        <v>low</v>
      </c>
    </row>
    <row r="434" spans="1:20" x14ac:dyDescent="0.3">
      <c r="A434" t="s">
        <v>489</v>
      </c>
      <c r="B434" s="3">
        <v>45815</v>
      </c>
      <c r="C434" t="s">
        <v>27</v>
      </c>
      <c r="D434" t="s">
        <v>39</v>
      </c>
      <c r="E434" t="s">
        <v>54</v>
      </c>
      <c r="F434" t="s">
        <v>40</v>
      </c>
      <c r="G434">
        <v>47</v>
      </c>
      <c r="H434" t="s">
        <v>115</v>
      </c>
      <c r="I434" t="s">
        <v>72</v>
      </c>
      <c r="J434" t="s">
        <v>1057</v>
      </c>
      <c r="K434">
        <v>0</v>
      </c>
      <c r="L434" s="4">
        <v>42502</v>
      </c>
      <c r="M434">
        <v>0</v>
      </c>
      <c r="N434">
        <v>42502</v>
      </c>
      <c r="O434" t="s">
        <v>25</v>
      </c>
      <c r="P434">
        <v>4</v>
      </c>
      <c r="Q434">
        <v>52</v>
      </c>
      <c r="R434" t="str">
        <f>TEXT(Healthcare_Data[[#This Row],[Visit_Date]],"mmm")</f>
        <v>Jun</v>
      </c>
      <c r="S434">
        <f>MONTH(Healthcare_Data[[#This Row],[Visit_Date]])</f>
        <v>6</v>
      </c>
      <c r="T434" t="str">
        <f>IF(Healthcare_Data[[#This Row],[Final_Bill]]&gt;=50000,"High",IF(Healthcare_Data[[#This Row],[Final_Bill]]&gt;=20000,"Medium","low"))</f>
        <v>Medium</v>
      </c>
    </row>
    <row r="435" spans="1:20" x14ac:dyDescent="0.3">
      <c r="A435" t="s">
        <v>490</v>
      </c>
      <c r="B435" s="3">
        <v>45817</v>
      </c>
      <c r="C435" t="s">
        <v>48</v>
      </c>
      <c r="D435" t="s">
        <v>51</v>
      </c>
      <c r="E435" t="s">
        <v>52</v>
      </c>
      <c r="F435" t="s">
        <v>21</v>
      </c>
      <c r="G435">
        <v>63</v>
      </c>
      <c r="H435" t="s">
        <v>29</v>
      </c>
      <c r="I435" t="s">
        <v>57</v>
      </c>
      <c r="J435" t="s">
        <v>24</v>
      </c>
      <c r="K435">
        <v>13</v>
      </c>
      <c r="L435" s="4">
        <v>34142</v>
      </c>
      <c r="M435">
        <v>1000</v>
      </c>
      <c r="N435">
        <v>33142</v>
      </c>
      <c r="O435" t="s">
        <v>32</v>
      </c>
      <c r="P435">
        <v>4.9000000000000004</v>
      </c>
      <c r="Q435">
        <v>81</v>
      </c>
      <c r="R435" t="str">
        <f>TEXT(Healthcare_Data[[#This Row],[Visit_Date]],"mmm")</f>
        <v>Jun</v>
      </c>
      <c r="S435">
        <f>MONTH(Healthcare_Data[[#This Row],[Visit_Date]])</f>
        <v>6</v>
      </c>
      <c r="T435" t="str">
        <f>IF(Healthcare_Data[[#This Row],[Final_Bill]]&gt;=50000,"High",IF(Healthcare_Data[[#This Row],[Final_Bill]]&gt;=20000,"Medium","low"))</f>
        <v>Medium</v>
      </c>
    </row>
    <row r="436" spans="1:20" x14ac:dyDescent="0.3">
      <c r="A436" t="s">
        <v>491</v>
      </c>
      <c r="B436" s="3">
        <v>45817</v>
      </c>
      <c r="C436" t="s">
        <v>50</v>
      </c>
      <c r="D436" t="s">
        <v>28</v>
      </c>
      <c r="E436" t="s">
        <v>52</v>
      </c>
      <c r="F436" t="s">
        <v>21</v>
      </c>
      <c r="G436">
        <v>36</v>
      </c>
      <c r="H436" t="s">
        <v>22</v>
      </c>
      <c r="I436" t="s">
        <v>63</v>
      </c>
      <c r="J436" t="s">
        <v>24</v>
      </c>
      <c r="K436">
        <v>12</v>
      </c>
      <c r="L436" s="4">
        <v>32094</v>
      </c>
      <c r="M436">
        <v>1500</v>
      </c>
      <c r="N436">
        <v>30594</v>
      </c>
      <c r="O436" t="s">
        <v>25</v>
      </c>
      <c r="P436">
        <v>2.6</v>
      </c>
      <c r="Q436">
        <v>46</v>
      </c>
      <c r="R436" t="str">
        <f>TEXT(Healthcare_Data[[#This Row],[Visit_Date]],"mmm")</f>
        <v>Jun</v>
      </c>
      <c r="S436">
        <f>MONTH(Healthcare_Data[[#This Row],[Visit_Date]])</f>
        <v>6</v>
      </c>
      <c r="T436" t="str">
        <f>IF(Healthcare_Data[[#This Row],[Final_Bill]]&gt;=50000,"High",IF(Healthcare_Data[[#This Row],[Final_Bill]]&gt;=20000,"Medium","low"))</f>
        <v>Medium</v>
      </c>
    </row>
    <row r="437" spans="1:20" x14ac:dyDescent="0.3">
      <c r="A437" t="s">
        <v>492</v>
      </c>
      <c r="B437" s="3">
        <v>45817</v>
      </c>
      <c r="C437" t="s">
        <v>27</v>
      </c>
      <c r="D437" t="s">
        <v>39</v>
      </c>
      <c r="E437" t="s">
        <v>20</v>
      </c>
      <c r="F437" t="s">
        <v>40</v>
      </c>
      <c r="G437">
        <v>71</v>
      </c>
      <c r="H437" t="s">
        <v>65</v>
      </c>
      <c r="I437" t="s">
        <v>23</v>
      </c>
      <c r="J437" t="s">
        <v>58</v>
      </c>
      <c r="K437">
        <v>0</v>
      </c>
      <c r="L437" s="4">
        <v>2531</v>
      </c>
      <c r="M437">
        <v>0</v>
      </c>
      <c r="N437">
        <v>2531</v>
      </c>
      <c r="O437" t="s">
        <v>25</v>
      </c>
      <c r="P437">
        <v>2.6</v>
      </c>
      <c r="Q437">
        <v>33</v>
      </c>
      <c r="R437" t="str">
        <f>TEXT(Healthcare_Data[[#This Row],[Visit_Date]],"mmm")</f>
        <v>Jun</v>
      </c>
      <c r="S437">
        <f>MONTH(Healthcare_Data[[#This Row],[Visit_Date]])</f>
        <v>6</v>
      </c>
      <c r="T437" t="str">
        <f>IF(Healthcare_Data[[#This Row],[Final_Bill]]&gt;=50000,"High",IF(Healthcare_Data[[#This Row],[Final_Bill]]&gt;=20000,"Medium","low"))</f>
        <v>low</v>
      </c>
    </row>
    <row r="438" spans="1:20" x14ac:dyDescent="0.3">
      <c r="A438" t="s">
        <v>493</v>
      </c>
      <c r="B438" s="3">
        <v>45817</v>
      </c>
      <c r="C438" t="s">
        <v>50</v>
      </c>
      <c r="D438" t="s">
        <v>19</v>
      </c>
      <c r="E438" t="s">
        <v>54</v>
      </c>
      <c r="F438" t="s">
        <v>40</v>
      </c>
      <c r="G438">
        <v>39</v>
      </c>
      <c r="H438" t="s">
        <v>115</v>
      </c>
      <c r="I438" t="s">
        <v>61</v>
      </c>
      <c r="J438" t="s">
        <v>24</v>
      </c>
      <c r="K438">
        <v>0</v>
      </c>
      <c r="L438" s="4">
        <v>8256</v>
      </c>
      <c r="M438">
        <v>500</v>
      </c>
      <c r="N438">
        <v>7756</v>
      </c>
      <c r="O438" t="s">
        <v>25</v>
      </c>
      <c r="P438">
        <v>4.7</v>
      </c>
      <c r="Q438">
        <v>78</v>
      </c>
      <c r="R438" t="str">
        <f>TEXT(Healthcare_Data[[#This Row],[Visit_Date]],"mmm")</f>
        <v>Jun</v>
      </c>
      <c r="S438">
        <f>MONTH(Healthcare_Data[[#This Row],[Visit_Date]])</f>
        <v>6</v>
      </c>
      <c r="T438" t="str">
        <f>IF(Healthcare_Data[[#This Row],[Final_Bill]]&gt;=50000,"High",IF(Healthcare_Data[[#This Row],[Final_Bill]]&gt;=20000,"Medium","low"))</f>
        <v>low</v>
      </c>
    </row>
    <row r="439" spans="1:20" x14ac:dyDescent="0.3">
      <c r="A439" t="s">
        <v>494</v>
      </c>
      <c r="B439" s="3">
        <v>45817</v>
      </c>
      <c r="C439" t="s">
        <v>54</v>
      </c>
      <c r="D439" t="s">
        <v>28</v>
      </c>
      <c r="E439" t="s">
        <v>20</v>
      </c>
      <c r="F439" t="s">
        <v>40</v>
      </c>
      <c r="G439">
        <v>67</v>
      </c>
      <c r="H439" t="s">
        <v>56</v>
      </c>
      <c r="I439" t="s">
        <v>30</v>
      </c>
      <c r="J439" t="s">
        <v>24</v>
      </c>
      <c r="K439">
        <v>0</v>
      </c>
      <c r="L439" s="4">
        <v>10062</v>
      </c>
      <c r="M439">
        <v>1000</v>
      </c>
      <c r="N439">
        <v>9062</v>
      </c>
      <c r="O439" t="s">
        <v>32</v>
      </c>
      <c r="P439">
        <v>3.7</v>
      </c>
      <c r="Q439">
        <v>5</v>
      </c>
      <c r="R439" t="str">
        <f>TEXT(Healthcare_Data[[#This Row],[Visit_Date]],"mmm")</f>
        <v>Jun</v>
      </c>
      <c r="S439">
        <f>MONTH(Healthcare_Data[[#This Row],[Visit_Date]])</f>
        <v>6</v>
      </c>
      <c r="T439" t="str">
        <f>IF(Healthcare_Data[[#This Row],[Final_Bill]]&gt;=50000,"High",IF(Healthcare_Data[[#This Row],[Final_Bill]]&gt;=20000,"Medium","low"))</f>
        <v>low</v>
      </c>
    </row>
    <row r="440" spans="1:20" x14ac:dyDescent="0.3">
      <c r="A440" t="s">
        <v>495</v>
      </c>
      <c r="B440" s="3">
        <v>45817</v>
      </c>
      <c r="C440" t="s">
        <v>27</v>
      </c>
      <c r="D440" t="s">
        <v>19</v>
      </c>
      <c r="E440" t="s">
        <v>52</v>
      </c>
      <c r="F440" t="s">
        <v>21</v>
      </c>
      <c r="G440">
        <v>30</v>
      </c>
      <c r="H440" t="s">
        <v>29</v>
      </c>
      <c r="I440" t="s">
        <v>72</v>
      </c>
      <c r="J440" t="s">
        <v>31</v>
      </c>
      <c r="K440">
        <v>7</v>
      </c>
      <c r="L440" s="4">
        <v>37727</v>
      </c>
      <c r="M440">
        <v>1000</v>
      </c>
      <c r="N440">
        <v>36727</v>
      </c>
      <c r="O440" t="s">
        <v>25</v>
      </c>
      <c r="P440">
        <v>4.8</v>
      </c>
      <c r="Q440">
        <v>63</v>
      </c>
      <c r="R440" t="str">
        <f>TEXT(Healthcare_Data[[#This Row],[Visit_Date]],"mmm")</f>
        <v>Jun</v>
      </c>
      <c r="S440">
        <f>MONTH(Healthcare_Data[[#This Row],[Visit_Date]])</f>
        <v>6</v>
      </c>
      <c r="T440" t="str">
        <f>IF(Healthcare_Data[[#This Row],[Final_Bill]]&gt;=50000,"High",IF(Healthcare_Data[[#This Row],[Final_Bill]]&gt;=20000,"Medium","low"))</f>
        <v>Medium</v>
      </c>
    </row>
    <row r="441" spans="1:20" x14ac:dyDescent="0.3">
      <c r="A441" t="s">
        <v>496</v>
      </c>
      <c r="B441" s="3">
        <v>45817</v>
      </c>
      <c r="C441" t="s">
        <v>44</v>
      </c>
      <c r="D441" t="s">
        <v>34</v>
      </c>
      <c r="E441" t="s">
        <v>52</v>
      </c>
      <c r="F441" t="s">
        <v>21</v>
      </c>
      <c r="G441">
        <v>71</v>
      </c>
      <c r="H441" t="s">
        <v>35</v>
      </c>
      <c r="I441" t="s">
        <v>42</v>
      </c>
      <c r="J441" t="s">
        <v>24</v>
      </c>
      <c r="K441">
        <v>10</v>
      </c>
      <c r="L441" s="4">
        <v>79531</v>
      </c>
      <c r="M441">
        <v>0</v>
      </c>
      <c r="N441">
        <v>79531</v>
      </c>
      <c r="O441" t="s">
        <v>25</v>
      </c>
      <c r="P441">
        <v>3.8</v>
      </c>
      <c r="Q441">
        <v>114</v>
      </c>
      <c r="R441" t="str">
        <f>TEXT(Healthcare_Data[[#This Row],[Visit_Date]],"mmm")</f>
        <v>Jun</v>
      </c>
      <c r="S441">
        <f>MONTH(Healthcare_Data[[#This Row],[Visit_Date]])</f>
        <v>6</v>
      </c>
      <c r="T441" t="str">
        <f>IF(Healthcare_Data[[#This Row],[Final_Bill]]&gt;=50000,"High",IF(Healthcare_Data[[#This Row],[Final_Bill]]&gt;=20000,"Medium","low"))</f>
        <v>High</v>
      </c>
    </row>
    <row r="442" spans="1:20" x14ac:dyDescent="0.3">
      <c r="A442" t="s">
        <v>497</v>
      </c>
      <c r="B442" s="3">
        <v>45818</v>
      </c>
      <c r="C442" t="s">
        <v>27</v>
      </c>
      <c r="D442" t="s">
        <v>28</v>
      </c>
      <c r="E442" t="s">
        <v>20</v>
      </c>
      <c r="F442" t="s">
        <v>21</v>
      </c>
      <c r="G442">
        <v>29</v>
      </c>
      <c r="H442" t="s">
        <v>46</v>
      </c>
      <c r="I442" t="s">
        <v>63</v>
      </c>
      <c r="J442" t="s">
        <v>36</v>
      </c>
      <c r="K442">
        <v>0</v>
      </c>
      <c r="L442" s="4">
        <v>8851</v>
      </c>
      <c r="M442">
        <v>0</v>
      </c>
      <c r="N442">
        <v>8851</v>
      </c>
      <c r="O442" t="s">
        <v>25</v>
      </c>
      <c r="P442">
        <v>4.0999999999999996</v>
      </c>
      <c r="Q442">
        <v>112</v>
      </c>
      <c r="R442" t="str">
        <f>TEXT(Healthcare_Data[[#This Row],[Visit_Date]],"mmm")</f>
        <v>Jun</v>
      </c>
      <c r="S442">
        <f>MONTH(Healthcare_Data[[#This Row],[Visit_Date]])</f>
        <v>6</v>
      </c>
      <c r="T442" t="str">
        <f>IF(Healthcare_Data[[#This Row],[Final_Bill]]&gt;=50000,"High",IF(Healthcare_Data[[#This Row],[Final_Bill]]&gt;=20000,"Medium","low"))</f>
        <v>low</v>
      </c>
    </row>
    <row r="443" spans="1:20" x14ac:dyDescent="0.3">
      <c r="A443" t="s">
        <v>498</v>
      </c>
      <c r="B443" s="3">
        <v>45818</v>
      </c>
      <c r="C443" t="s">
        <v>27</v>
      </c>
      <c r="D443" t="s">
        <v>19</v>
      </c>
      <c r="E443" t="s">
        <v>20</v>
      </c>
      <c r="F443" t="s">
        <v>40</v>
      </c>
      <c r="G443">
        <v>72</v>
      </c>
      <c r="H443" t="s">
        <v>46</v>
      </c>
      <c r="I443" t="s">
        <v>63</v>
      </c>
      <c r="J443" t="s">
        <v>58</v>
      </c>
      <c r="K443">
        <v>0</v>
      </c>
      <c r="L443" s="4">
        <v>18624</v>
      </c>
      <c r="M443">
        <v>500</v>
      </c>
      <c r="N443">
        <v>18124</v>
      </c>
      <c r="O443" t="s">
        <v>25</v>
      </c>
      <c r="P443">
        <v>4.7</v>
      </c>
      <c r="Q443">
        <v>108</v>
      </c>
      <c r="R443" t="str">
        <f>TEXT(Healthcare_Data[[#This Row],[Visit_Date]],"mmm")</f>
        <v>Jun</v>
      </c>
      <c r="S443">
        <f>MONTH(Healthcare_Data[[#This Row],[Visit_Date]])</f>
        <v>6</v>
      </c>
      <c r="T443" t="str">
        <f>IF(Healthcare_Data[[#This Row],[Final_Bill]]&gt;=50000,"High",IF(Healthcare_Data[[#This Row],[Final_Bill]]&gt;=20000,"Medium","low"))</f>
        <v>low</v>
      </c>
    </row>
    <row r="444" spans="1:20" x14ac:dyDescent="0.3">
      <c r="A444" t="s">
        <v>499</v>
      </c>
      <c r="B444" s="3">
        <v>45818</v>
      </c>
      <c r="C444" t="s">
        <v>48</v>
      </c>
      <c r="D444" t="s">
        <v>39</v>
      </c>
      <c r="E444" t="s">
        <v>54</v>
      </c>
      <c r="F444" t="s">
        <v>21</v>
      </c>
      <c r="G444">
        <v>44</v>
      </c>
      <c r="H444" t="s">
        <v>65</v>
      </c>
      <c r="I444" t="s">
        <v>57</v>
      </c>
      <c r="J444" t="s">
        <v>24</v>
      </c>
      <c r="K444">
        <v>0</v>
      </c>
      <c r="L444" s="4">
        <v>11203</v>
      </c>
      <c r="M444">
        <v>0</v>
      </c>
      <c r="N444">
        <v>11203</v>
      </c>
      <c r="O444" t="s">
        <v>25</v>
      </c>
      <c r="P444">
        <v>4.9000000000000004</v>
      </c>
      <c r="Q444">
        <v>32</v>
      </c>
      <c r="R444" t="str">
        <f>TEXT(Healthcare_Data[[#This Row],[Visit_Date]],"mmm")</f>
        <v>Jun</v>
      </c>
      <c r="S444">
        <f>MONTH(Healthcare_Data[[#This Row],[Visit_Date]])</f>
        <v>6</v>
      </c>
      <c r="T444" t="str">
        <f>IF(Healthcare_Data[[#This Row],[Final_Bill]]&gt;=50000,"High",IF(Healthcare_Data[[#This Row],[Final_Bill]]&gt;=20000,"Medium","low"))</f>
        <v>low</v>
      </c>
    </row>
    <row r="445" spans="1:20" x14ac:dyDescent="0.3">
      <c r="A445" t="s">
        <v>500</v>
      </c>
      <c r="B445" s="3">
        <v>45818</v>
      </c>
      <c r="C445" t="s">
        <v>27</v>
      </c>
      <c r="D445" t="s">
        <v>51</v>
      </c>
      <c r="E445" t="s">
        <v>20</v>
      </c>
      <c r="F445" t="s">
        <v>40</v>
      </c>
      <c r="G445">
        <v>48</v>
      </c>
      <c r="H445" t="s">
        <v>41</v>
      </c>
      <c r="I445" t="s">
        <v>72</v>
      </c>
      <c r="J445" t="s">
        <v>58</v>
      </c>
      <c r="K445">
        <v>0</v>
      </c>
      <c r="L445" s="4">
        <v>5690</v>
      </c>
      <c r="M445">
        <v>500</v>
      </c>
      <c r="N445">
        <v>5190</v>
      </c>
      <c r="O445" t="s">
        <v>25</v>
      </c>
      <c r="P445">
        <v>4.4000000000000004</v>
      </c>
      <c r="Q445">
        <v>119</v>
      </c>
      <c r="R445" t="str">
        <f>TEXT(Healthcare_Data[[#This Row],[Visit_Date]],"mmm")</f>
        <v>Jun</v>
      </c>
      <c r="S445">
        <f>MONTH(Healthcare_Data[[#This Row],[Visit_Date]])</f>
        <v>6</v>
      </c>
      <c r="T445" t="str">
        <f>IF(Healthcare_Data[[#This Row],[Final_Bill]]&gt;=50000,"High",IF(Healthcare_Data[[#This Row],[Final_Bill]]&gt;=20000,"Medium","low"))</f>
        <v>low</v>
      </c>
    </row>
    <row r="446" spans="1:20" x14ac:dyDescent="0.3">
      <c r="A446" t="s">
        <v>501</v>
      </c>
      <c r="B446" s="3">
        <v>45819</v>
      </c>
      <c r="C446" t="s">
        <v>44</v>
      </c>
      <c r="D446" t="s">
        <v>28</v>
      </c>
      <c r="E446" t="s">
        <v>20</v>
      </c>
      <c r="F446" t="s">
        <v>40</v>
      </c>
      <c r="G446">
        <v>61</v>
      </c>
      <c r="H446" t="s">
        <v>46</v>
      </c>
      <c r="I446" t="s">
        <v>69</v>
      </c>
      <c r="J446" t="s">
        <v>24</v>
      </c>
      <c r="K446">
        <v>0</v>
      </c>
      <c r="L446" s="4">
        <v>2917</v>
      </c>
      <c r="M446">
        <v>1000</v>
      </c>
      <c r="N446">
        <v>1917</v>
      </c>
      <c r="O446" t="s">
        <v>59</v>
      </c>
      <c r="P446">
        <v>3.3</v>
      </c>
      <c r="Q446">
        <v>113</v>
      </c>
      <c r="R446" t="str">
        <f>TEXT(Healthcare_Data[[#This Row],[Visit_Date]],"mmm")</f>
        <v>Jun</v>
      </c>
      <c r="S446">
        <f>MONTH(Healthcare_Data[[#This Row],[Visit_Date]])</f>
        <v>6</v>
      </c>
      <c r="T446" t="str">
        <f>IF(Healthcare_Data[[#This Row],[Final_Bill]]&gt;=50000,"High",IF(Healthcare_Data[[#This Row],[Final_Bill]]&gt;=20000,"Medium","low"))</f>
        <v>low</v>
      </c>
    </row>
    <row r="447" spans="1:20" x14ac:dyDescent="0.3">
      <c r="A447" t="s">
        <v>502</v>
      </c>
      <c r="B447" s="3">
        <v>45819</v>
      </c>
      <c r="C447" t="s">
        <v>48</v>
      </c>
      <c r="D447" t="s">
        <v>19</v>
      </c>
      <c r="E447" t="s">
        <v>52</v>
      </c>
      <c r="F447" t="s">
        <v>21</v>
      </c>
      <c r="G447">
        <v>73</v>
      </c>
      <c r="H447" t="s">
        <v>65</v>
      </c>
      <c r="I447" t="s">
        <v>23</v>
      </c>
      <c r="J447" t="s">
        <v>24</v>
      </c>
      <c r="K447">
        <v>1</v>
      </c>
      <c r="L447" s="4">
        <v>41016</v>
      </c>
      <c r="M447">
        <v>500</v>
      </c>
      <c r="N447">
        <v>40516</v>
      </c>
      <c r="O447" t="s">
        <v>25</v>
      </c>
      <c r="P447">
        <v>3.2</v>
      </c>
      <c r="Q447">
        <v>105</v>
      </c>
      <c r="R447" t="str">
        <f>TEXT(Healthcare_Data[[#This Row],[Visit_Date]],"mmm")</f>
        <v>Jun</v>
      </c>
      <c r="S447">
        <f>MONTH(Healthcare_Data[[#This Row],[Visit_Date]])</f>
        <v>6</v>
      </c>
      <c r="T447" t="str">
        <f>IF(Healthcare_Data[[#This Row],[Final_Bill]]&gt;=50000,"High",IF(Healthcare_Data[[#This Row],[Final_Bill]]&gt;=20000,"Medium","low"))</f>
        <v>Medium</v>
      </c>
    </row>
    <row r="448" spans="1:20" x14ac:dyDescent="0.3">
      <c r="A448" t="s">
        <v>503</v>
      </c>
      <c r="B448" s="3">
        <v>45820</v>
      </c>
      <c r="C448" t="s">
        <v>67</v>
      </c>
      <c r="D448" t="s">
        <v>51</v>
      </c>
      <c r="E448" t="s">
        <v>20</v>
      </c>
      <c r="F448" t="s">
        <v>21</v>
      </c>
      <c r="G448">
        <v>42</v>
      </c>
      <c r="H448" t="s">
        <v>56</v>
      </c>
      <c r="I448" t="s">
        <v>23</v>
      </c>
      <c r="J448" t="s">
        <v>36</v>
      </c>
      <c r="K448">
        <v>0</v>
      </c>
      <c r="L448" s="4">
        <v>15358</v>
      </c>
      <c r="M448">
        <v>1000</v>
      </c>
      <c r="N448">
        <v>14358</v>
      </c>
      <c r="O448" t="s">
        <v>25</v>
      </c>
      <c r="P448">
        <v>4.8</v>
      </c>
      <c r="Q448">
        <v>17</v>
      </c>
      <c r="R448" t="str">
        <f>TEXT(Healthcare_Data[[#This Row],[Visit_Date]],"mmm")</f>
        <v>Jun</v>
      </c>
      <c r="S448">
        <f>MONTH(Healthcare_Data[[#This Row],[Visit_Date]])</f>
        <v>6</v>
      </c>
      <c r="T448" t="str">
        <f>IF(Healthcare_Data[[#This Row],[Final_Bill]]&gt;=50000,"High",IF(Healthcare_Data[[#This Row],[Final_Bill]]&gt;=20000,"Medium","low"))</f>
        <v>low</v>
      </c>
    </row>
    <row r="449" spans="1:20" x14ac:dyDescent="0.3">
      <c r="A449" t="s">
        <v>504</v>
      </c>
      <c r="B449" s="3">
        <v>45820</v>
      </c>
      <c r="C449" t="s">
        <v>54</v>
      </c>
      <c r="D449" t="s">
        <v>39</v>
      </c>
      <c r="E449" t="s">
        <v>52</v>
      </c>
      <c r="F449" t="s">
        <v>40</v>
      </c>
      <c r="G449">
        <v>45</v>
      </c>
      <c r="H449" t="s">
        <v>65</v>
      </c>
      <c r="I449" t="s">
        <v>63</v>
      </c>
      <c r="J449" t="s">
        <v>36</v>
      </c>
      <c r="K449">
        <v>4</v>
      </c>
      <c r="L449" s="4">
        <v>63583</v>
      </c>
      <c r="M449">
        <v>1000</v>
      </c>
      <c r="N449">
        <v>62583</v>
      </c>
      <c r="O449" t="s">
        <v>25</v>
      </c>
      <c r="P449">
        <v>4</v>
      </c>
      <c r="Q449">
        <v>70</v>
      </c>
      <c r="R449" t="str">
        <f>TEXT(Healthcare_Data[[#This Row],[Visit_Date]],"mmm")</f>
        <v>Jun</v>
      </c>
      <c r="S449">
        <f>MONTH(Healthcare_Data[[#This Row],[Visit_Date]])</f>
        <v>6</v>
      </c>
      <c r="T449" t="str">
        <f>IF(Healthcare_Data[[#This Row],[Final_Bill]]&gt;=50000,"High",IF(Healthcare_Data[[#This Row],[Final_Bill]]&gt;=20000,"Medium","low"))</f>
        <v>High</v>
      </c>
    </row>
    <row r="450" spans="1:20" x14ac:dyDescent="0.3">
      <c r="A450" t="s">
        <v>505</v>
      </c>
      <c r="B450" s="3">
        <v>45820</v>
      </c>
      <c r="C450" t="s">
        <v>67</v>
      </c>
      <c r="D450" t="s">
        <v>34</v>
      </c>
      <c r="E450" t="s">
        <v>20</v>
      </c>
      <c r="F450" t="s">
        <v>40</v>
      </c>
      <c r="G450">
        <v>21</v>
      </c>
      <c r="H450" t="s">
        <v>56</v>
      </c>
      <c r="I450" t="s">
        <v>42</v>
      </c>
      <c r="J450" t="s">
        <v>1057</v>
      </c>
      <c r="K450">
        <v>0</v>
      </c>
      <c r="L450" s="4">
        <v>13466</v>
      </c>
      <c r="M450">
        <v>0</v>
      </c>
      <c r="N450">
        <v>13466</v>
      </c>
      <c r="O450" t="s">
        <v>25</v>
      </c>
      <c r="P450">
        <v>4.8</v>
      </c>
      <c r="Q450">
        <v>5</v>
      </c>
      <c r="R450" t="str">
        <f>TEXT(Healthcare_Data[[#This Row],[Visit_Date]],"mmm")</f>
        <v>Jun</v>
      </c>
      <c r="S450">
        <f>MONTH(Healthcare_Data[[#This Row],[Visit_Date]])</f>
        <v>6</v>
      </c>
      <c r="T450" t="str">
        <f>IF(Healthcare_Data[[#This Row],[Final_Bill]]&gt;=50000,"High",IF(Healthcare_Data[[#This Row],[Final_Bill]]&gt;=20000,"Medium","low"))</f>
        <v>low</v>
      </c>
    </row>
    <row r="451" spans="1:20" x14ac:dyDescent="0.3">
      <c r="A451" t="s">
        <v>506</v>
      </c>
      <c r="B451" s="3">
        <v>45820</v>
      </c>
      <c r="C451" t="s">
        <v>27</v>
      </c>
      <c r="D451" t="s">
        <v>39</v>
      </c>
      <c r="E451" t="s">
        <v>20</v>
      </c>
      <c r="F451" t="s">
        <v>40</v>
      </c>
      <c r="G451">
        <v>48</v>
      </c>
      <c r="H451" t="s">
        <v>46</v>
      </c>
      <c r="I451" t="s">
        <v>23</v>
      </c>
      <c r="J451" t="s">
        <v>58</v>
      </c>
      <c r="K451">
        <v>0</v>
      </c>
      <c r="L451" s="4">
        <v>18842</v>
      </c>
      <c r="M451">
        <v>1000</v>
      </c>
      <c r="N451">
        <v>17842</v>
      </c>
      <c r="O451" t="s">
        <v>25</v>
      </c>
      <c r="P451">
        <v>4.5999999999999996</v>
      </c>
      <c r="Q451">
        <v>89</v>
      </c>
      <c r="R451" t="str">
        <f>TEXT(Healthcare_Data[[#This Row],[Visit_Date]],"mmm")</f>
        <v>Jun</v>
      </c>
      <c r="S451">
        <f>MONTH(Healthcare_Data[[#This Row],[Visit_Date]])</f>
        <v>6</v>
      </c>
      <c r="T451" t="str">
        <f>IF(Healthcare_Data[[#This Row],[Final_Bill]]&gt;=50000,"High",IF(Healthcare_Data[[#This Row],[Final_Bill]]&gt;=20000,"Medium","low"))</f>
        <v>low</v>
      </c>
    </row>
    <row r="452" spans="1:20" x14ac:dyDescent="0.3">
      <c r="A452" t="s">
        <v>507</v>
      </c>
      <c r="B452" s="3">
        <v>45821</v>
      </c>
      <c r="C452" t="s">
        <v>27</v>
      </c>
      <c r="D452" t="s">
        <v>19</v>
      </c>
      <c r="E452" t="s">
        <v>20</v>
      </c>
      <c r="F452" t="s">
        <v>21</v>
      </c>
      <c r="G452">
        <v>38</v>
      </c>
      <c r="H452" t="s">
        <v>29</v>
      </c>
      <c r="I452" t="s">
        <v>63</v>
      </c>
      <c r="J452" t="s">
        <v>24</v>
      </c>
      <c r="K452">
        <v>0</v>
      </c>
      <c r="L452" s="4">
        <v>15846</v>
      </c>
      <c r="M452">
        <v>0</v>
      </c>
      <c r="N452">
        <v>15846</v>
      </c>
      <c r="O452" t="s">
        <v>25</v>
      </c>
      <c r="P452">
        <v>3.6</v>
      </c>
      <c r="Q452">
        <v>87</v>
      </c>
      <c r="R452" t="str">
        <f>TEXT(Healthcare_Data[[#This Row],[Visit_Date]],"mmm")</f>
        <v>Jun</v>
      </c>
      <c r="S452">
        <f>MONTH(Healthcare_Data[[#This Row],[Visit_Date]])</f>
        <v>6</v>
      </c>
      <c r="T452" t="str">
        <f>IF(Healthcare_Data[[#This Row],[Final_Bill]]&gt;=50000,"High",IF(Healthcare_Data[[#This Row],[Final_Bill]]&gt;=20000,"Medium","low"))</f>
        <v>low</v>
      </c>
    </row>
    <row r="453" spans="1:20" x14ac:dyDescent="0.3">
      <c r="A453" t="s">
        <v>508</v>
      </c>
      <c r="B453" s="3">
        <v>45821</v>
      </c>
      <c r="C453" t="s">
        <v>48</v>
      </c>
      <c r="D453" t="s">
        <v>34</v>
      </c>
      <c r="E453" t="s">
        <v>54</v>
      </c>
      <c r="F453" t="s">
        <v>21</v>
      </c>
      <c r="G453">
        <v>67</v>
      </c>
      <c r="H453" t="s">
        <v>46</v>
      </c>
      <c r="I453" t="s">
        <v>30</v>
      </c>
      <c r="J453" t="s">
        <v>36</v>
      </c>
      <c r="K453">
        <v>0</v>
      </c>
      <c r="L453" s="4">
        <v>11380</v>
      </c>
      <c r="M453">
        <v>0</v>
      </c>
      <c r="N453">
        <v>11380</v>
      </c>
      <c r="O453" t="s">
        <v>25</v>
      </c>
      <c r="P453">
        <v>4.3</v>
      </c>
      <c r="Q453">
        <v>62</v>
      </c>
      <c r="R453" t="str">
        <f>TEXT(Healthcare_Data[[#This Row],[Visit_Date]],"mmm")</f>
        <v>Jun</v>
      </c>
      <c r="S453">
        <f>MONTH(Healthcare_Data[[#This Row],[Visit_Date]])</f>
        <v>6</v>
      </c>
      <c r="T453" t="str">
        <f>IF(Healthcare_Data[[#This Row],[Final_Bill]]&gt;=50000,"High",IF(Healthcare_Data[[#This Row],[Final_Bill]]&gt;=20000,"Medium","low"))</f>
        <v>low</v>
      </c>
    </row>
    <row r="454" spans="1:20" x14ac:dyDescent="0.3">
      <c r="A454" t="s">
        <v>509</v>
      </c>
      <c r="B454" s="3">
        <v>45821</v>
      </c>
      <c r="C454" t="s">
        <v>48</v>
      </c>
      <c r="D454" t="s">
        <v>19</v>
      </c>
      <c r="E454" t="s">
        <v>52</v>
      </c>
      <c r="F454" t="s">
        <v>40</v>
      </c>
      <c r="G454">
        <v>66</v>
      </c>
      <c r="H454" t="s">
        <v>29</v>
      </c>
      <c r="I454" t="s">
        <v>57</v>
      </c>
      <c r="J454" t="s">
        <v>24</v>
      </c>
      <c r="K454">
        <v>14</v>
      </c>
      <c r="L454" s="4">
        <v>35566</v>
      </c>
      <c r="M454">
        <v>2000</v>
      </c>
      <c r="N454">
        <v>33566</v>
      </c>
      <c r="O454" t="s">
        <v>25</v>
      </c>
      <c r="P454">
        <v>3.3</v>
      </c>
      <c r="Q454">
        <v>111</v>
      </c>
      <c r="R454" t="str">
        <f>TEXT(Healthcare_Data[[#This Row],[Visit_Date]],"mmm")</f>
        <v>Jun</v>
      </c>
      <c r="S454">
        <f>MONTH(Healthcare_Data[[#This Row],[Visit_Date]])</f>
        <v>6</v>
      </c>
      <c r="T454" t="str">
        <f>IF(Healthcare_Data[[#This Row],[Final_Bill]]&gt;=50000,"High",IF(Healthcare_Data[[#This Row],[Final_Bill]]&gt;=20000,"Medium","low"))</f>
        <v>Medium</v>
      </c>
    </row>
    <row r="455" spans="1:20" x14ac:dyDescent="0.3">
      <c r="A455" t="s">
        <v>510</v>
      </c>
      <c r="B455" s="3">
        <v>45822</v>
      </c>
      <c r="C455" t="s">
        <v>27</v>
      </c>
      <c r="D455" t="s">
        <v>39</v>
      </c>
      <c r="E455" t="s">
        <v>52</v>
      </c>
      <c r="F455" t="s">
        <v>40</v>
      </c>
      <c r="G455">
        <v>45</v>
      </c>
      <c r="H455" t="s">
        <v>22</v>
      </c>
      <c r="I455" t="s">
        <v>23</v>
      </c>
      <c r="J455" t="s">
        <v>24</v>
      </c>
      <c r="K455">
        <v>12</v>
      </c>
      <c r="L455" s="4">
        <v>68232</v>
      </c>
      <c r="M455">
        <v>0</v>
      </c>
      <c r="N455">
        <v>68232</v>
      </c>
      <c r="O455" t="s">
        <v>25</v>
      </c>
      <c r="P455">
        <v>3.4</v>
      </c>
      <c r="Q455">
        <v>84</v>
      </c>
      <c r="R455" t="str">
        <f>TEXT(Healthcare_Data[[#This Row],[Visit_Date]],"mmm")</f>
        <v>Jun</v>
      </c>
      <c r="S455">
        <f>MONTH(Healthcare_Data[[#This Row],[Visit_Date]])</f>
        <v>6</v>
      </c>
      <c r="T455" t="str">
        <f>IF(Healthcare_Data[[#This Row],[Final_Bill]]&gt;=50000,"High",IF(Healthcare_Data[[#This Row],[Final_Bill]]&gt;=20000,"Medium","low"))</f>
        <v>High</v>
      </c>
    </row>
    <row r="456" spans="1:20" x14ac:dyDescent="0.3">
      <c r="A456" t="s">
        <v>511</v>
      </c>
      <c r="B456" s="3">
        <v>45822</v>
      </c>
      <c r="C456" t="s">
        <v>18</v>
      </c>
      <c r="D456" t="s">
        <v>34</v>
      </c>
      <c r="E456" t="s">
        <v>54</v>
      </c>
      <c r="F456" t="s">
        <v>40</v>
      </c>
      <c r="G456">
        <v>51</v>
      </c>
      <c r="H456" t="s">
        <v>46</v>
      </c>
      <c r="I456" t="s">
        <v>72</v>
      </c>
      <c r="J456" t="s">
        <v>31</v>
      </c>
      <c r="K456">
        <v>0</v>
      </c>
      <c r="L456" s="4">
        <v>40872</v>
      </c>
      <c r="M456">
        <v>0</v>
      </c>
      <c r="N456">
        <v>40872</v>
      </c>
      <c r="O456" t="s">
        <v>25</v>
      </c>
      <c r="P456">
        <v>3.5</v>
      </c>
      <c r="Q456">
        <v>42</v>
      </c>
      <c r="R456" t="str">
        <f>TEXT(Healthcare_Data[[#This Row],[Visit_Date]],"mmm")</f>
        <v>Jun</v>
      </c>
      <c r="S456">
        <f>MONTH(Healthcare_Data[[#This Row],[Visit_Date]])</f>
        <v>6</v>
      </c>
      <c r="T456" t="str">
        <f>IF(Healthcare_Data[[#This Row],[Final_Bill]]&gt;=50000,"High",IF(Healthcare_Data[[#This Row],[Final_Bill]]&gt;=20000,"Medium","low"))</f>
        <v>Medium</v>
      </c>
    </row>
    <row r="457" spans="1:20" x14ac:dyDescent="0.3">
      <c r="A457" t="s">
        <v>512</v>
      </c>
      <c r="B457" s="3">
        <v>45822</v>
      </c>
      <c r="C457" t="s">
        <v>44</v>
      </c>
      <c r="D457" t="s">
        <v>28</v>
      </c>
      <c r="E457" t="s">
        <v>20</v>
      </c>
      <c r="F457" t="s">
        <v>21</v>
      </c>
      <c r="G457">
        <v>57</v>
      </c>
      <c r="H457" t="s">
        <v>29</v>
      </c>
      <c r="I457" t="s">
        <v>69</v>
      </c>
      <c r="J457" t="s">
        <v>24</v>
      </c>
      <c r="K457">
        <v>0</v>
      </c>
      <c r="L457" s="4">
        <v>1573</v>
      </c>
      <c r="M457">
        <v>500</v>
      </c>
      <c r="N457">
        <v>1073</v>
      </c>
      <c r="O457" t="s">
        <v>25</v>
      </c>
      <c r="P457">
        <v>4.7</v>
      </c>
      <c r="Q457">
        <v>11</v>
      </c>
      <c r="R457" t="str">
        <f>TEXT(Healthcare_Data[[#This Row],[Visit_Date]],"mmm")</f>
        <v>Jun</v>
      </c>
      <c r="S457">
        <f>MONTH(Healthcare_Data[[#This Row],[Visit_Date]])</f>
        <v>6</v>
      </c>
      <c r="T457" t="str">
        <f>IF(Healthcare_Data[[#This Row],[Final_Bill]]&gt;=50000,"High",IF(Healthcare_Data[[#This Row],[Final_Bill]]&gt;=20000,"Medium","low"))</f>
        <v>low</v>
      </c>
    </row>
    <row r="458" spans="1:20" x14ac:dyDescent="0.3">
      <c r="A458" t="s">
        <v>513</v>
      </c>
      <c r="B458" s="3">
        <v>45823</v>
      </c>
      <c r="C458" t="s">
        <v>67</v>
      </c>
      <c r="D458" t="s">
        <v>19</v>
      </c>
      <c r="E458" t="s">
        <v>20</v>
      </c>
      <c r="F458" t="s">
        <v>40</v>
      </c>
      <c r="G458">
        <v>21</v>
      </c>
      <c r="H458" t="s">
        <v>65</v>
      </c>
      <c r="I458" t="s">
        <v>57</v>
      </c>
      <c r="J458" t="s">
        <v>31</v>
      </c>
      <c r="K458">
        <v>0</v>
      </c>
      <c r="L458" s="4">
        <v>14322</v>
      </c>
      <c r="M458">
        <v>0</v>
      </c>
      <c r="N458">
        <v>14322</v>
      </c>
      <c r="O458" t="s">
        <v>25</v>
      </c>
      <c r="P458">
        <v>2.9</v>
      </c>
      <c r="Q458">
        <v>26</v>
      </c>
      <c r="R458" t="str">
        <f>TEXT(Healthcare_Data[[#This Row],[Visit_Date]],"mmm")</f>
        <v>Jun</v>
      </c>
      <c r="S458">
        <f>MONTH(Healthcare_Data[[#This Row],[Visit_Date]])</f>
        <v>6</v>
      </c>
      <c r="T458" t="str">
        <f>IF(Healthcare_Data[[#This Row],[Final_Bill]]&gt;=50000,"High",IF(Healthcare_Data[[#This Row],[Final_Bill]]&gt;=20000,"Medium","low"))</f>
        <v>low</v>
      </c>
    </row>
    <row r="459" spans="1:20" x14ac:dyDescent="0.3">
      <c r="A459" t="s">
        <v>514</v>
      </c>
      <c r="B459" s="3">
        <v>45824</v>
      </c>
      <c r="C459" t="s">
        <v>18</v>
      </c>
      <c r="D459" t="s">
        <v>39</v>
      </c>
      <c r="E459" t="s">
        <v>20</v>
      </c>
      <c r="F459" t="s">
        <v>40</v>
      </c>
      <c r="G459">
        <v>51</v>
      </c>
      <c r="H459" t="s">
        <v>41</v>
      </c>
      <c r="I459" t="s">
        <v>42</v>
      </c>
      <c r="J459" t="s">
        <v>31</v>
      </c>
      <c r="K459">
        <v>0</v>
      </c>
      <c r="L459" s="4">
        <v>19029</v>
      </c>
      <c r="M459">
        <v>1500</v>
      </c>
      <c r="N459">
        <v>17529</v>
      </c>
      <c r="O459" t="s">
        <v>25</v>
      </c>
      <c r="P459">
        <v>2.7</v>
      </c>
      <c r="Q459">
        <v>66</v>
      </c>
      <c r="R459" t="str">
        <f>TEXT(Healthcare_Data[[#This Row],[Visit_Date]],"mmm")</f>
        <v>Jun</v>
      </c>
      <c r="S459">
        <f>MONTH(Healthcare_Data[[#This Row],[Visit_Date]])</f>
        <v>6</v>
      </c>
      <c r="T459" t="str">
        <f>IF(Healthcare_Data[[#This Row],[Final_Bill]]&gt;=50000,"High",IF(Healthcare_Data[[#This Row],[Final_Bill]]&gt;=20000,"Medium","low"))</f>
        <v>low</v>
      </c>
    </row>
    <row r="460" spans="1:20" x14ac:dyDescent="0.3">
      <c r="A460" t="s">
        <v>515</v>
      </c>
      <c r="B460" s="3">
        <v>45824</v>
      </c>
      <c r="C460" t="s">
        <v>27</v>
      </c>
      <c r="D460" t="s">
        <v>19</v>
      </c>
      <c r="E460" t="s">
        <v>52</v>
      </c>
      <c r="F460" t="s">
        <v>40</v>
      </c>
      <c r="G460">
        <v>71</v>
      </c>
      <c r="H460" t="s">
        <v>29</v>
      </c>
      <c r="I460" t="s">
        <v>72</v>
      </c>
      <c r="J460" t="s">
        <v>36</v>
      </c>
      <c r="K460">
        <v>13</v>
      </c>
      <c r="L460" s="4">
        <v>20283</v>
      </c>
      <c r="M460">
        <v>1000</v>
      </c>
      <c r="N460">
        <v>19283</v>
      </c>
      <c r="O460" t="s">
        <v>59</v>
      </c>
      <c r="P460">
        <v>4.2</v>
      </c>
      <c r="Q460">
        <v>5</v>
      </c>
      <c r="R460" t="str">
        <f>TEXT(Healthcare_Data[[#This Row],[Visit_Date]],"mmm")</f>
        <v>Jun</v>
      </c>
      <c r="S460">
        <f>MONTH(Healthcare_Data[[#This Row],[Visit_Date]])</f>
        <v>6</v>
      </c>
      <c r="T460" t="str">
        <f>IF(Healthcare_Data[[#This Row],[Final_Bill]]&gt;=50000,"High",IF(Healthcare_Data[[#This Row],[Final_Bill]]&gt;=20000,"Medium","low"))</f>
        <v>low</v>
      </c>
    </row>
    <row r="461" spans="1:20" x14ac:dyDescent="0.3">
      <c r="A461" t="s">
        <v>516</v>
      </c>
      <c r="B461" s="3">
        <v>45825</v>
      </c>
      <c r="C461" t="s">
        <v>67</v>
      </c>
      <c r="D461" t="s">
        <v>28</v>
      </c>
      <c r="E461" t="s">
        <v>20</v>
      </c>
      <c r="F461" t="s">
        <v>40</v>
      </c>
      <c r="G461">
        <v>26</v>
      </c>
      <c r="H461" t="s">
        <v>22</v>
      </c>
      <c r="I461" t="s">
        <v>57</v>
      </c>
      <c r="J461" t="s">
        <v>31</v>
      </c>
      <c r="K461">
        <v>0</v>
      </c>
      <c r="L461" s="4">
        <v>16812</v>
      </c>
      <c r="M461">
        <v>1000</v>
      </c>
      <c r="N461">
        <v>15812</v>
      </c>
      <c r="O461" t="s">
        <v>25</v>
      </c>
      <c r="P461">
        <v>3.2</v>
      </c>
      <c r="Q461">
        <v>40</v>
      </c>
      <c r="R461" t="str">
        <f>TEXT(Healthcare_Data[[#This Row],[Visit_Date]],"mmm")</f>
        <v>Jun</v>
      </c>
      <c r="S461">
        <f>MONTH(Healthcare_Data[[#This Row],[Visit_Date]])</f>
        <v>6</v>
      </c>
      <c r="T461" t="str">
        <f>IF(Healthcare_Data[[#This Row],[Final_Bill]]&gt;=50000,"High",IF(Healthcare_Data[[#This Row],[Final_Bill]]&gt;=20000,"Medium","low"))</f>
        <v>low</v>
      </c>
    </row>
    <row r="462" spans="1:20" x14ac:dyDescent="0.3">
      <c r="A462" t="s">
        <v>517</v>
      </c>
      <c r="B462" s="3">
        <v>45825</v>
      </c>
      <c r="C462" t="s">
        <v>44</v>
      </c>
      <c r="D462" t="s">
        <v>39</v>
      </c>
      <c r="E462" t="s">
        <v>20</v>
      </c>
      <c r="F462" t="s">
        <v>40</v>
      </c>
      <c r="G462">
        <v>42</v>
      </c>
      <c r="H462" t="s">
        <v>46</v>
      </c>
      <c r="I462" t="s">
        <v>61</v>
      </c>
      <c r="J462" t="s">
        <v>36</v>
      </c>
      <c r="K462">
        <v>0</v>
      </c>
      <c r="L462" s="4">
        <v>15360</v>
      </c>
      <c r="M462">
        <v>1500</v>
      </c>
      <c r="N462">
        <v>13860</v>
      </c>
      <c r="O462" t="s">
        <v>25</v>
      </c>
      <c r="P462">
        <v>3.6</v>
      </c>
      <c r="Q462">
        <v>34</v>
      </c>
      <c r="R462" t="str">
        <f>TEXT(Healthcare_Data[[#This Row],[Visit_Date]],"mmm")</f>
        <v>Jun</v>
      </c>
      <c r="S462">
        <f>MONTH(Healthcare_Data[[#This Row],[Visit_Date]])</f>
        <v>6</v>
      </c>
      <c r="T462" t="str">
        <f>IF(Healthcare_Data[[#This Row],[Final_Bill]]&gt;=50000,"High",IF(Healthcare_Data[[#This Row],[Final_Bill]]&gt;=20000,"Medium","low"))</f>
        <v>low</v>
      </c>
    </row>
    <row r="463" spans="1:20" x14ac:dyDescent="0.3">
      <c r="A463" t="s">
        <v>518</v>
      </c>
      <c r="B463" s="3">
        <v>45826</v>
      </c>
      <c r="C463" t="s">
        <v>54</v>
      </c>
      <c r="D463" t="s">
        <v>19</v>
      </c>
      <c r="E463" t="s">
        <v>20</v>
      </c>
      <c r="F463" t="s">
        <v>21</v>
      </c>
      <c r="G463">
        <v>33</v>
      </c>
      <c r="H463" t="s">
        <v>41</v>
      </c>
      <c r="I463" t="s">
        <v>57</v>
      </c>
      <c r="J463" t="s">
        <v>24</v>
      </c>
      <c r="K463">
        <v>0</v>
      </c>
      <c r="L463" s="4">
        <v>7144</v>
      </c>
      <c r="M463">
        <v>0</v>
      </c>
      <c r="N463">
        <v>7144</v>
      </c>
      <c r="O463" t="s">
        <v>25</v>
      </c>
      <c r="P463">
        <v>3.5</v>
      </c>
      <c r="Q463">
        <v>11</v>
      </c>
      <c r="R463" t="str">
        <f>TEXT(Healthcare_Data[[#This Row],[Visit_Date]],"mmm")</f>
        <v>Jun</v>
      </c>
      <c r="S463">
        <f>MONTH(Healthcare_Data[[#This Row],[Visit_Date]])</f>
        <v>6</v>
      </c>
      <c r="T463" t="str">
        <f>IF(Healthcare_Data[[#This Row],[Final_Bill]]&gt;=50000,"High",IF(Healthcare_Data[[#This Row],[Final_Bill]]&gt;=20000,"Medium","low"))</f>
        <v>low</v>
      </c>
    </row>
    <row r="464" spans="1:20" x14ac:dyDescent="0.3">
      <c r="A464" t="s">
        <v>519</v>
      </c>
      <c r="B464" s="3">
        <v>45827</v>
      </c>
      <c r="C464" t="s">
        <v>38</v>
      </c>
      <c r="D464" t="s">
        <v>34</v>
      </c>
      <c r="E464" t="s">
        <v>20</v>
      </c>
      <c r="F464" t="s">
        <v>40</v>
      </c>
      <c r="G464">
        <v>36</v>
      </c>
      <c r="H464" t="s">
        <v>41</v>
      </c>
      <c r="I464" t="s">
        <v>42</v>
      </c>
      <c r="J464" t="s">
        <v>1057</v>
      </c>
      <c r="K464">
        <v>0</v>
      </c>
      <c r="L464" s="4">
        <v>7432</v>
      </c>
      <c r="M464">
        <v>500</v>
      </c>
      <c r="N464">
        <v>6932</v>
      </c>
      <c r="O464" t="s">
        <v>25</v>
      </c>
      <c r="P464">
        <v>2.5</v>
      </c>
      <c r="Q464">
        <v>59</v>
      </c>
      <c r="R464" t="str">
        <f>TEXT(Healthcare_Data[[#This Row],[Visit_Date]],"mmm")</f>
        <v>Jun</v>
      </c>
      <c r="S464">
        <f>MONTH(Healthcare_Data[[#This Row],[Visit_Date]])</f>
        <v>6</v>
      </c>
      <c r="T464" t="str">
        <f>IF(Healthcare_Data[[#This Row],[Final_Bill]]&gt;=50000,"High",IF(Healthcare_Data[[#This Row],[Final_Bill]]&gt;=20000,"Medium","low"))</f>
        <v>low</v>
      </c>
    </row>
    <row r="465" spans="1:20" x14ac:dyDescent="0.3">
      <c r="A465" t="s">
        <v>520</v>
      </c>
      <c r="B465" s="3">
        <v>45827</v>
      </c>
      <c r="C465" t="s">
        <v>50</v>
      </c>
      <c r="D465" t="s">
        <v>28</v>
      </c>
      <c r="E465" t="s">
        <v>20</v>
      </c>
      <c r="F465" t="s">
        <v>40</v>
      </c>
      <c r="G465">
        <v>44</v>
      </c>
      <c r="H465" t="s">
        <v>65</v>
      </c>
      <c r="I465" t="s">
        <v>23</v>
      </c>
      <c r="J465" t="s">
        <v>58</v>
      </c>
      <c r="K465">
        <v>0</v>
      </c>
      <c r="L465" s="4">
        <v>10474</v>
      </c>
      <c r="M465">
        <v>500</v>
      </c>
      <c r="N465">
        <v>9974</v>
      </c>
      <c r="O465" t="s">
        <v>25</v>
      </c>
      <c r="P465">
        <v>2.9</v>
      </c>
      <c r="Q465">
        <v>38</v>
      </c>
      <c r="R465" t="str">
        <f>TEXT(Healthcare_Data[[#This Row],[Visit_Date]],"mmm")</f>
        <v>Jun</v>
      </c>
      <c r="S465">
        <f>MONTH(Healthcare_Data[[#This Row],[Visit_Date]])</f>
        <v>6</v>
      </c>
      <c r="T465" t="str">
        <f>IF(Healthcare_Data[[#This Row],[Final_Bill]]&gt;=50000,"High",IF(Healthcare_Data[[#This Row],[Final_Bill]]&gt;=20000,"Medium","low"))</f>
        <v>low</v>
      </c>
    </row>
    <row r="466" spans="1:20" x14ac:dyDescent="0.3">
      <c r="A466" t="s">
        <v>521</v>
      </c>
      <c r="B466" s="3">
        <v>45827</v>
      </c>
      <c r="C466" t="s">
        <v>38</v>
      </c>
      <c r="D466" t="s">
        <v>19</v>
      </c>
      <c r="E466" t="s">
        <v>20</v>
      </c>
      <c r="F466" t="s">
        <v>40</v>
      </c>
      <c r="G466">
        <v>30</v>
      </c>
      <c r="H466" t="s">
        <v>41</v>
      </c>
      <c r="I466" t="s">
        <v>63</v>
      </c>
      <c r="J466" t="s">
        <v>24</v>
      </c>
      <c r="K466">
        <v>0</v>
      </c>
      <c r="L466" s="4">
        <v>3126</v>
      </c>
      <c r="M466">
        <v>500</v>
      </c>
      <c r="N466">
        <v>2626</v>
      </c>
      <c r="O466" t="s">
        <v>25</v>
      </c>
      <c r="P466">
        <v>3.9</v>
      </c>
      <c r="Q466">
        <v>21</v>
      </c>
      <c r="R466" t="str">
        <f>TEXT(Healthcare_Data[[#This Row],[Visit_Date]],"mmm")</f>
        <v>Jun</v>
      </c>
      <c r="S466">
        <f>MONTH(Healthcare_Data[[#This Row],[Visit_Date]])</f>
        <v>6</v>
      </c>
      <c r="T466" t="str">
        <f>IF(Healthcare_Data[[#This Row],[Final_Bill]]&gt;=50000,"High",IF(Healthcare_Data[[#This Row],[Final_Bill]]&gt;=20000,"Medium","low"))</f>
        <v>low</v>
      </c>
    </row>
    <row r="467" spans="1:20" x14ac:dyDescent="0.3">
      <c r="A467" t="s">
        <v>522</v>
      </c>
      <c r="B467" s="3">
        <v>45827</v>
      </c>
      <c r="C467" t="s">
        <v>67</v>
      </c>
      <c r="D467" t="s">
        <v>34</v>
      </c>
      <c r="E467" t="s">
        <v>52</v>
      </c>
      <c r="F467" t="s">
        <v>40</v>
      </c>
      <c r="G467">
        <v>63</v>
      </c>
      <c r="H467" t="s">
        <v>46</v>
      </c>
      <c r="I467" t="s">
        <v>72</v>
      </c>
      <c r="J467" t="s">
        <v>31</v>
      </c>
      <c r="K467">
        <v>13</v>
      </c>
      <c r="L467" s="4">
        <v>22338</v>
      </c>
      <c r="M467">
        <v>1000</v>
      </c>
      <c r="N467">
        <v>21338</v>
      </c>
      <c r="O467" t="s">
        <v>25</v>
      </c>
      <c r="P467">
        <v>4.5</v>
      </c>
      <c r="Q467">
        <v>99</v>
      </c>
      <c r="R467" t="str">
        <f>TEXT(Healthcare_Data[[#This Row],[Visit_Date]],"mmm")</f>
        <v>Jun</v>
      </c>
      <c r="S467">
        <f>MONTH(Healthcare_Data[[#This Row],[Visit_Date]])</f>
        <v>6</v>
      </c>
      <c r="T467" t="str">
        <f>IF(Healthcare_Data[[#This Row],[Final_Bill]]&gt;=50000,"High",IF(Healthcare_Data[[#This Row],[Final_Bill]]&gt;=20000,"Medium","low"))</f>
        <v>Medium</v>
      </c>
    </row>
    <row r="468" spans="1:20" x14ac:dyDescent="0.3">
      <c r="A468" t="s">
        <v>523</v>
      </c>
      <c r="B468" s="3">
        <v>45827</v>
      </c>
      <c r="C468" t="s">
        <v>38</v>
      </c>
      <c r="D468" t="s">
        <v>28</v>
      </c>
      <c r="E468" t="s">
        <v>52</v>
      </c>
      <c r="F468" t="s">
        <v>21</v>
      </c>
      <c r="G468">
        <v>46</v>
      </c>
      <c r="H468" t="s">
        <v>65</v>
      </c>
      <c r="I468" t="s">
        <v>42</v>
      </c>
      <c r="J468" t="s">
        <v>31</v>
      </c>
      <c r="K468">
        <v>8</v>
      </c>
      <c r="L468" s="4">
        <v>70991</v>
      </c>
      <c r="M468">
        <v>1000</v>
      </c>
      <c r="N468">
        <v>69991</v>
      </c>
      <c r="O468" t="s">
        <v>25</v>
      </c>
      <c r="P468">
        <v>3.1</v>
      </c>
      <c r="Q468">
        <v>71</v>
      </c>
      <c r="R468" t="str">
        <f>TEXT(Healthcare_Data[[#This Row],[Visit_Date]],"mmm")</f>
        <v>Jun</v>
      </c>
      <c r="S468">
        <f>MONTH(Healthcare_Data[[#This Row],[Visit_Date]])</f>
        <v>6</v>
      </c>
      <c r="T468" t="str">
        <f>IF(Healthcare_Data[[#This Row],[Final_Bill]]&gt;=50000,"High",IF(Healthcare_Data[[#This Row],[Final_Bill]]&gt;=20000,"Medium","low"))</f>
        <v>High</v>
      </c>
    </row>
    <row r="469" spans="1:20" x14ac:dyDescent="0.3">
      <c r="A469" t="s">
        <v>524</v>
      </c>
      <c r="B469" s="3">
        <v>45827</v>
      </c>
      <c r="C469" t="s">
        <v>54</v>
      </c>
      <c r="D469" t="s">
        <v>19</v>
      </c>
      <c r="E469" t="s">
        <v>20</v>
      </c>
      <c r="F469" t="s">
        <v>40</v>
      </c>
      <c r="G469">
        <v>56</v>
      </c>
      <c r="H469" t="s">
        <v>35</v>
      </c>
      <c r="I469" t="s">
        <v>63</v>
      </c>
      <c r="J469" t="s">
        <v>58</v>
      </c>
      <c r="K469">
        <v>0</v>
      </c>
      <c r="L469" s="4">
        <v>4995</v>
      </c>
      <c r="M469">
        <v>0</v>
      </c>
      <c r="N469">
        <v>4995</v>
      </c>
      <c r="O469" t="s">
        <v>25</v>
      </c>
      <c r="P469">
        <v>4.9000000000000004</v>
      </c>
      <c r="Q469">
        <v>17</v>
      </c>
      <c r="R469" t="str">
        <f>TEXT(Healthcare_Data[[#This Row],[Visit_Date]],"mmm")</f>
        <v>Jun</v>
      </c>
      <c r="S469">
        <f>MONTH(Healthcare_Data[[#This Row],[Visit_Date]])</f>
        <v>6</v>
      </c>
      <c r="T469" t="str">
        <f>IF(Healthcare_Data[[#This Row],[Final_Bill]]&gt;=50000,"High",IF(Healthcare_Data[[#This Row],[Final_Bill]]&gt;=20000,"Medium","low"))</f>
        <v>low</v>
      </c>
    </row>
    <row r="470" spans="1:20" x14ac:dyDescent="0.3">
      <c r="A470" t="s">
        <v>525</v>
      </c>
      <c r="B470" s="3">
        <v>45828</v>
      </c>
      <c r="C470" t="s">
        <v>67</v>
      </c>
      <c r="D470" t="s">
        <v>34</v>
      </c>
      <c r="E470" t="s">
        <v>20</v>
      </c>
      <c r="F470" t="s">
        <v>40</v>
      </c>
      <c r="G470">
        <v>32</v>
      </c>
      <c r="H470" t="s">
        <v>22</v>
      </c>
      <c r="I470" t="s">
        <v>23</v>
      </c>
      <c r="J470" t="s">
        <v>58</v>
      </c>
      <c r="K470">
        <v>0</v>
      </c>
      <c r="L470" s="4">
        <v>6357</v>
      </c>
      <c r="M470">
        <v>1000</v>
      </c>
      <c r="N470">
        <v>5357</v>
      </c>
      <c r="O470" t="s">
        <v>25</v>
      </c>
      <c r="P470">
        <v>3.9</v>
      </c>
      <c r="Q470">
        <v>66</v>
      </c>
      <c r="R470" t="str">
        <f>TEXT(Healthcare_Data[[#This Row],[Visit_Date]],"mmm")</f>
        <v>Jun</v>
      </c>
      <c r="S470">
        <f>MONTH(Healthcare_Data[[#This Row],[Visit_Date]])</f>
        <v>6</v>
      </c>
      <c r="T470" t="str">
        <f>IF(Healthcare_Data[[#This Row],[Final_Bill]]&gt;=50000,"High",IF(Healthcare_Data[[#This Row],[Final_Bill]]&gt;=20000,"Medium","low"))</f>
        <v>low</v>
      </c>
    </row>
    <row r="471" spans="1:20" x14ac:dyDescent="0.3">
      <c r="A471" t="s">
        <v>526</v>
      </c>
      <c r="B471" s="3">
        <v>45829</v>
      </c>
      <c r="C471" t="s">
        <v>27</v>
      </c>
      <c r="D471" t="s">
        <v>19</v>
      </c>
      <c r="E471" t="s">
        <v>20</v>
      </c>
      <c r="F471" t="s">
        <v>21</v>
      </c>
      <c r="G471">
        <v>66</v>
      </c>
      <c r="H471" t="s">
        <v>65</v>
      </c>
      <c r="I471" t="s">
        <v>42</v>
      </c>
      <c r="J471" t="s">
        <v>31</v>
      </c>
      <c r="K471">
        <v>0</v>
      </c>
      <c r="L471" s="4">
        <v>14773</v>
      </c>
      <c r="M471">
        <v>0</v>
      </c>
      <c r="N471">
        <v>14773</v>
      </c>
      <c r="O471" t="s">
        <v>59</v>
      </c>
      <c r="P471">
        <v>4.2</v>
      </c>
      <c r="Q471">
        <v>73</v>
      </c>
      <c r="R471" t="str">
        <f>TEXT(Healthcare_Data[[#This Row],[Visit_Date]],"mmm")</f>
        <v>Jun</v>
      </c>
      <c r="S471">
        <f>MONTH(Healthcare_Data[[#This Row],[Visit_Date]])</f>
        <v>6</v>
      </c>
      <c r="T471" t="str">
        <f>IF(Healthcare_Data[[#This Row],[Final_Bill]]&gt;=50000,"High",IF(Healthcare_Data[[#This Row],[Final_Bill]]&gt;=20000,"Medium","low"))</f>
        <v>low</v>
      </c>
    </row>
    <row r="472" spans="1:20" x14ac:dyDescent="0.3">
      <c r="A472" t="s">
        <v>527</v>
      </c>
      <c r="B472" s="3">
        <v>45829</v>
      </c>
      <c r="C472" t="s">
        <v>27</v>
      </c>
      <c r="D472" t="s">
        <v>39</v>
      </c>
      <c r="E472" t="s">
        <v>52</v>
      </c>
      <c r="F472" t="s">
        <v>21</v>
      </c>
      <c r="G472">
        <v>20</v>
      </c>
      <c r="H472" t="s">
        <v>41</v>
      </c>
      <c r="I472" t="s">
        <v>61</v>
      </c>
      <c r="J472" t="s">
        <v>24</v>
      </c>
      <c r="K472">
        <v>2</v>
      </c>
      <c r="L472" s="4">
        <v>52138</v>
      </c>
      <c r="M472">
        <v>2000</v>
      </c>
      <c r="N472">
        <v>50138</v>
      </c>
      <c r="O472" t="s">
        <v>32</v>
      </c>
      <c r="P472">
        <v>4.4000000000000004</v>
      </c>
      <c r="Q472">
        <v>47</v>
      </c>
      <c r="R472" t="str">
        <f>TEXT(Healthcare_Data[[#This Row],[Visit_Date]],"mmm")</f>
        <v>Jun</v>
      </c>
      <c r="S472">
        <f>MONTH(Healthcare_Data[[#This Row],[Visit_Date]])</f>
        <v>6</v>
      </c>
      <c r="T472" t="str">
        <f>IF(Healthcare_Data[[#This Row],[Final_Bill]]&gt;=50000,"High",IF(Healthcare_Data[[#This Row],[Final_Bill]]&gt;=20000,"Medium","low"))</f>
        <v>High</v>
      </c>
    </row>
    <row r="473" spans="1:20" x14ac:dyDescent="0.3">
      <c r="A473" t="s">
        <v>528</v>
      </c>
      <c r="B473" s="3">
        <v>45829</v>
      </c>
      <c r="C473" t="s">
        <v>44</v>
      </c>
      <c r="D473" t="s">
        <v>51</v>
      </c>
      <c r="E473" t="s">
        <v>52</v>
      </c>
      <c r="F473" t="s">
        <v>40</v>
      </c>
      <c r="G473">
        <v>77</v>
      </c>
      <c r="H473" t="s">
        <v>29</v>
      </c>
      <c r="I473" t="s">
        <v>23</v>
      </c>
      <c r="J473" t="s">
        <v>24</v>
      </c>
      <c r="K473">
        <v>13</v>
      </c>
      <c r="L473" s="4">
        <v>55891</v>
      </c>
      <c r="M473">
        <v>1000</v>
      </c>
      <c r="N473">
        <v>54891</v>
      </c>
      <c r="O473" t="s">
        <v>32</v>
      </c>
      <c r="P473">
        <v>2.6</v>
      </c>
      <c r="Q473">
        <v>96</v>
      </c>
      <c r="R473" t="str">
        <f>TEXT(Healthcare_Data[[#This Row],[Visit_Date]],"mmm")</f>
        <v>Jun</v>
      </c>
      <c r="S473">
        <f>MONTH(Healthcare_Data[[#This Row],[Visit_Date]])</f>
        <v>6</v>
      </c>
      <c r="T473" t="str">
        <f>IF(Healthcare_Data[[#This Row],[Final_Bill]]&gt;=50000,"High",IF(Healthcare_Data[[#This Row],[Final_Bill]]&gt;=20000,"Medium","low"))</f>
        <v>High</v>
      </c>
    </row>
    <row r="474" spans="1:20" x14ac:dyDescent="0.3">
      <c r="A474" t="s">
        <v>529</v>
      </c>
      <c r="B474" s="3">
        <v>45829</v>
      </c>
      <c r="C474" t="s">
        <v>44</v>
      </c>
      <c r="D474" t="s">
        <v>28</v>
      </c>
      <c r="E474" t="s">
        <v>20</v>
      </c>
      <c r="F474" t="s">
        <v>21</v>
      </c>
      <c r="G474">
        <v>40</v>
      </c>
      <c r="H474" t="s">
        <v>22</v>
      </c>
      <c r="I474" t="s">
        <v>61</v>
      </c>
      <c r="J474" t="s">
        <v>58</v>
      </c>
      <c r="K474">
        <v>0</v>
      </c>
      <c r="L474" s="4">
        <v>10081</v>
      </c>
      <c r="M474">
        <v>0</v>
      </c>
      <c r="N474">
        <v>10081</v>
      </c>
      <c r="O474" t="s">
        <v>25</v>
      </c>
      <c r="P474">
        <v>3.7</v>
      </c>
      <c r="Q474">
        <v>30</v>
      </c>
      <c r="R474" t="str">
        <f>TEXT(Healthcare_Data[[#This Row],[Visit_Date]],"mmm")</f>
        <v>Jun</v>
      </c>
      <c r="S474">
        <f>MONTH(Healthcare_Data[[#This Row],[Visit_Date]])</f>
        <v>6</v>
      </c>
      <c r="T474" t="str">
        <f>IF(Healthcare_Data[[#This Row],[Final_Bill]]&gt;=50000,"High",IF(Healthcare_Data[[#This Row],[Final_Bill]]&gt;=20000,"Medium","low"))</f>
        <v>low</v>
      </c>
    </row>
    <row r="475" spans="1:20" x14ac:dyDescent="0.3">
      <c r="A475" t="s">
        <v>530</v>
      </c>
      <c r="B475" s="3">
        <v>45830</v>
      </c>
      <c r="C475" t="s">
        <v>50</v>
      </c>
      <c r="D475" t="s">
        <v>39</v>
      </c>
      <c r="E475" t="s">
        <v>52</v>
      </c>
      <c r="F475" t="s">
        <v>40</v>
      </c>
      <c r="G475">
        <v>52</v>
      </c>
      <c r="H475" t="s">
        <v>46</v>
      </c>
      <c r="I475" t="s">
        <v>69</v>
      </c>
      <c r="J475" t="s">
        <v>24</v>
      </c>
      <c r="K475">
        <v>5</v>
      </c>
      <c r="L475" s="4">
        <v>78032</v>
      </c>
      <c r="M475">
        <v>0</v>
      </c>
      <c r="N475">
        <v>78032</v>
      </c>
      <c r="O475" t="s">
        <v>25</v>
      </c>
      <c r="P475">
        <v>4.2</v>
      </c>
      <c r="Q475">
        <v>117</v>
      </c>
      <c r="R475" t="str">
        <f>TEXT(Healthcare_Data[[#This Row],[Visit_Date]],"mmm")</f>
        <v>Jun</v>
      </c>
      <c r="S475">
        <f>MONTH(Healthcare_Data[[#This Row],[Visit_Date]])</f>
        <v>6</v>
      </c>
      <c r="T475" t="str">
        <f>IF(Healthcare_Data[[#This Row],[Final_Bill]]&gt;=50000,"High",IF(Healthcare_Data[[#This Row],[Final_Bill]]&gt;=20000,"Medium","low"))</f>
        <v>High</v>
      </c>
    </row>
    <row r="476" spans="1:20" x14ac:dyDescent="0.3">
      <c r="A476" t="s">
        <v>531</v>
      </c>
      <c r="B476" s="3">
        <v>45830</v>
      </c>
      <c r="C476" t="s">
        <v>18</v>
      </c>
      <c r="D476" t="s">
        <v>34</v>
      </c>
      <c r="E476" t="s">
        <v>20</v>
      </c>
      <c r="F476" t="s">
        <v>40</v>
      </c>
      <c r="G476">
        <v>55</v>
      </c>
      <c r="H476" t="s">
        <v>56</v>
      </c>
      <c r="I476" t="s">
        <v>23</v>
      </c>
      <c r="J476" t="s">
        <v>58</v>
      </c>
      <c r="K476">
        <v>0</v>
      </c>
      <c r="L476" s="4">
        <v>13512</v>
      </c>
      <c r="M476">
        <v>0</v>
      </c>
      <c r="N476">
        <v>13512</v>
      </c>
      <c r="O476" t="s">
        <v>25</v>
      </c>
      <c r="P476">
        <v>2.6</v>
      </c>
      <c r="Q476">
        <v>100</v>
      </c>
      <c r="R476" t="str">
        <f>TEXT(Healthcare_Data[[#This Row],[Visit_Date]],"mmm")</f>
        <v>Jun</v>
      </c>
      <c r="S476">
        <f>MONTH(Healthcare_Data[[#This Row],[Visit_Date]])</f>
        <v>6</v>
      </c>
      <c r="T476" t="str">
        <f>IF(Healthcare_Data[[#This Row],[Final_Bill]]&gt;=50000,"High",IF(Healthcare_Data[[#This Row],[Final_Bill]]&gt;=20000,"Medium","low"))</f>
        <v>low</v>
      </c>
    </row>
    <row r="477" spans="1:20" x14ac:dyDescent="0.3">
      <c r="A477" t="s">
        <v>532</v>
      </c>
      <c r="B477" s="3">
        <v>45830</v>
      </c>
      <c r="C477" t="s">
        <v>50</v>
      </c>
      <c r="D477" t="s">
        <v>34</v>
      </c>
      <c r="E477" t="s">
        <v>20</v>
      </c>
      <c r="F477" t="s">
        <v>40</v>
      </c>
      <c r="G477">
        <v>41</v>
      </c>
      <c r="H477" t="s">
        <v>46</v>
      </c>
      <c r="I477" t="s">
        <v>30</v>
      </c>
      <c r="J477" t="s">
        <v>24</v>
      </c>
      <c r="K477">
        <v>0</v>
      </c>
      <c r="L477" s="4">
        <v>16110</v>
      </c>
      <c r="M477">
        <v>500</v>
      </c>
      <c r="N477">
        <v>15610</v>
      </c>
      <c r="O477" t="s">
        <v>25</v>
      </c>
      <c r="P477">
        <v>4.9000000000000004</v>
      </c>
      <c r="Q477">
        <v>43</v>
      </c>
      <c r="R477" t="str">
        <f>TEXT(Healthcare_Data[[#This Row],[Visit_Date]],"mmm")</f>
        <v>Jun</v>
      </c>
      <c r="S477">
        <f>MONTH(Healthcare_Data[[#This Row],[Visit_Date]])</f>
        <v>6</v>
      </c>
      <c r="T477" t="str">
        <f>IF(Healthcare_Data[[#This Row],[Final_Bill]]&gt;=50000,"High",IF(Healthcare_Data[[#This Row],[Final_Bill]]&gt;=20000,"Medium","low"))</f>
        <v>low</v>
      </c>
    </row>
    <row r="478" spans="1:20" x14ac:dyDescent="0.3">
      <c r="A478" t="s">
        <v>533</v>
      </c>
      <c r="B478" s="3">
        <v>45830</v>
      </c>
      <c r="C478" t="s">
        <v>27</v>
      </c>
      <c r="D478" t="s">
        <v>28</v>
      </c>
      <c r="E478" t="s">
        <v>20</v>
      </c>
      <c r="F478" t="s">
        <v>21</v>
      </c>
      <c r="G478">
        <v>52</v>
      </c>
      <c r="H478" t="s">
        <v>65</v>
      </c>
      <c r="I478" t="s">
        <v>69</v>
      </c>
      <c r="J478" t="s">
        <v>58</v>
      </c>
      <c r="K478">
        <v>0</v>
      </c>
      <c r="L478" s="4">
        <v>17095</v>
      </c>
      <c r="M478">
        <v>0</v>
      </c>
      <c r="N478">
        <v>17095</v>
      </c>
      <c r="O478" t="s">
        <v>25</v>
      </c>
      <c r="P478">
        <v>4.5999999999999996</v>
      </c>
      <c r="Q478">
        <v>62</v>
      </c>
      <c r="R478" t="str">
        <f>TEXT(Healthcare_Data[[#This Row],[Visit_Date]],"mmm")</f>
        <v>Jun</v>
      </c>
      <c r="S478">
        <f>MONTH(Healthcare_Data[[#This Row],[Visit_Date]])</f>
        <v>6</v>
      </c>
      <c r="T478" t="str">
        <f>IF(Healthcare_Data[[#This Row],[Final_Bill]]&gt;=50000,"High",IF(Healthcare_Data[[#This Row],[Final_Bill]]&gt;=20000,"Medium","low"))</f>
        <v>low</v>
      </c>
    </row>
    <row r="479" spans="1:20" x14ac:dyDescent="0.3">
      <c r="A479" t="s">
        <v>534</v>
      </c>
      <c r="B479" s="3">
        <v>45830</v>
      </c>
      <c r="C479" t="s">
        <v>54</v>
      </c>
      <c r="D479" t="s">
        <v>28</v>
      </c>
      <c r="E479" t="s">
        <v>20</v>
      </c>
      <c r="F479" t="s">
        <v>40</v>
      </c>
      <c r="G479">
        <v>27</v>
      </c>
      <c r="H479" t="s">
        <v>65</v>
      </c>
      <c r="I479" t="s">
        <v>69</v>
      </c>
      <c r="J479" t="s">
        <v>36</v>
      </c>
      <c r="K479">
        <v>0</v>
      </c>
      <c r="L479" s="4">
        <v>9479</v>
      </c>
      <c r="M479">
        <v>0</v>
      </c>
      <c r="N479">
        <v>9479</v>
      </c>
      <c r="O479" t="s">
        <v>25</v>
      </c>
      <c r="P479">
        <v>4.4000000000000004</v>
      </c>
      <c r="Q479">
        <v>9</v>
      </c>
      <c r="R479" t="str">
        <f>TEXT(Healthcare_Data[[#This Row],[Visit_Date]],"mmm")</f>
        <v>Jun</v>
      </c>
      <c r="S479">
        <f>MONTH(Healthcare_Data[[#This Row],[Visit_Date]])</f>
        <v>6</v>
      </c>
      <c r="T479" t="str">
        <f>IF(Healthcare_Data[[#This Row],[Final_Bill]]&gt;=50000,"High",IF(Healthcare_Data[[#This Row],[Final_Bill]]&gt;=20000,"Medium","low"))</f>
        <v>low</v>
      </c>
    </row>
    <row r="480" spans="1:20" x14ac:dyDescent="0.3">
      <c r="A480" t="s">
        <v>535</v>
      </c>
      <c r="B480" s="3">
        <v>45830</v>
      </c>
      <c r="C480" t="s">
        <v>27</v>
      </c>
      <c r="D480" t="s">
        <v>39</v>
      </c>
      <c r="E480" t="s">
        <v>20</v>
      </c>
      <c r="F480" t="s">
        <v>40</v>
      </c>
      <c r="G480">
        <v>31</v>
      </c>
      <c r="H480" t="s">
        <v>22</v>
      </c>
      <c r="I480" t="s">
        <v>42</v>
      </c>
      <c r="J480" t="s">
        <v>31</v>
      </c>
      <c r="K480">
        <v>0</v>
      </c>
      <c r="L480" s="4">
        <v>14212</v>
      </c>
      <c r="M480">
        <v>0</v>
      </c>
      <c r="N480">
        <v>14212</v>
      </c>
      <c r="O480" t="s">
        <v>25</v>
      </c>
      <c r="P480">
        <v>4.5</v>
      </c>
      <c r="Q480">
        <v>80</v>
      </c>
      <c r="R480" t="str">
        <f>TEXT(Healthcare_Data[[#This Row],[Visit_Date]],"mmm")</f>
        <v>Jun</v>
      </c>
      <c r="S480">
        <f>MONTH(Healthcare_Data[[#This Row],[Visit_Date]])</f>
        <v>6</v>
      </c>
      <c r="T480" t="str">
        <f>IF(Healthcare_Data[[#This Row],[Final_Bill]]&gt;=50000,"High",IF(Healthcare_Data[[#This Row],[Final_Bill]]&gt;=20000,"Medium","low"))</f>
        <v>low</v>
      </c>
    </row>
    <row r="481" spans="1:20" x14ac:dyDescent="0.3">
      <c r="A481" t="s">
        <v>536</v>
      </c>
      <c r="B481" s="3">
        <v>45831</v>
      </c>
      <c r="C481" t="s">
        <v>18</v>
      </c>
      <c r="D481" t="s">
        <v>28</v>
      </c>
      <c r="E481" t="s">
        <v>52</v>
      </c>
      <c r="F481" t="s">
        <v>21</v>
      </c>
      <c r="G481">
        <v>75</v>
      </c>
      <c r="H481" t="s">
        <v>29</v>
      </c>
      <c r="I481" t="s">
        <v>57</v>
      </c>
      <c r="J481" t="s">
        <v>58</v>
      </c>
      <c r="K481">
        <v>13</v>
      </c>
      <c r="L481" s="4">
        <v>16095</v>
      </c>
      <c r="M481">
        <v>500</v>
      </c>
      <c r="N481">
        <v>15595</v>
      </c>
      <c r="O481" t="s">
        <v>32</v>
      </c>
      <c r="P481">
        <v>2.7</v>
      </c>
      <c r="Q481">
        <v>50</v>
      </c>
      <c r="R481" t="str">
        <f>TEXT(Healthcare_Data[[#This Row],[Visit_Date]],"mmm")</f>
        <v>Jun</v>
      </c>
      <c r="S481">
        <f>MONTH(Healthcare_Data[[#This Row],[Visit_Date]])</f>
        <v>6</v>
      </c>
      <c r="T481" t="str">
        <f>IF(Healthcare_Data[[#This Row],[Final_Bill]]&gt;=50000,"High",IF(Healthcare_Data[[#This Row],[Final_Bill]]&gt;=20000,"Medium","low"))</f>
        <v>low</v>
      </c>
    </row>
    <row r="482" spans="1:20" x14ac:dyDescent="0.3">
      <c r="A482" t="s">
        <v>537</v>
      </c>
      <c r="B482" s="3">
        <v>45831</v>
      </c>
      <c r="C482" t="s">
        <v>50</v>
      </c>
      <c r="D482" t="s">
        <v>28</v>
      </c>
      <c r="E482" t="s">
        <v>20</v>
      </c>
      <c r="F482" t="s">
        <v>40</v>
      </c>
      <c r="G482">
        <v>18</v>
      </c>
      <c r="H482" t="s">
        <v>41</v>
      </c>
      <c r="I482" t="s">
        <v>57</v>
      </c>
      <c r="J482" t="s">
        <v>24</v>
      </c>
      <c r="K482">
        <v>0</v>
      </c>
      <c r="L482" s="4">
        <v>17795</v>
      </c>
      <c r="M482">
        <v>1500</v>
      </c>
      <c r="N482">
        <v>16295</v>
      </c>
      <c r="O482" t="s">
        <v>25</v>
      </c>
      <c r="P482">
        <v>2.7</v>
      </c>
      <c r="Q482">
        <v>118</v>
      </c>
      <c r="R482" t="str">
        <f>TEXT(Healthcare_Data[[#This Row],[Visit_Date]],"mmm")</f>
        <v>Jun</v>
      </c>
      <c r="S482">
        <f>MONTH(Healthcare_Data[[#This Row],[Visit_Date]])</f>
        <v>6</v>
      </c>
      <c r="T482" t="str">
        <f>IF(Healthcare_Data[[#This Row],[Final_Bill]]&gt;=50000,"High",IF(Healthcare_Data[[#This Row],[Final_Bill]]&gt;=20000,"Medium","low"))</f>
        <v>low</v>
      </c>
    </row>
    <row r="483" spans="1:20" x14ac:dyDescent="0.3">
      <c r="A483" t="s">
        <v>538</v>
      </c>
      <c r="B483" s="3">
        <v>45832</v>
      </c>
      <c r="C483" t="s">
        <v>48</v>
      </c>
      <c r="D483" t="s">
        <v>39</v>
      </c>
      <c r="E483" t="s">
        <v>20</v>
      </c>
      <c r="F483" t="s">
        <v>40</v>
      </c>
      <c r="G483">
        <v>70</v>
      </c>
      <c r="H483" t="s">
        <v>35</v>
      </c>
      <c r="I483" t="s">
        <v>63</v>
      </c>
      <c r="J483" t="s">
        <v>24</v>
      </c>
      <c r="K483">
        <v>0</v>
      </c>
      <c r="L483" s="4">
        <v>13920</v>
      </c>
      <c r="M483">
        <v>1000</v>
      </c>
      <c r="N483">
        <v>12920</v>
      </c>
      <c r="O483" t="s">
        <v>25</v>
      </c>
      <c r="P483">
        <v>4.5999999999999996</v>
      </c>
      <c r="Q483">
        <v>49</v>
      </c>
      <c r="R483" t="str">
        <f>TEXT(Healthcare_Data[[#This Row],[Visit_Date]],"mmm")</f>
        <v>Jun</v>
      </c>
      <c r="S483">
        <f>MONTH(Healthcare_Data[[#This Row],[Visit_Date]])</f>
        <v>6</v>
      </c>
      <c r="T483" t="str">
        <f>IF(Healthcare_Data[[#This Row],[Final_Bill]]&gt;=50000,"High",IF(Healthcare_Data[[#This Row],[Final_Bill]]&gt;=20000,"Medium","low"))</f>
        <v>low</v>
      </c>
    </row>
    <row r="484" spans="1:20" x14ac:dyDescent="0.3">
      <c r="A484" t="s">
        <v>539</v>
      </c>
      <c r="B484" s="3">
        <v>45833</v>
      </c>
      <c r="C484" t="s">
        <v>50</v>
      </c>
      <c r="D484" t="s">
        <v>34</v>
      </c>
      <c r="E484" t="s">
        <v>20</v>
      </c>
      <c r="F484" t="s">
        <v>21</v>
      </c>
      <c r="G484">
        <v>49</v>
      </c>
      <c r="H484" t="s">
        <v>115</v>
      </c>
      <c r="I484" t="s">
        <v>30</v>
      </c>
      <c r="J484" t="s">
        <v>31</v>
      </c>
      <c r="K484">
        <v>0</v>
      </c>
      <c r="L484" s="4">
        <v>16939</v>
      </c>
      <c r="M484">
        <v>2000</v>
      </c>
      <c r="N484">
        <v>14939</v>
      </c>
      <c r="O484" t="s">
        <v>25</v>
      </c>
      <c r="P484">
        <v>4.5</v>
      </c>
      <c r="Q484">
        <v>32</v>
      </c>
      <c r="R484" t="str">
        <f>TEXT(Healthcare_Data[[#This Row],[Visit_Date]],"mmm")</f>
        <v>Jun</v>
      </c>
      <c r="S484">
        <f>MONTH(Healthcare_Data[[#This Row],[Visit_Date]])</f>
        <v>6</v>
      </c>
      <c r="T484" t="str">
        <f>IF(Healthcare_Data[[#This Row],[Final_Bill]]&gt;=50000,"High",IF(Healthcare_Data[[#This Row],[Final_Bill]]&gt;=20000,"Medium","low"))</f>
        <v>low</v>
      </c>
    </row>
    <row r="485" spans="1:20" x14ac:dyDescent="0.3">
      <c r="A485" t="s">
        <v>540</v>
      </c>
      <c r="B485" s="3">
        <v>45833</v>
      </c>
      <c r="C485" t="s">
        <v>50</v>
      </c>
      <c r="D485" t="s">
        <v>51</v>
      </c>
      <c r="E485" t="s">
        <v>20</v>
      </c>
      <c r="F485" t="s">
        <v>40</v>
      </c>
      <c r="G485">
        <v>49</v>
      </c>
      <c r="H485" t="s">
        <v>41</v>
      </c>
      <c r="I485" t="s">
        <v>57</v>
      </c>
      <c r="J485" t="s">
        <v>24</v>
      </c>
      <c r="K485">
        <v>0</v>
      </c>
      <c r="L485" s="4">
        <v>8994</v>
      </c>
      <c r="M485">
        <v>500</v>
      </c>
      <c r="N485">
        <v>8494</v>
      </c>
      <c r="O485" t="s">
        <v>59</v>
      </c>
      <c r="P485">
        <v>2.5</v>
      </c>
      <c r="Q485">
        <v>112</v>
      </c>
      <c r="R485" t="str">
        <f>TEXT(Healthcare_Data[[#This Row],[Visit_Date]],"mmm")</f>
        <v>Jun</v>
      </c>
      <c r="S485">
        <f>MONTH(Healthcare_Data[[#This Row],[Visit_Date]])</f>
        <v>6</v>
      </c>
      <c r="T485" t="str">
        <f>IF(Healthcare_Data[[#This Row],[Final_Bill]]&gt;=50000,"High",IF(Healthcare_Data[[#This Row],[Final_Bill]]&gt;=20000,"Medium","low"))</f>
        <v>low</v>
      </c>
    </row>
    <row r="486" spans="1:20" x14ac:dyDescent="0.3">
      <c r="A486" t="s">
        <v>541</v>
      </c>
      <c r="B486" s="3">
        <v>45834</v>
      </c>
      <c r="C486" t="s">
        <v>27</v>
      </c>
      <c r="D486" t="s">
        <v>28</v>
      </c>
      <c r="E486" t="s">
        <v>52</v>
      </c>
      <c r="F486" t="s">
        <v>40</v>
      </c>
      <c r="G486">
        <v>52</v>
      </c>
      <c r="H486" t="s">
        <v>41</v>
      </c>
      <c r="I486" t="s">
        <v>23</v>
      </c>
      <c r="J486" t="s">
        <v>24</v>
      </c>
      <c r="K486">
        <v>4</v>
      </c>
      <c r="L486" s="4">
        <v>53031</v>
      </c>
      <c r="M486">
        <v>1500</v>
      </c>
      <c r="N486">
        <v>51531</v>
      </c>
      <c r="O486" t="s">
        <v>25</v>
      </c>
      <c r="P486">
        <v>3.3</v>
      </c>
      <c r="Q486">
        <v>93</v>
      </c>
      <c r="R486" t="str">
        <f>TEXT(Healthcare_Data[[#This Row],[Visit_Date]],"mmm")</f>
        <v>Jun</v>
      </c>
      <c r="S486">
        <f>MONTH(Healthcare_Data[[#This Row],[Visit_Date]])</f>
        <v>6</v>
      </c>
      <c r="T486" t="str">
        <f>IF(Healthcare_Data[[#This Row],[Final_Bill]]&gt;=50000,"High",IF(Healthcare_Data[[#This Row],[Final_Bill]]&gt;=20000,"Medium","low"))</f>
        <v>High</v>
      </c>
    </row>
    <row r="487" spans="1:20" x14ac:dyDescent="0.3">
      <c r="A487" t="s">
        <v>542</v>
      </c>
      <c r="B487" s="3">
        <v>45834</v>
      </c>
      <c r="C487" t="s">
        <v>44</v>
      </c>
      <c r="D487" t="s">
        <v>19</v>
      </c>
      <c r="E487" t="s">
        <v>20</v>
      </c>
      <c r="F487" t="s">
        <v>40</v>
      </c>
      <c r="G487">
        <v>32</v>
      </c>
      <c r="H487" t="s">
        <v>56</v>
      </c>
      <c r="I487" t="s">
        <v>57</v>
      </c>
      <c r="J487" t="s">
        <v>58</v>
      </c>
      <c r="K487">
        <v>0</v>
      </c>
      <c r="L487" s="4">
        <v>15602</v>
      </c>
      <c r="M487">
        <v>0</v>
      </c>
      <c r="N487">
        <v>15602</v>
      </c>
      <c r="O487" t="s">
        <v>25</v>
      </c>
      <c r="P487">
        <v>4.5</v>
      </c>
      <c r="Q487">
        <v>82</v>
      </c>
      <c r="R487" t="str">
        <f>TEXT(Healthcare_Data[[#This Row],[Visit_Date]],"mmm")</f>
        <v>Jun</v>
      </c>
      <c r="S487">
        <f>MONTH(Healthcare_Data[[#This Row],[Visit_Date]])</f>
        <v>6</v>
      </c>
      <c r="T487" t="str">
        <f>IF(Healthcare_Data[[#This Row],[Final_Bill]]&gt;=50000,"High",IF(Healthcare_Data[[#This Row],[Final_Bill]]&gt;=20000,"Medium","low"))</f>
        <v>low</v>
      </c>
    </row>
    <row r="488" spans="1:20" x14ac:dyDescent="0.3">
      <c r="A488" t="s">
        <v>543</v>
      </c>
      <c r="B488" s="3">
        <v>45834</v>
      </c>
      <c r="C488" t="s">
        <v>44</v>
      </c>
      <c r="D488" t="s">
        <v>39</v>
      </c>
      <c r="E488" t="s">
        <v>20</v>
      </c>
      <c r="F488" t="s">
        <v>21</v>
      </c>
      <c r="G488">
        <v>22</v>
      </c>
      <c r="H488" t="s">
        <v>41</v>
      </c>
      <c r="I488" t="s">
        <v>61</v>
      </c>
      <c r="J488" t="s">
        <v>31</v>
      </c>
      <c r="K488">
        <v>0</v>
      </c>
      <c r="L488" s="4">
        <v>11771</v>
      </c>
      <c r="M488">
        <v>1000</v>
      </c>
      <c r="N488">
        <v>10771</v>
      </c>
      <c r="O488" t="s">
        <v>25</v>
      </c>
      <c r="P488">
        <v>4.7</v>
      </c>
      <c r="Q488">
        <v>66</v>
      </c>
      <c r="R488" t="str">
        <f>TEXT(Healthcare_Data[[#This Row],[Visit_Date]],"mmm")</f>
        <v>Jun</v>
      </c>
      <c r="S488">
        <f>MONTH(Healthcare_Data[[#This Row],[Visit_Date]])</f>
        <v>6</v>
      </c>
      <c r="T488" t="str">
        <f>IF(Healthcare_Data[[#This Row],[Final_Bill]]&gt;=50000,"High",IF(Healthcare_Data[[#This Row],[Final_Bill]]&gt;=20000,"Medium","low"))</f>
        <v>low</v>
      </c>
    </row>
    <row r="489" spans="1:20" x14ac:dyDescent="0.3">
      <c r="A489" t="s">
        <v>544</v>
      </c>
      <c r="B489" s="3">
        <v>45834</v>
      </c>
      <c r="C489" t="s">
        <v>18</v>
      </c>
      <c r="D489" t="s">
        <v>34</v>
      </c>
      <c r="E489" t="s">
        <v>20</v>
      </c>
      <c r="F489" t="s">
        <v>21</v>
      </c>
      <c r="G489">
        <v>25</v>
      </c>
      <c r="H489" t="s">
        <v>56</v>
      </c>
      <c r="I489" t="s">
        <v>69</v>
      </c>
      <c r="J489" t="s">
        <v>24</v>
      </c>
      <c r="K489">
        <v>0</v>
      </c>
      <c r="L489" s="4">
        <v>2980</v>
      </c>
      <c r="M489">
        <v>0</v>
      </c>
      <c r="N489">
        <v>2980</v>
      </c>
      <c r="O489" t="s">
        <v>59</v>
      </c>
      <c r="P489">
        <v>4.9000000000000004</v>
      </c>
      <c r="Q489">
        <v>62</v>
      </c>
      <c r="R489" t="str">
        <f>TEXT(Healthcare_Data[[#This Row],[Visit_Date]],"mmm")</f>
        <v>Jun</v>
      </c>
      <c r="S489">
        <f>MONTH(Healthcare_Data[[#This Row],[Visit_Date]])</f>
        <v>6</v>
      </c>
      <c r="T489" t="str">
        <f>IF(Healthcare_Data[[#This Row],[Final_Bill]]&gt;=50000,"High",IF(Healthcare_Data[[#This Row],[Final_Bill]]&gt;=20000,"Medium","low"))</f>
        <v>low</v>
      </c>
    </row>
    <row r="490" spans="1:20" x14ac:dyDescent="0.3">
      <c r="A490" t="s">
        <v>545</v>
      </c>
      <c r="B490" s="3">
        <v>45835</v>
      </c>
      <c r="C490" t="s">
        <v>48</v>
      </c>
      <c r="D490" t="s">
        <v>19</v>
      </c>
      <c r="E490" t="s">
        <v>20</v>
      </c>
      <c r="F490" t="s">
        <v>40</v>
      </c>
      <c r="G490">
        <v>40</v>
      </c>
      <c r="H490" t="s">
        <v>65</v>
      </c>
      <c r="I490" t="s">
        <v>63</v>
      </c>
      <c r="J490" t="s">
        <v>58</v>
      </c>
      <c r="K490">
        <v>0</v>
      </c>
      <c r="L490" s="4">
        <v>11395</v>
      </c>
      <c r="M490">
        <v>1000</v>
      </c>
      <c r="N490">
        <v>10395</v>
      </c>
      <c r="O490" t="s">
        <v>25</v>
      </c>
      <c r="P490">
        <v>4.4000000000000004</v>
      </c>
      <c r="Q490">
        <v>46</v>
      </c>
      <c r="R490" t="str">
        <f>TEXT(Healthcare_Data[[#This Row],[Visit_Date]],"mmm")</f>
        <v>Jun</v>
      </c>
      <c r="S490">
        <f>MONTH(Healthcare_Data[[#This Row],[Visit_Date]])</f>
        <v>6</v>
      </c>
      <c r="T490" t="str">
        <f>IF(Healthcare_Data[[#This Row],[Final_Bill]]&gt;=50000,"High",IF(Healthcare_Data[[#This Row],[Final_Bill]]&gt;=20000,"Medium","low"))</f>
        <v>low</v>
      </c>
    </row>
    <row r="491" spans="1:20" x14ac:dyDescent="0.3">
      <c r="A491" t="s">
        <v>546</v>
      </c>
      <c r="B491" s="3">
        <v>45835</v>
      </c>
      <c r="C491" t="s">
        <v>50</v>
      </c>
      <c r="D491" t="s">
        <v>34</v>
      </c>
      <c r="E491" t="s">
        <v>52</v>
      </c>
      <c r="F491" t="s">
        <v>21</v>
      </c>
      <c r="G491">
        <v>31</v>
      </c>
      <c r="H491" t="s">
        <v>65</v>
      </c>
      <c r="I491" t="s">
        <v>23</v>
      </c>
      <c r="J491" t="s">
        <v>24</v>
      </c>
      <c r="K491">
        <v>14</v>
      </c>
      <c r="L491" s="4">
        <v>56787</v>
      </c>
      <c r="M491">
        <v>0</v>
      </c>
      <c r="N491">
        <v>56787</v>
      </c>
      <c r="O491" t="s">
        <v>32</v>
      </c>
      <c r="P491">
        <v>4.9000000000000004</v>
      </c>
      <c r="Q491">
        <v>77</v>
      </c>
      <c r="R491" t="str">
        <f>TEXT(Healthcare_Data[[#This Row],[Visit_Date]],"mmm")</f>
        <v>Jun</v>
      </c>
      <c r="S491">
        <f>MONTH(Healthcare_Data[[#This Row],[Visit_Date]])</f>
        <v>6</v>
      </c>
      <c r="T491" t="str">
        <f>IF(Healthcare_Data[[#This Row],[Final_Bill]]&gt;=50000,"High",IF(Healthcare_Data[[#This Row],[Final_Bill]]&gt;=20000,"Medium","low"))</f>
        <v>High</v>
      </c>
    </row>
    <row r="492" spans="1:20" x14ac:dyDescent="0.3">
      <c r="A492" t="s">
        <v>547</v>
      </c>
      <c r="B492" s="3">
        <v>45836</v>
      </c>
      <c r="C492" t="s">
        <v>44</v>
      </c>
      <c r="D492" t="s">
        <v>28</v>
      </c>
      <c r="E492" t="s">
        <v>20</v>
      </c>
      <c r="F492" t="s">
        <v>40</v>
      </c>
      <c r="G492">
        <v>30</v>
      </c>
      <c r="H492" t="s">
        <v>65</v>
      </c>
      <c r="I492" t="s">
        <v>30</v>
      </c>
      <c r="J492" t="s">
        <v>24</v>
      </c>
      <c r="K492">
        <v>0</v>
      </c>
      <c r="L492" s="4">
        <v>19714</v>
      </c>
      <c r="M492">
        <v>1000</v>
      </c>
      <c r="N492">
        <v>18714</v>
      </c>
      <c r="O492" t="s">
        <v>25</v>
      </c>
      <c r="P492">
        <v>3.5</v>
      </c>
      <c r="Q492">
        <v>90</v>
      </c>
      <c r="R492" t="str">
        <f>TEXT(Healthcare_Data[[#This Row],[Visit_Date]],"mmm")</f>
        <v>Jun</v>
      </c>
      <c r="S492">
        <f>MONTH(Healthcare_Data[[#This Row],[Visit_Date]])</f>
        <v>6</v>
      </c>
      <c r="T492" t="str">
        <f>IF(Healthcare_Data[[#This Row],[Final_Bill]]&gt;=50000,"High",IF(Healthcare_Data[[#This Row],[Final_Bill]]&gt;=20000,"Medium","low"))</f>
        <v>low</v>
      </c>
    </row>
    <row r="493" spans="1:20" x14ac:dyDescent="0.3">
      <c r="A493" t="s">
        <v>548</v>
      </c>
      <c r="B493" s="3">
        <v>45836</v>
      </c>
      <c r="C493" t="s">
        <v>48</v>
      </c>
      <c r="D493" t="s">
        <v>19</v>
      </c>
      <c r="E493" t="s">
        <v>20</v>
      </c>
      <c r="F493" t="s">
        <v>21</v>
      </c>
      <c r="G493">
        <v>65</v>
      </c>
      <c r="H493" t="s">
        <v>35</v>
      </c>
      <c r="I493" t="s">
        <v>30</v>
      </c>
      <c r="J493" t="s">
        <v>58</v>
      </c>
      <c r="K493">
        <v>0</v>
      </c>
      <c r="L493" s="4">
        <v>6789</v>
      </c>
      <c r="M493">
        <v>1500</v>
      </c>
      <c r="N493">
        <v>5289</v>
      </c>
      <c r="O493" t="s">
        <v>59</v>
      </c>
      <c r="P493">
        <v>3.8</v>
      </c>
      <c r="Q493">
        <v>88</v>
      </c>
      <c r="R493" t="str">
        <f>TEXT(Healthcare_Data[[#This Row],[Visit_Date]],"mmm")</f>
        <v>Jun</v>
      </c>
      <c r="S493">
        <f>MONTH(Healthcare_Data[[#This Row],[Visit_Date]])</f>
        <v>6</v>
      </c>
      <c r="T493" t="str">
        <f>IF(Healthcare_Data[[#This Row],[Final_Bill]]&gt;=50000,"High",IF(Healthcare_Data[[#This Row],[Final_Bill]]&gt;=20000,"Medium","low"))</f>
        <v>low</v>
      </c>
    </row>
    <row r="494" spans="1:20" x14ac:dyDescent="0.3">
      <c r="A494" t="s">
        <v>549</v>
      </c>
      <c r="B494" s="3">
        <v>45837</v>
      </c>
      <c r="C494" t="s">
        <v>50</v>
      </c>
      <c r="D494" t="s">
        <v>34</v>
      </c>
      <c r="E494" t="s">
        <v>20</v>
      </c>
      <c r="F494" t="s">
        <v>21</v>
      </c>
      <c r="G494">
        <v>59</v>
      </c>
      <c r="H494" t="s">
        <v>65</v>
      </c>
      <c r="I494" t="s">
        <v>63</v>
      </c>
      <c r="J494" t="s">
        <v>31</v>
      </c>
      <c r="K494">
        <v>0</v>
      </c>
      <c r="L494" s="4">
        <v>13800</v>
      </c>
      <c r="M494">
        <v>500</v>
      </c>
      <c r="N494">
        <v>13300</v>
      </c>
      <c r="O494" t="s">
        <v>25</v>
      </c>
      <c r="P494">
        <v>3.9</v>
      </c>
      <c r="Q494">
        <v>9</v>
      </c>
      <c r="R494" t="str">
        <f>TEXT(Healthcare_Data[[#This Row],[Visit_Date]],"mmm")</f>
        <v>Jun</v>
      </c>
      <c r="S494">
        <f>MONTH(Healthcare_Data[[#This Row],[Visit_Date]])</f>
        <v>6</v>
      </c>
      <c r="T494" t="str">
        <f>IF(Healthcare_Data[[#This Row],[Final_Bill]]&gt;=50000,"High",IF(Healthcare_Data[[#This Row],[Final_Bill]]&gt;=20000,"Medium","low"))</f>
        <v>low</v>
      </c>
    </row>
    <row r="495" spans="1:20" x14ac:dyDescent="0.3">
      <c r="A495" t="s">
        <v>550</v>
      </c>
      <c r="B495" s="3">
        <v>45837</v>
      </c>
      <c r="C495" t="s">
        <v>67</v>
      </c>
      <c r="D495" t="s">
        <v>28</v>
      </c>
      <c r="E495" t="s">
        <v>54</v>
      </c>
      <c r="F495" t="s">
        <v>40</v>
      </c>
      <c r="G495">
        <v>33</v>
      </c>
      <c r="H495" t="s">
        <v>22</v>
      </c>
      <c r="I495" t="s">
        <v>72</v>
      </c>
      <c r="J495" t="s">
        <v>58</v>
      </c>
      <c r="K495">
        <v>0</v>
      </c>
      <c r="L495" s="4">
        <v>35328</v>
      </c>
      <c r="M495">
        <v>2000</v>
      </c>
      <c r="N495">
        <v>33328</v>
      </c>
      <c r="O495" t="s">
        <v>25</v>
      </c>
      <c r="P495">
        <v>4.2</v>
      </c>
      <c r="Q495">
        <v>22</v>
      </c>
      <c r="R495" t="str">
        <f>TEXT(Healthcare_Data[[#This Row],[Visit_Date]],"mmm")</f>
        <v>Jun</v>
      </c>
      <c r="S495">
        <f>MONTH(Healthcare_Data[[#This Row],[Visit_Date]])</f>
        <v>6</v>
      </c>
      <c r="T495" t="str">
        <f>IF(Healthcare_Data[[#This Row],[Final_Bill]]&gt;=50000,"High",IF(Healthcare_Data[[#This Row],[Final_Bill]]&gt;=20000,"Medium","low"))</f>
        <v>Medium</v>
      </c>
    </row>
    <row r="496" spans="1:20" x14ac:dyDescent="0.3">
      <c r="A496" t="s">
        <v>551</v>
      </c>
      <c r="B496" s="3">
        <v>45837</v>
      </c>
      <c r="C496" t="s">
        <v>38</v>
      </c>
      <c r="D496" t="s">
        <v>51</v>
      </c>
      <c r="E496" t="s">
        <v>52</v>
      </c>
      <c r="F496" t="s">
        <v>21</v>
      </c>
      <c r="G496">
        <v>71</v>
      </c>
      <c r="H496" t="s">
        <v>65</v>
      </c>
      <c r="I496" t="s">
        <v>69</v>
      </c>
      <c r="J496" t="s">
        <v>31</v>
      </c>
      <c r="K496">
        <v>7</v>
      </c>
      <c r="L496" s="4">
        <v>64394</v>
      </c>
      <c r="M496">
        <v>0</v>
      </c>
      <c r="N496">
        <v>64394</v>
      </c>
      <c r="O496" t="s">
        <v>25</v>
      </c>
      <c r="P496">
        <v>4.9000000000000004</v>
      </c>
      <c r="Q496">
        <v>63</v>
      </c>
      <c r="R496" t="str">
        <f>TEXT(Healthcare_Data[[#This Row],[Visit_Date]],"mmm")</f>
        <v>Jun</v>
      </c>
      <c r="S496">
        <f>MONTH(Healthcare_Data[[#This Row],[Visit_Date]])</f>
        <v>6</v>
      </c>
      <c r="T496" t="str">
        <f>IF(Healthcare_Data[[#This Row],[Final_Bill]]&gt;=50000,"High",IF(Healthcare_Data[[#This Row],[Final_Bill]]&gt;=20000,"Medium","low"))</f>
        <v>High</v>
      </c>
    </row>
    <row r="497" spans="1:20" x14ac:dyDescent="0.3">
      <c r="A497" t="s">
        <v>552</v>
      </c>
      <c r="B497" s="3">
        <v>45837</v>
      </c>
      <c r="C497" t="s">
        <v>38</v>
      </c>
      <c r="D497" t="s">
        <v>28</v>
      </c>
      <c r="E497" t="s">
        <v>52</v>
      </c>
      <c r="F497" t="s">
        <v>21</v>
      </c>
      <c r="G497">
        <v>77</v>
      </c>
      <c r="H497" t="s">
        <v>29</v>
      </c>
      <c r="I497" t="s">
        <v>42</v>
      </c>
      <c r="J497" t="s">
        <v>24</v>
      </c>
      <c r="K497">
        <v>4</v>
      </c>
      <c r="L497" s="4">
        <v>38572</v>
      </c>
      <c r="M497">
        <v>0</v>
      </c>
      <c r="N497">
        <v>38572</v>
      </c>
      <c r="O497" t="s">
        <v>25</v>
      </c>
      <c r="P497">
        <v>2.7</v>
      </c>
      <c r="Q497">
        <v>78</v>
      </c>
      <c r="R497" t="str">
        <f>TEXT(Healthcare_Data[[#This Row],[Visit_Date]],"mmm")</f>
        <v>Jun</v>
      </c>
      <c r="S497">
        <f>MONTH(Healthcare_Data[[#This Row],[Visit_Date]])</f>
        <v>6</v>
      </c>
      <c r="T497" t="str">
        <f>IF(Healthcare_Data[[#This Row],[Final_Bill]]&gt;=50000,"High",IF(Healthcare_Data[[#This Row],[Final_Bill]]&gt;=20000,"Medium","low"))</f>
        <v>Medium</v>
      </c>
    </row>
    <row r="498" spans="1:20" x14ac:dyDescent="0.3">
      <c r="A498" t="s">
        <v>553</v>
      </c>
      <c r="B498" s="3">
        <v>45837</v>
      </c>
      <c r="C498" t="s">
        <v>50</v>
      </c>
      <c r="D498" t="s">
        <v>19</v>
      </c>
      <c r="E498" t="s">
        <v>20</v>
      </c>
      <c r="F498" t="s">
        <v>21</v>
      </c>
      <c r="G498">
        <v>23</v>
      </c>
      <c r="H498" t="s">
        <v>56</v>
      </c>
      <c r="I498" t="s">
        <v>72</v>
      </c>
      <c r="J498" t="s">
        <v>24</v>
      </c>
      <c r="K498">
        <v>0</v>
      </c>
      <c r="L498" s="4">
        <v>5380</v>
      </c>
      <c r="M498">
        <v>0</v>
      </c>
      <c r="N498">
        <v>5380</v>
      </c>
      <c r="O498" t="s">
        <v>25</v>
      </c>
      <c r="P498">
        <v>4.2</v>
      </c>
      <c r="Q498">
        <v>50</v>
      </c>
      <c r="R498" t="str">
        <f>TEXT(Healthcare_Data[[#This Row],[Visit_Date]],"mmm")</f>
        <v>Jun</v>
      </c>
      <c r="S498">
        <f>MONTH(Healthcare_Data[[#This Row],[Visit_Date]])</f>
        <v>6</v>
      </c>
      <c r="T498" t="str">
        <f>IF(Healthcare_Data[[#This Row],[Final_Bill]]&gt;=50000,"High",IF(Healthcare_Data[[#This Row],[Final_Bill]]&gt;=20000,"Medium","low"))</f>
        <v>low</v>
      </c>
    </row>
    <row r="499" spans="1:20" x14ac:dyDescent="0.3">
      <c r="A499" t="s">
        <v>554</v>
      </c>
      <c r="B499" s="3">
        <v>45838</v>
      </c>
      <c r="C499" t="s">
        <v>48</v>
      </c>
      <c r="D499" t="s">
        <v>51</v>
      </c>
      <c r="E499" t="s">
        <v>52</v>
      </c>
      <c r="F499" t="s">
        <v>21</v>
      </c>
      <c r="G499">
        <v>52</v>
      </c>
      <c r="H499" t="s">
        <v>29</v>
      </c>
      <c r="I499" t="s">
        <v>30</v>
      </c>
      <c r="J499" t="s">
        <v>36</v>
      </c>
      <c r="K499">
        <v>7</v>
      </c>
      <c r="L499" s="4">
        <v>60948</v>
      </c>
      <c r="M499">
        <v>1000</v>
      </c>
      <c r="N499">
        <v>59948</v>
      </c>
      <c r="O499" t="s">
        <v>32</v>
      </c>
      <c r="P499">
        <v>4</v>
      </c>
      <c r="Q499">
        <v>18</v>
      </c>
      <c r="R499" t="str">
        <f>TEXT(Healthcare_Data[[#This Row],[Visit_Date]],"mmm")</f>
        <v>Jun</v>
      </c>
      <c r="S499">
        <f>MONTH(Healthcare_Data[[#This Row],[Visit_Date]])</f>
        <v>6</v>
      </c>
      <c r="T499" t="str">
        <f>IF(Healthcare_Data[[#This Row],[Final_Bill]]&gt;=50000,"High",IF(Healthcare_Data[[#This Row],[Final_Bill]]&gt;=20000,"Medium","low"))</f>
        <v>High</v>
      </c>
    </row>
    <row r="500" spans="1:20" x14ac:dyDescent="0.3">
      <c r="A500" t="s">
        <v>555</v>
      </c>
      <c r="B500" s="3">
        <v>45838</v>
      </c>
      <c r="C500" t="s">
        <v>38</v>
      </c>
      <c r="D500" t="s">
        <v>51</v>
      </c>
      <c r="E500" t="s">
        <v>20</v>
      </c>
      <c r="F500" t="s">
        <v>40</v>
      </c>
      <c r="G500">
        <v>18</v>
      </c>
      <c r="H500" t="s">
        <v>46</v>
      </c>
      <c r="I500" t="s">
        <v>42</v>
      </c>
      <c r="J500" t="s">
        <v>24</v>
      </c>
      <c r="K500">
        <v>0</v>
      </c>
      <c r="L500" s="4">
        <v>2541</v>
      </c>
      <c r="M500">
        <v>0</v>
      </c>
      <c r="N500">
        <v>2541</v>
      </c>
      <c r="O500" t="s">
        <v>25</v>
      </c>
      <c r="P500">
        <v>4.4000000000000004</v>
      </c>
      <c r="Q500">
        <v>107</v>
      </c>
      <c r="R500" t="str">
        <f>TEXT(Healthcare_Data[[#This Row],[Visit_Date]],"mmm")</f>
        <v>Jun</v>
      </c>
      <c r="S500">
        <f>MONTH(Healthcare_Data[[#This Row],[Visit_Date]])</f>
        <v>6</v>
      </c>
      <c r="T500" t="str">
        <f>IF(Healthcare_Data[[#This Row],[Final_Bill]]&gt;=50000,"High",IF(Healthcare_Data[[#This Row],[Final_Bill]]&gt;=20000,"Medium","low"))</f>
        <v>low</v>
      </c>
    </row>
    <row r="501" spans="1:20" x14ac:dyDescent="0.3">
      <c r="A501" t="s">
        <v>556</v>
      </c>
      <c r="B501" s="3">
        <v>45839</v>
      </c>
      <c r="C501" t="s">
        <v>54</v>
      </c>
      <c r="D501" t="s">
        <v>39</v>
      </c>
      <c r="E501" t="s">
        <v>54</v>
      </c>
      <c r="F501" t="s">
        <v>21</v>
      </c>
      <c r="G501">
        <v>59</v>
      </c>
      <c r="H501" t="s">
        <v>41</v>
      </c>
      <c r="I501" t="s">
        <v>69</v>
      </c>
      <c r="J501" t="s">
        <v>58</v>
      </c>
      <c r="K501">
        <v>0</v>
      </c>
      <c r="L501" s="4">
        <v>37545</v>
      </c>
      <c r="M501">
        <v>0</v>
      </c>
      <c r="N501">
        <v>37545</v>
      </c>
      <c r="O501" t="s">
        <v>25</v>
      </c>
      <c r="P501">
        <v>4.8</v>
      </c>
      <c r="Q501">
        <v>59</v>
      </c>
      <c r="R501" t="str">
        <f>TEXT(Healthcare_Data[[#This Row],[Visit_Date]],"mmm")</f>
        <v>Jul</v>
      </c>
      <c r="S501">
        <f>MONTH(Healthcare_Data[[#This Row],[Visit_Date]])</f>
        <v>7</v>
      </c>
      <c r="T501" t="str">
        <f>IF(Healthcare_Data[[#This Row],[Final_Bill]]&gt;=50000,"High",IF(Healthcare_Data[[#This Row],[Final_Bill]]&gt;=20000,"Medium","low"))</f>
        <v>Medium</v>
      </c>
    </row>
    <row r="502" spans="1:20" x14ac:dyDescent="0.3">
      <c r="A502" t="s">
        <v>557</v>
      </c>
      <c r="B502" s="3">
        <v>45840</v>
      </c>
      <c r="C502" t="s">
        <v>38</v>
      </c>
      <c r="D502" t="s">
        <v>51</v>
      </c>
      <c r="E502" t="s">
        <v>20</v>
      </c>
      <c r="F502" t="s">
        <v>40</v>
      </c>
      <c r="G502">
        <v>35</v>
      </c>
      <c r="H502" t="s">
        <v>29</v>
      </c>
      <c r="I502" t="s">
        <v>23</v>
      </c>
      <c r="J502" t="s">
        <v>58</v>
      </c>
      <c r="K502">
        <v>0</v>
      </c>
      <c r="L502" s="4">
        <v>16183</v>
      </c>
      <c r="M502">
        <v>1500</v>
      </c>
      <c r="N502">
        <v>14683</v>
      </c>
      <c r="O502" t="s">
        <v>25</v>
      </c>
      <c r="P502">
        <v>4</v>
      </c>
      <c r="Q502">
        <v>111</v>
      </c>
      <c r="R502" t="str">
        <f>TEXT(Healthcare_Data[[#This Row],[Visit_Date]],"mmm")</f>
        <v>Jul</v>
      </c>
      <c r="S502">
        <f>MONTH(Healthcare_Data[[#This Row],[Visit_Date]])</f>
        <v>7</v>
      </c>
      <c r="T502" t="str">
        <f>IF(Healthcare_Data[[#This Row],[Final_Bill]]&gt;=50000,"High",IF(Healthcare_Data[[#This Row],[Final_Bill]]&gt;=20000,"Medium","low"))</f>
        <v>low</v>
      </c>
    </row>
    <row r="503" spans="1:20" x14ac:dyDescent="0.3">
      <c r="A503" t="s">
        <v>558</v>
      </c>
      <c r="B503" s="3">
        <v>45840</v>
      </c>
      <c r="C503" t="s">
        <v>67</v>
      </c>
      <c r="D503" t="s">
        <v>28</v>
      </c>
      <c r="E503" t="s">
        <v>52</v>
      </c>
      <c r="F503" t="s">
        <v>40</v>
      </c>
      <c r="G503">
        <v>21</v>
      </c>
      <c r="H503" t="s">
        <v>115</v>
      </c>
      <c r="I503" t="s">
        <v>30</v>
      </c>
      <c r="J503" t="s">
        <v>58</v>
      </c>
      <c r="K503">
        <v>5</v>
      </c>
      <c r="L503" s="4">
        <v>79680</v>
      </c>
      <c r="M503">
        <v>2000</v>
      </c>
      <c r="N503">
        <v>77680</v>
      </c>
      <c r="O503" t="s">
        <v>25</v>
      </c>
      <c r="P503">
        <v>4.5</v>
      </c>
      <c r="Q503">
        <v>43</v>
      </c>
      <c r="R503" t="str">
        <f>TEXT(Healthcare_Data[[#This Row],[Visit_Date]],"mmm")</f>
        <v>Jul</v>
      </c>
      <c r="S503">
        <f>MONTH(Healthcare_Data[[#This Row],[Visit_Date]])</f>
        <v>7</v>
      </c>
      <c r="T503" t="str">
        <f>IF(Healthcare_Data[[#This Row],[Final_Bill]]&gt;=50000,"High",IF(Healthcare_Data[[#This Row],[Final_Bill]]&gt;=20000,"Medium","low"))</f>
        <v>High</v>
      </c>
    </row>
    <row r="504" spans="1:20" x14ac:dyDescent="0.3">
      <c r="A504" t="s">
        <v>559</v>
      </c>
      <c r="B504" s="3">
        <v>45841</v>
      </c>
      <c r="C504" t="s">
        <v>44</v>
      </c>
      <c r="D504" t="s">
        <v>34</v>
      </c>
      <c r="E504" t="s">
        <v>52</v>
      </c>
      <c r="F504" t="s">
        <v>21</v>
      </c>
      <c r="G504">
        <v>36</v>
      </c>
      <c r="H504" t="s">
        <v>22</v>
      </c>
      <c r="I504" t="s">
        <v>72</v>
      </c>
      <c r="J504" t="s">
        <v>24</v>
      </c>
      <c r="K504">
        <v>12</v>
      </c>
      <c r="L504" s="4">
        <v>45990</v>
      </c>
      <c r="M504">
        <v>1000</v>
      </c>
      <c r="N504">
        <v>44990</v>
      </c>
      <c r="O504" t="s">
        <v>25</v>
      </c>
      <c r="P504">
        <v>3</v>
      </c>
      <c r="Q504">
        <v>10</v>
      </c>
      <c r="R504" t="str">
        <f>TEXT(Healthcare_Data[[#This Row],[Visit_Date]],"mmm")</f>
        <v>Jul</v>
      </c>
      <c r="S504">
        <f>MONTH(Healthcare_Data[[#This Row],[Visit_Date]])</f>
        <v>7</v>
      </c>
      <c r="T504" t="str">
        <f>IF(Healthcare_Data[[#This Row],[Final_Bill]]&gt;=50000,"High",IF(Healthcare_Data[[#This Row],[Final_Bill]]&gt;=20000,"Medium","low"))</f>
        <v>Medium</v>
      </c>
    </row>
    <row r="505" spans="1:20" x14ac:dyDescent="0.3">
      <c r="A505" t="s">
        <v>560</v>
      </c>
      <c r="B505" s="3">
        <v>45841</v>
      </c>
      <c r="C505" t="s">
        <v>38</v>
      </c>
      <c r="D505" t="s">
        <v>51</v>
      </c>
      <c r="E505" t="s">
        <v>20</v>
      </c>
      <c r="F505" t="s">
        <v>21</v>
      </c>
      <c r="G505">
        <v>78</v>
      </c>
      <c r="H505" t="s">
        <v>35</v>
      </c>
      <c r="I505" t="s">
        <v>69</v>
      </c>
      <c r="J505" t="s">
        <v>58</v>
      </c>
      <c r="K505">
        <v>0</v>
      </c>
      <c r="L505" s="4">
        <v>15328</v>
      </c>
      <c r="M505">
        <v>2000</v>
      </c>
      <c r="N505">
        <v>13328</v>
      </c>
      <c r="O505" t="s">
        <v>25</v>
      </c>
      <c r="P505">
        <v>3.6</v>
      </c>
      <c r="Q505">
        <v>72</v>
      </c>
      <c r="R505" t="str">
        <f>TEXT(Healthcare_Data[[#This Row],[Visit_Date]],"mmm")</f>
        <v>Jul</v>
      </c>
      <c r="S505">
        <f>MONTH(Healthcare_Data[[#This Row],[Visit_Date]])</f>
        <v>7</v>
      </c>
      <c r="T505" t="str">
        <f>IF(Healthcare_Data[[#This Row],[Final_Bill]]&gt;=50000,"High",IF(Healthcare_Data[[#This Row],[Final_Bill]]&gt;=20000,"Medium","low"))</f>
        <v>low</v>
      </c>
    </row>
    <row r="506" spans="1:20" x14ac:dyDescent="0.3">
      <c r="A506" t="s">
        <v>561</v>
      </c>
      <c r="B506" s="3">
        <v>45841</v>
      </c>
      <c r="C506" t="s">
        <v>54</v>
      </c>
      <c r="D506" t="s">
        <v>28</v>
      </c>
      <c r="E506" t="s">
        <v>52</v>
      </c>
      <c r="F506" t="s">
        <v>21</v>
      </c>
      <c r="G506">
        <v>49</v>
      </c>
      <c r="H506" t="s">
        <v>41</v>
      </c>
      <c r="I506" t="s">
        <v>63</v>
      </c>
      <c r="J506" t="s">
        <v>24</v>
      </c>
      <c r="K506">
        <v>11</v>
      </c>
      <c r="L506" s="4">
        <v>69796</v>
      </c>
      <c r="M506">
        <v>0</v>
      </c>
      <c r="N506">
        <v>69796</v>
      </c>
      <c r="O506" t="s">
        <v>25</v>
      </c>
      <c r="P506">
        <v>4.7</v>
      </c>
      <c r="Q506">
        <v>10</v>
      </c>
      <c r="R506" t="str">
        <f>TEXT(Healthcare_Data[[#This Row],[Visit_Date]],"mmm")</f>
        <v>Jul</v>
      </c>
      <c r="S506">
        <f>MONTH(Healthcare_Data[[#This Row],[Visit_Date]])</f>
        <v>7</v>
      </c>
      <c r="T506" t="str">
        <f>IF(Healthcare_Data[[#This Row],[Final_Bill]]&gt;=50000,"High",IF(Healthcare_Data[[#This Row],[Final_Bill]]&gt;=20000,"Medium","low"))</f>
        <v>High</v>
      </c>
    </row>
    <row r="507" spans="1:20" x14ac:dyDescent="0.3">
      <c r="A507" t="s">
        <v>562</v>
      </c>
      <c r="B507" s="3">
        <v>45842</v>
      </c>
      <c r="C507" t="s">
        <v>48</v>
      </c>
      <c r="D507" t="s">
        <v>51</v>
      </c>
      <c r="E507" t="s">
        <v>52</v>
      </c>
      <c r="F507" t="s">
        <v>40</v>
      </c>
      <c r="G507">
        <v>31</v>
      </c>
      <c r="H507" t="s">
        <v>41</v>
      </c>
      <c r="I507" t="s">
        <v>72</v>
      </c>
      <c r="J507" t="s">
        <v>31</v>
      </c>
      <c r="K507">
        <v>2</v>
      </c>
      <c r="L507" s="4">
        <v>25532</v>
      </c>
      <c r="M507">
        <v>0</v>
      </c>
      <c r="N507">
        <v>25532</v>
      </c>
      <c r="O507" t="s">
        <v>25</v>
      </c>
      <c r="P507">
        <v>3.4</v>
      </c>
      <c r="Q507">
        <v>78</v>
      </c>
      <c r="R507" t="str">
        <f>TEXT(Healthcare_Data[[#This Row],[Visit_Date]],"mmm")</f>
        <v>Jul</v>
      </c>
      <c r="S507">
        <f>MONTH(Healthcare_Data[[#This Row],[Visit_Date]])</f>
        <v>7</v>
      </c>
      <c r="T507" t="str">
        <f>IF(Healthcare_Data[[#This Row],[Final_Bill]]&gt;=50000,"High",IF(Healthcare_Data[[#This Row],[Final_Bill]]&gt;=20000,"Medium","low"))</f>
        <v>Medium</v>
      </c>
    </row>
    <row r="508" spans="1:20" x14ac:dyDescent="0.3">
      <c r="A508" t="s">
        <v>563</v>
      </c>
      <c r="B508" s="3">
        <v>45843</v>
      </c>
      <c r="C508" t="s">
        <v>48</v>
      </c>
      <c r="D508" t="s">
        <v>34</v>
      </c>
      <c r="E508" t="s">
        <v>54</v>
      </c>
      <c r="F508" t="s">
        <v>40</v>
      </c>
      <c r="G508">
        <v>34</v>
      </c>
      <c r="H508" t="s">
        <v>65</v>
      </c>
      <c r="I508" t="s">
        <v>23</v>
      </c>
      <c r="J508" t="s">
        <v>36</v>
      </c>
      <c r="K508">
        <v>0</v>
      </c>
      <c r="L508" s="4">
        <v>13829</v>
      </c>
      <c r="M508">
        <v>2000</v>
      </c>
      <c r="N508">
        <v>11829</v>
      </c>
      <c r="O508" t="s">
        <v>25</v>
      </c>
      <c r="P508">
        <v>3.1</v>
      </c>
      <c r="Q508">
        <v>119</v>
      </c>
      <c r="R508" t="str">
        <f>TEXT(Healthcare_Data[[#This Row],[Visit_Date]],"mmm")</f>
        <v>Jul</v>
      </c>
      <c r="S508">
        <f>MONTH(Healthcare_Data[[#This Row],[Visit_Date]])</f>
        <v>7</v>
      </c>
      <c r="T508" t="str">
        <f>IF(Healthcare_Data[[#This Row],[Final_Bill]]&gt;=50000,"High",IF(Healthcare_Data[[#This Row],[Final_Bill]]&gt;=20000,"Medium","low"))</f>
        <v>low</v>
      </c>
    </row>
    <row r="509" spans="1:20" x14ac:dyDescent="0.3">
      <c r="A509" t="s">
        <v>564</v>
      </c>
      <c r="B509" s="3">
        <v>45843</v>
      </c>
      <c r="C509" t="s">
        <v>27</v>
      </c>
      <c r="D509" t="s">
        <v>34</v>
      </c>
      <c r="E509" t="s">
        <v>20</v>
      </c>
      <c r="F509" t="s">
        <v>21</v>
      </c>
      <c r="G509">
        <v>68</v>
      </c>
      <c r="H509" t="s">
        <v>115</v>
      </c>
      <c r="I509" t="s">
        <v>72</v>
      </c>
      <c r="J509" t="s">
        <v>31</v>
      </c>
      <c r="K509">
        <v>0</v>
      </c>
      <c r="L509" s="4">
        <v>19439</v>
      </c>
      <c r="M509">
        <v>0</v>
      </c>
      <c r="N509">
        <v>19439</v>
      </c>
      <c r="O509" t="s">
        <v>25</v>
      </c>
      <c r="P509">
        <v>3.5</v>
      </c>
      <c r="Q509">
        <v>115</v>
      </c>
      <c r="R509" t="str">
        <f>TEXT(Healthcare_Data[[#This Row],[Visit_Date]],"mmm")</f>
        <v>Jul</v>
      </c>
      <c r="S509">
        <f>MONTH(Healthcare_Data[[#This Row],[Visit_Date]])</f>
        <v>7</v>
      </c>
      <c r="T509" t="str">
        <f>IF(Healthcare_Data[[#This Row],[Final_Bill]]&gt;=50000,"High",IF(Healthcare_Data[[#This Row],[Final_Bill]]&gt;=20000,"Medium","low"))</f>
        <v>low</v>
      </c>
    </row>
    <row r="510" spans="1:20" x14ac:dyDescent="0.3">
      <c r="A510" t="s">
        <v>565</v>
      </c>
      <c r="B510" s="3">
        <v>45843</v>
      </c>
      <c r="C510" t="s">
        <v>67</v>
      </c>
      <c r="D510" t="s">
        <v>34</v>
      </c>
      <c r="E510" t="s">
        <v>54</v>
      </c>
      <c r="F510" t="s">
        <v>21</v>
      </c>
      <c r="G510">
        <v>77</v>
      </c>
      <c r="H510" t="s">
        <v>56</v>
      </c>
      <c r="I510" t="s">
        <v>42</v>
      </c>
      <c r="J510" t="s">
        <v>24</v>
      </c>
      <c r="K510">
        <v>0</v>
      </c>
      <c r="L510" s="4">
        <v>40624</v>
      </c>
      <c r="M510">
        <v>0</v>
      </c>
      <c r="N510">
        <v>40624</v>
      </c>
      <c r="O510" t="s">
        <v>25</v>
      </c>
      <c r="P510">
        <v>3.6</v>
      </c>
      <c r="Q510">
        <v>12</v>
      </c>
      <c r="R510" t="str">
        <f>TEXT(Healthcare_Data[[#This Row],[Visit_Date]],"mmm")</f>
        <v>Jul</v>
      </c>
      <c r="S510">
        <f>MONTH(Healthcare_Data[[#This Row],[Visit_Date]])</f>
        <v>7</v>
      </c>
      <c r="T510" t="str">
        <f>IF(Healthcare_Data[[#This Row],[Final_Bill]]&gt;=50000,"High",IF(Healthcare_Data[[#This Row],[Final_Bill]]&gt;=20000,"Medium","low"))</f>
        <v>Medium</v>
      </c>
    </row>
    <row r="511" spans="1:20" x14ac:dyDescent="0.3">
      <c r="A511" t="s">
        <v>566</v>
      </c>
      <c r="B511" s="3">
        <v>45844</v>
      </c>
      <c r="C511" t="s">
        <v>38</v>
      </c>
      <c r="D511" t="s">
        <v>34</v>
      </c>
      <c r="E511" t="s">
        <v>20</v>
      </c>
      <c r="F511" t="s">
        <v>40</v>
      </c>
      <c r="G511">
        <v>49</v>
      </c>
      <c r="H511" t="s">
        <v>29</v>
      </c>
      <c r="I511" t="s">
        <v>72</v>
      </c>
      <c r="J511" t="s">
        <v>24</v>
      </c>
      <c r="K511">
        <v>0</v>
      </c>
      <c r="L511" s="4">
        <v>5914</v>
      </c>
      <c r="M511">
        <v>1000</v>
      </c>
      <c r="N511">
        <v>4914</v>
      </c>
      <c r="O511" t="s">
        <v>25</v>
      </c>
      <c r="P511">
        <v>3.9</v>
      </c>
      <c r="Q511">
        <v>105</v>
      </c>
      <c r="R511" t="str">
        <f>TEXT(Healthcare_Data[[#This Row],[Visit_Date]],"mmm")</f>
        <v>Jul</v>
      </c>
      <c r="S511">
        <f>MONTH(Healthcare_Data[[#This Row],[Visit_Date]])</f>
        <v>7</v>
      </c>
      <c r="T511" t="str">
        <f>IF(Healthcare_Data[[#This Row],[Final_Bill]]&gt;=50000,"High",IF(Healthcare_Data[[#This Row],[Final_Bill]]&gt;=20000,"Medium","low"))</f>
        <v>low</v>
      </c>
    </row>
    <row r="512" spans="1:20" x14ac:dyDescent="0.3">
      <c r="A512" t="s">
        <v>567</v>
      </c>
      <c r="B512" s="3">
        <v>45844</v>
      </c>
      <c r="C512" t="s">
        <v>54</v>
      </c>
      <c r="D512" t="s">
        <v>19</v>
      </c>
      <c r="E512" t="s">
        <v>20</v>
      </c>
      <c r="F512" t="s">
        <v>40</v>
      </c>
      <c r="G512">
        <v>69</v>
      </c>
      <c r="H512" t="s">
        <v>65</v>
      </c>
      <c r="I512" t="s">
        <v>42</v>
      </c>
      <c r="J512" t="s">
        <v>58</v>
      </c>
      <c r="K512">
        <v>0</v>
      </c>
      <c r="L512" s="4">
        <v>17426</v>
      </c>
      <c r="M512">
        <v>500</v>
      </c>
      <c r="N512">
        <v>16926</v>
      </c>
      <c r="O512" t="s">
        <v>25</v>
      </c>
      <c r="P512">
        <v>3.6</v>
      </c>
      <c r="Q512">
        <v>16</v>
      </c>
      <c r="R512" t="str">
        <f>TEXT(Healthcare_Data[[#This Row],[Visit_Date]],"mmm")</f>
        <v>Jul</v>
      </c>
      <c r="S512">
        <f>MONTH(Healthcare_Data[[#This Row],[Visit_Date]])</f>
        <v>7</v>
      </c>
      <c r="T512" t="str">
        <f>IF(Healthcare_Data[[#This Row],[Final_Bill]]&gt;=50000,"High",IF(Healthcare_Data[[#This Row],[Final_Bill]]&gt;=20000,"Medium","low"))</f>
        <v>low</v>
      </c>
    </row>
    <row r="513" spans="1:20" x14ac:dyDescent="0.3">
      <c r="A513" t="s">
        <v>568</v>
      </c>
      <c r="B513" s="3">
        <v>45844</v>
      </c>
      <c r="C513" t="s">
        <v>38</v>
      </c>
      <c r="D513" t="s">
        <v>28</v>
      </c>
      <c r="E513" t="s">
        <v>20</v>
      </c>
      <c r="F513" t="s">
        <v>40</v>
      </c>
      <c r="G513">
        <v>30</v>
      </c>
      <c r="H513" t="s">
        <v>65</v>
      </c>
      <c r="I513" t="s">
        <v>63</v>
      </c>
      <c r="J513" t="s">
        <v>1057</v>
      </c>
      <c r="K513">
        <v>0</v>
      </c>
      <c r="L513" s="4">
        <v>10156</v>
      </c>
      <c r="M513">
        <v>1000</v>
      </c>
      <c r="N513">
        <v>9156</v>
      </c>
      <c r="O513" t="s">
        <v>25</v>
      </c>
      <c r="P513">
        <v>3.8</v>
      </c>
      <c r="Q513">
        <v>107</v>
      </c>
      <c r="R513" t="str">
        <f>TEXT(Healthcare_Data[[#This Row],[Visit_Date]],"mmm")</f>
        <v>Jul</v>
      </c>
      <c r="S513">
        <f>MONTH(Healthcare_Data[[#This Row],[Visit_Date]])</f>
        <v>7</v>
      </c>
      <c r="T513" t="str">
        <f>IF(Healthcare_Data[[#This Row],[Final_Bill]]&gt;=50000,"High",IF(Healthcare_Data[[#This Row],[Final_Bill]]&gt;=20000,"Medium","low"))</f>
        <v>low</v>
      </c>
    </row>
    <row r="514" spans="1:20" x14ac:dyDescent="0.3">
      <c r="A514" t="s">
        <v>569</v>
      </c>
      <c r="B514" s="3">
        <v>45844</v>
      </c>
      <c r="C514" t="s">
        <v>54</v>
      </c>
      <c r="D514" t="s">
        <v>28</v>
      </c>
      <c r="E514" t="s">
        <v>52</v>
      </c>
      <c r="F514" t="s">
        <v>40</v>
      </c>
      <c r="G514">
        <v>76</v>
      </c>
      <c r="H514" t="s">
        <v>46</v>
      </c>
      <c r="I514" t="s">
        <v>69</v>
      </c>
      <c r="J514" t="s">
        <v>31</v>
      </c>
      <c r="K514">
        <v>8</v>
      </c>
      <c r="L514" s="4">
        <v>19535</v>
      </c>
      <c r="M514">
        <v>1500</v>
      </c>
      <c r="N514">
        <v>18035</v>
      </c>
      <c r="O514" t="s">
        <v>32</v>
      </c>
      <c r="P514">
        <v>3.9</v>
      </c>
      <c r="Q514">
        <v>91</v>
      </c>
      <c r="R514" t="str">
        <f>TEXT(Healthcare_Data[[#This Row],[Visit_Date]],"mmm")</f>
        <v>Jul</v>
      </c>
      <c r="S514">
        <f>MONTH(Healthcare_Data[[#This Row],[Visit_Date]])</f>
        <v>7</v>
      </c>
      <c r="T514" t="str">
        <f>IF(Healthcare_Data[[#This Row],[Final_Bill]]&gt;=50000,"High",IF(Healthcare_Data[[#This Row],[Final_Bill]]&gt;=20000,"Medium","low"))</f>
        <v>low</v>
      </c>
    </row>
    <row r="515" spans="1:20" x14ac:dyDescent="0.3">
      <c r="A515" t="s">
        <v>570</v>
      </c>
      <c r="B515" s="3">
        <v>45844</v>
      </c>
      <c r="C515" t="s">
        <v>50</v>
      </c>
      <c r="D515" t="s">
        <v>19</v>
      </c>
      <c r="E515" t="s">
        <v>54</v>
      </c>
      <c r="F515" t="s">
        <v>40</v>
      </c>
      <c r="G515">
        <v>51</v>
      </c>
      <c r="H515" t="s">
        <v>22</v>
      </c>
      <c r="I515" t="s">
        <v>42</v>
      </c>
      <c r="J515" t="s">
        <v>24</v>
      </c>
      <c r="K515">
        <v>0</v>
      </c>
      <c r="L515" s="4">
        <v>35610</v>
      </c>
      <c r="M515">
        <v>0</v>
      </c>
      <c r="N515">
        <v>35610</v>
      </c>
      <c r="O515" t="s">
        <v>25</v>
      </c>
      <c r="P515">
        <v>3</v>
      </c>
      <c r="Q515">
        <v>6</v>
      </c>
      <c r="R515" t="str">
        <f>TEXT(Healthcare_Data[[#This Row],[Visit_Date]],"mmm")</f>
        <v>Jul</v>
      </c>
      <c r="S515">
        <f>MONTH(Healthcare_Data[[#This Row],[Visit_Date]])</f>
        <v>7</v>
      </c>
      <c r="T515" t="str">
        <f>IF(Healthcare_Data[[#This Row],[Final_Bill]]&gt;=50000,"High",IF(Healthcare_Data[[#This Row],[Final_Bill]]&gt;=20000,"Medium","low"))</f>
        <v>Medium</v>
      </c>
    </row>
    <row r="516" spans="1:20" x14ac:dyDescent="0.3">
      <c r="A516" t="s">
        <v>571</v>
      </c>
      <c r="B516" s="3">
        <v>45845</v>
      </c>
      <c r="C516" t="s">
        <v>44</v>
      </c>
      <c r="D516" t="s">
        <v>34</v>
      </c>
      <c r="E516" t="s">
        <v>20</v>
      </c>
      <c r="F516" t="s">
        <v>40</v>
      </c>
      <c r="G516">
        <v>33</v>
      </c>
      <c r="H516" t="s">
        <v>22</v>
      </c>
      <c r="I516" t="s">
        <v>30</v>
      </c>
      <c r="J516" t="s">
        <v>58</v>
      </c>
      <c r="K516">
        <v>0</v>
      </c>
      <c r="L516" s="4">
        <v>18993</v>
      </c>
      <c r="M516">
        <v>2000</v>
      </c>
      <c r="N516">
        <v>16993</v>
      </c>
      <c r="O516" t="s">
        <v>25</v>
      </c>
      <c r="P516">
        <v>3.2</v>
      </c>
      <c r="Q516">
        <v>67</v>
      </c>
      <c r="R516" t="str">
        <f>TEXT(Healthcare_Data[[#This Row],[Visit_Date]],"mmm")</f>
        <v>Jul</v>
      </c>
      <c r="S516">
        <f>MONTH(Healthcare_Data[[#This Row],[Visit_Date]])</f>
        <v>7</v>
      </c>
      <c r="T516" t="str">
        <f>IF(Healthcare_Data[[#This Row],[Final_Bill]]&gt;=50000,"High",IF(Healthcare_Data[[#This Row],[Final_Bill]]&gt;=20000,"Medium","low"))</f>
        <v>low</v>
      </c>
    </row>
    <row r="517" spans="1:20" x14ac:dyDescent="0.3">
      <c r="A517" t="s">
        <v>572</v>
      </c>
      <c r="B517" s="3">
        <v>45845</v>
      </c>
      <c r="C517" t="s">
        <v>54</v>
      </c>
      <c r="D517" t="s">
        <v>39</v>
      </c>
      <c r="E517" t="s">
        <v>20</v>
      </c>
      <c r="F517" t="s">
        <v>40</v>
      </c>
      <c r="G517">
        <v>53</v>
      </c>
      <c r="H517" t="s">
        <v>115</v>
      </c>
      <c r="I517" t="s">
        <v>57</v>
      </c>
      <c r="J517" t="s">
        <v>24</v>
      </c>
      <c r="K517">
        <v>0</v>
      </c>
      <c r="L517" s="4">
        <v>14801</v>
      </c>
      <c r="M517">
        <v>1000</v>
      </c>
      <c r="N517">
        <v>13801</v>
      </c>
      <c r="O517" t="s">
        <v>25</v>
      </c>
      <c r="P517">
        <v>2.5</v>
      </c>
      <c r="Q517">
        <v>8</v>
      </c>
      <c r="R517" t="str">
        <f>TEXT(Healthcare_Data[[#This Row],[Visit_Date]],"mmm")</f>
        <v>Jul</v>
      </c>
      <c r="S517">
        <f>MONTH(Healthcare_Data[[#This Row],[Visit_Date]])</f>
        <v>7</v>
      </c>
      <c r="T517" t="str">
        <f>IF(Healthcare_Data[[#This Row],[Final_Bill]]&gt;=50000,"High",IF(Healthcare_Data[[#This Row],[Final_Bill]]&gt;=20000,"Medium","low"))</f>
        <v>low</v>
      </c>
    </row>
    <row r="518" spans="1:20" x14ac:dyDescent="0.3">
      <c r="A518" t="s">
        <v>573</v>
      </c>
      <c r="B518" s="3">
        <v>45845</v>
      </c>
      <c r="C518" t="s">
        <v>44</v>
      </c>
      <c r="D518" t="s">
        <v>51</v>
      </c>
      <c r="E518" t="s">
        <v>52</v>
      </c>
      <c r="F518" t="s">
        <v>21</v>
      </c>
      <c r="G518">
        <v>37</v>
      </c>
      <c r="H518" t="s">
        <v>56</v>
      </c>
      <c r="I518" t="s">
        <v>57</v>
      </c>
      <c r="J518" t="s">
        <v>31</v>
      </c>
      <c r="K518">
        <v>10</v>
      </c>
      <c r="L518" s="4">
        <v>57718</v>
      </c>
      <c r="M518">
        <v>1500</v>
      </c>
      <c r="N518">
        <v>56218</v>
      </c>
      <c r="O518" t="s">
        <v>25</v>
      </c>
      <c r="P518">
        <v>3</v>
      </c>
      <c r="Q518">
        <v>116</v>
      </c>
      <c r="R518" t="str">
        <f>TEXT(Healthcare_Data[[#This Row],[Visit_Date]],"mmm")</f>
        <v>Jul</v>
      </c>
      <c r="S518">
        <f>MONTH(Healthcare_Data[[#This Row],[Visit_Date]])</f>
        <v>7</v>
      </c>
      <c r="T518" t="str">
        <f>IF(Healthcare_Data[[#This Row],[Final_Bill]]&gt;=50000,"High",IF(Healthcare_Data[[#This Row],[Final_Bill]]&gt;=20000,"Medium","low"))</f>
        <v>High</v>
      </c>
    </row>
    <row r="519" spans="1:20" x14ac:dyDescent="0.3">
      <c r="A519" t="s">
        <v>574</v>
      </c>
      <c r="B519" s="3">
        <v>45846</v>
      </c>
      <c r="C519" t="s">
        <v>67</v>
      </c>
      <c r="D519" t="s">
        <v>51</v>
      </c>
      <c r="E519" t="s">
        <v>52</v>
      </c>
      <c r="F519" t="s">
        <v>40</v>
      </c>
      <c r="G519">
        <v>61</v>
      </c>
      <c r="H519" t="s">
        <v>22</v>
      </c>
      <c r="I519" t="s">
        <v>57</v>
      </c>
      <c r="J519" t="s">
        <v>58</v>
      </c>
      <c r="K519">
        <v>6</v>
      </c>
      <c r="L519" s="4">
        <v>46824</v>
      </c>
      <c r="M519">
        <v>1000</v>
      </c>
      <c r="N519">
        <v>45824</v>
      </c>
      <c r="O519" t="s">
        <v>25</v>
      </c>
      <c r="P519">
        <v>3.1</v>
      </c>
      <c r="Q519">
        <v>11</v>
      </c>
      <c r="R519" t="str">
        <f>TEXT(Healthcare_Data[[#This Row],[Visit_Date]],"mmm")</f>
        <v>Jul</v>
      </c>
      <c r="S519">
        <f>MONTH(Healthcare_Data[[#This Row],[Visit_Date]])</f>
        <v>7</v>
      </c>
      <c r="T519" t="str">
        <f>IF(Healthcare_Data[[#This Row],[Final_Bill]]&gt;=50000,"High",IF(Healthcare_Data[[#This Row],[Final_Bill]]&gt;=20000,"Medium","low"))</f>
        <v>Medium</v>
      </c>
    </row>
    <row r="520" spans="1:20" x14ac:dyDescent="0.3">
      <c r="A520" t="s">
        <v>575</v>
      </c>
      <c r="B520" s="3">
        <v>45846</v>
      </c>
      <c r="C520" t="s">
        <v>18</v>
      </c>
      <c r="D520" t="s">
        <v>51</v>
      </c>
      <c r="E520" t="s">
        <v>20</v>
      </c>
      <c r="F520" t="s">
        <v>40</v>
      </c>
      <c r="G520">
        <v>62</v>
      </c>
      <c r="H520" t="s">
        <v>22</v>
      </c>
      <c r="I520" t="s">
        <v>42</v>
      </c>
      <c r="J520" t="s">
        <v>24</v>
      </c>
      <c r="K520">
        <v>0</v>
      </c>
      <c r="L520" s="4">
        <v>5508</v>
      </c>
      <c r="M520">
        <v>1000</v>
      </c>
      <c r="N520">
        <v>4508</v>
      </c>
      <c r="O520" t="s">
        <v>25</v>
      </c>
      <c r="P520">
        <v>4.4000000000000004</v>
      </c>
      <c r="Q520">
        <v>11</v>
      </c>
      <c r="R520" t="str">
        <f>TEXT(Healthcare_Data[[#This Row],[Visit_Date]],"mmm")</f>
        <v>Jul</v>
      </c>
      <c r="S520">
        <f>MONTH(Healthcare_Data[[#This Row],[Visit_Date]])</f>
        <v>7</v>
      </c>
      <c r="T520" t="str">
        <f>IF(Healthcare_Data[[#This Row],[Final_Bill]]&gt;=50000,"High",IF(Healthcare_Data[[#This Row],[Final_Bill]]&gt;=20000,"Medium","low"))</f>
        <v>low</v>
      </c>
    </row>
    <row r="521" spans="1:20" x14ac:dyDescent="0.3">
      <c r="A521" t="s">
        <v>576</v>
      </c>
      <c r="B521" s="3">
        <v>45847</v>
      </c>
      <c r="C521" t="s">
        <v>27</v>
      </c>
      <c r="D521" t="s">
        <v>19</v>
      </c>
      <c r="E521" t="s">
        <v>52</v>
      </c>
      <c r="F521" t="s">
        <v>21</v>
      </c>
      <c r="G521">
        <v>64</v>
      </c>
      <c r="H521" t="s">
        <v>65</v>
      </c>
      <c r="I521" t="s">
        <v>57</v>
      </c>
      <c r="J521" t="s">
        <v>36</v>
      </c>
      <c r="K521">
        <v>10</v>
      </c>
      <c r="L521" s="4">
        <v>57036</v>
      </c>
      <c r="M521">
        <v>1000</v>
      </c>
      <c r="N521">
        <v>56036</v>
      </c>
      <c r="O521" t="s">
        <v>25</v>
      </c>
      <c r="P521">
        <v>2.5</v>
      </c>
      <c r="Q521">
        <v>70</v>
      </c>
      <c r="R521" t="str">
        <f>TEXT(Healthcare_Data[[#This Row],[Visit_Date]],"mmm")</f>
        <v>Jul</v>
      </c>
      <c r="S521">
        <f>MONTH(Healthcare_Data[[#This Row],[Visit_Date]])</f>
        <v>7</v>
      </c>
      <c r="T521" t="str">
        <f>IF(Healthcare_Data[[#This Row],[Final_Bill]]&gt;=50000,"High",IF(Healthcare_Data[[#This Row],[Final_Bill]]&gt;=20000,"Medium","low"))</f>
        <v>High</v>
      </c>
    </row>
    <row r="522" spans="1:20" x14ac:dyDescent="0.3">
      <c r="A522" t="s">
        <v>577</v>
      </c>
      <c r="B522" s="3">
        <v>45847</v>
      </c>
      <c r="C522" t="s">
        <v>18</v>
      </c>
      <c r="D522" t="s">
        <v>34</v>
      </c>
      <c r="E522" t="s">
        <v>20</v>
      </c>
      <c r="F522" t="s">
        <v>40</v>
      </c>
      <c r="G522">
        <v>73</v>
      </c>
      <c r="H522" t="s">
        <v>29</v>
      </c>
      <c r="I522" t="s">
        <v>69</v>
      </c>
      <c r="J522" t="s">
        <v>36</v>
      </c>
      <c r="K522">
        <v>0</v>
      </c>
      <c r="L522" s="4">
        <v>14063</v>
      </c>
      <c r="M522">
        <v>1500</v>
      </c>
      <c r="N522">
        <v>12563</v>
      </c>
      <c r="O522" t="s">
        <v>25</v>
      </c>
      <c r="P522">
        <v>3.2</v>
      </c>
      <c r="Q522">
        <v>5</v>
      </c>
      <c r="R522" t="str">
        <f>TEXT(Healthcare_Data[[#This Row],[Visit_Date]],"mmm")</f>
        <v>Jul</v>
      </c>
      <c r="S522">
        <f>MONTH(Healthcare_Data[[#This Row],[Visit_Date]])</f>
        <v>7</v>
      </c>
      <c r="T522" t="str">
        <f>IF(Healthcare_Data[[#This Row],[Final_Bill]]&gt;=50000,"High",IF(Healthcare_Data[[#This Row],[Final_Bill]]&gt;=20000,"Medium","low"))</f>
        <v>low</v>
      </c>
    </row>
    <row r="523" spans="1:20" x14ac:dyDescent="0.3">
      <c r="A523" t="s">
        <v>578</v>
      </c>
      <c r="B523" s="3">
        <v>45847</v>
      </c>
      <c r="C523" t="s">
        <v>27</v>
      </c>
      <c r="D523" t="s">
        <v>51</v>
      </c>
      <c r="E523" t="s">
        <v>20</v>
      </c>
      <c r="F523" t="s">
        <v>21</v>
      </c>
      <c r="G523">
        <v>80</v>
      </c>
      <c r="H523" t="s">
        <v>115</v>
      </c>
      <c r="I523" t="s">
        <v>57</v>
      </c>
      <c r="J523" t="s">
        <v>58</v>
      </c>
      <c r="K523">
        <v>0</v>
      </c>
      <c r="L523" s="4">
        <v>5687</v>
      </c>
      <c r="M523">
        <v>1000</v>
      </c>
      <c r="N523">
        <v>4687</v>
      </c>
      <c r="O523" t="s">
        <v>25</v>
      </c>
      <c r="P523">
        <v>4.0999999999999996</v>
      </c>
      <c r="Q523">
        <v>22</v>
      </c>
      <c r="R523" t="str">
        <f>TEXT(Healthcare_Data[[#This Row],[Visit_Date]],"mmm")</f>
        <v>Jul</v>
      </c>
      <c r="S523">
        <f>MONTH(Healthcare_Data[[#This Row],[Visit_Date]])</f>
        <v>7</v>
      </c>
      <c r="T523" t="str">
        <f>IF(Healthcare_Data[[#This Row],[Final_Bill]]&gt;=50000,"High",IF(Healthcare_Data[[#This Row],[Final_Bill]]&gt;=20000,"Medium","low"))</f>
        <v>low</v>
      </c>
    </row>
    <row r="524" spans="1:20" x14ac:dyDescent="0.3">
      <c r="A524" t="s">
        <v>579</v>
      </c>
      <c r="B524" s="3">
        <v>45847</v>
      </c>
      <c r="C524" t="s">
        <v>48</v>
      </c>
      <c r="D524" t="s">
        <v>28</v>
      </c>
      <c r="E524" t="s">
        <v>54</v>
      </c>
      <c r="F524" t="s">
        <v>40</v>
      </c>
      <c r="G524">
        <v>34</v>
      </c>
      <c r="H524" t="s">
        <v>22</v>
      </c>
      <c r="I524" t="s">
        <v>57</v>
      </c>
      <c r="J524" t="s">
        <v>24</v>
      </c>
      <c r="K524">
        <v>0</v>
      </c>
      <c r="L524" s="4">
        <v>40345</v>
      </c>
      <c r="M524">
        <v>1000</v>
      </c>
      <c r="N524">
        <v>39345</v>
      </c>
      <c r="O524" t="s">
        <v>25</v>
      </c>
      <c r="P524">
        <v>3.9</v>
      </c>
      <c r="Q524">
        <v>27</v>
      </c>
      <c r="R524" t="str">
        <f>TEXT(Healthcare_Data[[#This Row],[Visit_Date]],"mmm")</f>
        <v>Jul</v>
      </c>
      <c r="S524">
        <f>MONTH(Healthcare_Data[[#This Row],[Visit_Date]])</f>
        <v>7</v>
      </c>
      <c r="T524" t="str">
        <f>IF(Healthcare_Data[[#This Row],[Final_Bill]]&gt;=50000,"High",IF(Healthcare_Data[[#This Row],[Final_Bill]]&gt;=20000,"Medium","low"))</f>
        <v>Medium</v>
      </c>
    </row>
    <row r="525" spans="1:20" x14ac:dyDescent="0.3">
      <c r="A525" t="s">
        <v>580</v>
      </c>
      <c r="B525" s="3">
        <v>45847</v>
      </c>
      <c r="C525" t="s">
        <v>44</v>
      </c>
      <c r="D525" t="s">
        <v>39</v>
      </c>
      <c r="E525" t="s">
        <v>20</v>
      </c>
      <c r="F525" t="s">
        <v>40</v>
      </c>
      <c r="G525">
        <v>52</v>
      </c>
      <c r="H525" t="s">
        <v>65</v>
      </c>
      <c r="I525" t="s">
        <v>23</v>
      </c>
      <c r="J525" t="s">
        <v>24</v>
      </c>
      <c r="K525">
        <v>0</v>
      </c>
      <c r="L525" s="4">
        <v>19825</v>
      </c>
      <c r="M525">
        <v>500</v>
      </c>
      <c r="N525">
        <v>19325</v>
      </c>
      <c r="O525" t="s">
        <v>59</v>
      </c>
      <c r="P525">
        <v>4.7</v>
      </c>
      <c r="Q525">
        <v>60</v>
      </c>
      <c r="R525" t="str">
        <f>TEXT(Healthcare_Data[[#This Row],[Visit_Date]],"mmm")</f>
        <v>Jul</v>
      </c>
      <c r="S525">
        <f>MONTH(Healthcare_Data[[#This Row],[Visit_Date]])</f>
        <v>7</v>
      </c>
      <c r="T525" t="str">
        <f>IF(Healthcare_Data[[#This Row],[Final_Bill]]&gt;=50000,"High",IF(Healthcare_Data[[#This Row],[Final_Bill]]&gt;=20000,"Medium","low"))</f>
        <v>low</v>
      </c>
    </row>
    <row r="526" spans="1:20" x14ac:dyDescent="0.3">
      <c r="A526" t="s">
        <v>581</v>
      </c>
      <c r="B526" s="3">
        <v>45847</v>
      </c>
      <c r="C526" t="s">
        <v>38</v>
      </c>
      <c r="D526" t="s">
        <v>51</v>
      </c>
      <c r="E526" t="s">
        <v>54</v>
      </c>
      <c r="F526" t="s">
        <v>40</v>
      </c>
      <c r="G526">
        <v>56</v>
      </c>
      <c r="H526" t="s">
        <v>35</v>
      </c>
      <c r="I526" t="s">
        <v>42</v>
      </c>
      <c r="J526" t="s">
        <v>1057</v>
      </c>
      <c r="K526">
        <v>0</v>
      </c>
      <c r="L526" s="4">
        <v>44536</v>
      </c>
      <c r="M526">
        <v>500</v>
      </c>
      <c r="N526">
        <v>44036</v>
      </c>
      <c r="O526" t="s">
        <v>25</v>
      </c>
      <c r="P526">
        <v>4.0999999999999996</v>
      </c>
      <c r="Q526">
        <v>36</v>
      </c>
      <c r="R526" t="str">
        <f>TEXT(Healthcare_Data[[#This Row],[Visit_Date]],"mmm")</f>
        <v>Jul</v>
      </c>
      <c r="S526">
        <f>MONTH(Healthcare_Data[[#This Row],[Visit_Date]])</f>
        <v>7</v>
      </c>
      <c r="T526" t="str">
        <f>IF(Healthcare_Data[[#This Row],[Final_Bill]]&gt;=50000,"High",IF(Healthcare_Data[[#This Row],[Final_Bill]]&gt;=20000,"Medium","low"))</f>
        <v>Medium</v>
      </c>
    </row>
    <row r="527" spans="1:20" x14ac:dyDescent="0.3">
      <c r="A527" t="s">
        <v>582</v>
      </c>
      <c r="B527" s="3">
        <v>45848</v>
      </c>
      <c r="C527" t="s">
        <v>38</v>
      </c>
      <c r="D527" t="s">
        <v>39</v>
      </c>
      <c r="E527" t="s">
        <v>20</v>
      </c>
      <c r="F527" t="s">
        <v>40</v>
      </c>
      <c r="G527">
        <v>25</v>
      </c>
      <c r="H527" t="s">
        <v>46</v>
      </c>
      <c r="I527" t="s">
        <v>57</v>
      </c>
      <c r="J527" t="s">
        <v>24</v>
      </c>
      <c r="K527">
        <v>0</v>
      </c>
      <c r="L527" s="4">
        <v>5470</v>
      </c>
      <c r="M527">
        <v>0</v>
      </c>
      <c r="N527">
        <v>5470</v>
      </c>
      <c r="O527" t="s">
        <v>25</v>
      </c>
      <c r="P527">
        <v>3.8</v>
      </c>
      <c r="Q527">
        <v>20</v>
      </c>
      <c r="R527" t="str">
        <f>TEXT(Healthcare_Data[[#This Row],[Visit_Date]],"mmm")</f>
        <v>Jul</v>
      </c>
      <c r="S527">
        <f>MONTH(Healthcare_Data[[#This Row],[Visit_Date]])</f>
        <v>7</v>
      </c>
      <c r="T527" t="str">
        <f>IF(Healthcare_Data[[#This Row],[Final_Bill]]&gt;=50000,"High",IF(Healthcare_Data[[#This Row],[Final_Bill]]&gt;=20000,"Medium","low"))</f>
        <v>low</v>
      </c>
    </row>
    <row r="528" spans="1:20" x14ac:dyDescent="0.3">
      <c r="A528" t="s">
        <v>583</v>
      </c>
      <c r="B528" s="3">
        <v>45848</v>
      </c>
      <c r="C528" t="s">
        <v>38</v>
      </c>
      <c r="D528" t="s">
        <v>51</v>
      </c>
      <c r="E528" t="s">
        <v>20</v>
      </c>
      <c r="F528" t="s">
        <v>40</v>
      </c>
      <c r="G528">
        <v>49</v>
      </c>
      <c r="H528" t="s">
        <v>56</v>
      </c>
      <c r="I528" t="s">
        <v>23</v>
      </c>
      <c r="J528" t="s">
        <v>31</v>
      </c>
      <c r="K528">
        <v>0</v>
      </c>
      <c r="L528" s="4">
        <v>19134</v>
      </c>
      <c r="M528">
        <v>0</v>
      </c>
      <c r="N528">
        <v>19134</v>
      </c>
      <c r="O528" t="s">
        <v>25</v>
      </c>
      <c r="P528">
        <v>3.3</v>
      </c>
      <c r="Q528">
        <v>20</v>
      </c>
      <c r="R528" t="str">
        <f>TEXT(Healthcare_Data[[#This Row],[Visit_Date]],"mmm")</f>
        <v>Jul</v>
      </c>
      <c r="S528">
        <f>MONTH(Healthcare_Data[[#This Row],[Visit_Date]])</f>
        <v>7</v>
      </c>
      <c r="T528" t="str">
        <f>IF(Healthcare_Data[[#This Row],[Final_Bill]]&gt;=50000,"High",IF(Healthcare_Data[[#This Row],[Final_Bill]]&gt;=20000,"Medium","low"))</f>
        <v>low</v>
      </c>
    </row>
    <row r="529" spans="1:20" x14ac:dyDescent="0.3">
      <c r="A529" t="s">
        <v>584</v>
      </c>
      <c r="B529" s="3">
        <v>45848</v>
      </c>
      <c r="C529" t="s">
        <v>27</v>
      </c>
      <c r="D529" t="s">
        <v>28</v>
      </c>
      <c r="E529" t="s">
        <v>20</v>
      </c>
      <c r="F529" t="s">
        <v>21</v>
      </c>
      <c r="G529">
        <v>55</v>
      </c>
      <c r="H529" t="s">
        <v>46</v>
      </c>
      <c r="I529" t="s">
        <v>72</v>
      </c>
      <c r="J529" t="s">
        <v>31</v>
      </c>
      <c r="K529">
        <v>0</v>
      </c>
      <c r="L529" s="4">
        <v>11205</v>
      </c>
      <c r="M529">
        <v>0</v>
      </c>
      <c r="N529">
        <v>11205</v>
      </c>
      <c r="O529" t="s">
        <v>25</v>
      </c>
      <c r="P529">
        <v>4.7</v>
      </c>
      <c r="Q529">
        <v>9</v>
      </c>
      <c r="R529" t="str">
        <f>TEXT(Healthcare_Data[[#This Row],[Visit_Date]],"mmm")</f>
        <v>Jul</v>
      </c>
      <c r="S529">
        <f>MONTH(Healthcare_Data[[#This Row],[Visit_Date]])</f>
        <v>7</v>
      </c>
      <c r="T529" t="str">
        <f>IF(Healthcare_Data[[#This Row],[Final_Bill]]&gt;=50000,"High",IF(Healthcare_Data[[#This Row],[Final_Bill]]&gt;=20000,"Medium","low"))</f>
        <v>low</v>
      </c>
    </row>
    <row r="530" spans="1:20" x14ac:dyDescent="0.3">
      <c r="A530" t="s">
        <v>585</v>
      </c>
      <c r="B530" s="3">
        <v>45849</v>
      </c>
      <c r="C530" t="s">
        <v>54</v>
      </c>
      <c r="D530" t="s">
        <v>28</v>
      </c>
      <c r="E530" t="s">
        <v>20</v>
      </c>
      <c r="F530" t="s">
        <v>40</v>
      </c>
      <c r="G530">
        <v>79</v>
      </c>
      <c r="H530" t="s">
        <v>41</v>
      </c>
      <c r="I530" t="s">
        <v>23</v>
      </c>
      <c r="J530" t="s">
        <v>24</v>
      </c>
      <c r="K530">
        <v>0</v>
      </c>
      <c r="L530" s="4">
        <v>16337</v>
      </c>
      <c r="M530">
        <v>1000</v>
      </c>
      <c r="N530">
        <v>15337</v>
      </c>
      <c r="O530" t="s">
        <v>25</v>
      </c>
      <c r="P530">
        <v>4.5999999999999996</v>
      </c>
      <c r="Q530">
        <v>57</v>
      </c>
      <c r="R530" t="str">
        <f>TEXT(Healthcare_Data[[#This Row],[Visit_Date]],"mmm")</f>
        <v>Jul</v>
      </c>
      <c r="S530">
        <f>MONTH(Healthcare_Data[[#This Row],[Visit_Date]])</f>
        <v>7</v>
      </c>
      <c r="T530" t="str">
        <f>IF(Healthcare_Data[[#This Row],[Final_Bill]]&gt;=50000,"High",IF(Healthcare_Data[[#This Row],[Final_Bill]]&gt;=20000,"Medium","low"))</f>
        <v>low</v>
      </c>
    </row>
    <row r="531" spans="1:20" x14ac:dyDescent="0.3">
      <c r="A531" t="s">
        <v>586</v>
      </c>
      <c r="B531" s="3">
        <v>45849</v>
      </c>
      <c r="C531" t="s">
        <v>54</v>
      </c>
      <c r="D531" t="s">
        <v>28</v>
      </c>
      <c r="E531" t="s">
        <v>20</v>
      </c>
      <c r="F531" t="s">
        <v>21</v>
      </c>
      <c r="G531">
        <v>34</v>
      </c>
      <c r="H531" t="s">
        <v>35</v>
      </c>
      <c r="I531" t="s">
        <v>57</v>
      </c>
      <c r="J531" t="s">
        <v>24</v>
      </c>
      <c r="K531">
        <v>0</v>
      </c>
      <c r="L531" s="4">
        <v>5850</v>
      </c>
      <c r="M531">
        <v>500</v>
      </c>
      <c r="N531">
        <v>5350</v>
      </c>
      <c r="O531" t="s">
        <v>59</v>
      </c>
      <c r="Q531">
        <v>67</v>
      </c>
      <c r="R531" t="str">
        <f>TEXT(Healthcare_Data[[#This Row],[Visit_Date]],"mmm")</f>
        <v>Jul</v>
      </c>
      <c r="S531">
        <f>MONTH(Healthcare_Data[[#This Row],[Visit_Date]])</f>
        <v>7</v>
      </c>
      <c r="T531" t="str">
        <f>IF(Healthcare_Data[[#This Row],[Final_Bill]]&gt;=50000,"High",IF(Healthcare_Data[[#This Row],[Final_Bill]]&gt;=20000,"Medium","low"))</f>
        <v>low</v>
      </c>
    </row>
    <row r="532" spans="1:20" x14ac:dyDescent="0.3">
      <c r="A532" t="s">
        <v>587</v>
      </c>
      <c r="B532" s="3">
        <v>45849</v>
      </c>
      <c r="C532" t="s">
        <v>18</v>
      </c>
      <c r="D532" t="s">
        <v>34</v>
      </c>
      <c r="E532" t="s">
        <v>20</v>
      </c>
      <c r="F532" t="s">
        <v>21</v>
      </c>
      <c r="G532">
        <v>74</v>
      </c>
      <c r="H532" t="s">
        <v>46</v>
      </c>
      <c r="I532" t="s">
        <v>61</v>
      </c>
      <c r="J532" t="s">
        <v>31</v>
      </c>
      <c r="K532">
        <v>0</v>
      </c>
      <c r="L532" s="4">
        <v>11747</v>
      </c>
      <c r="M532">
        <v>500</v>
      </c>
      <c r="N532">
        <v>11247</v>
      </c>
      <c r="O532" t="s">
        <v>25</v>
      </c>
      <c r="P532">
        <v>3.2</v>
      </c>
      <c r="Q532">
        <v>28</v>
      </c>
      <c r="R532" t="str">
        <f>TEXT(Healthcare_Data[[#This Row],[Visit_Date]],"mmm")</f>
        <v>Jul</v>
      </c>
      <c r="S532">
        <f>MONTH(Healthcare_Data[[#This Row],[Visit_Date]])</f>
        <v>7</v>
      </c>
      <c r="T532" t="str">
        <f>IF(Healthcare_Data[[#This Row],[Final_Bill]]&gt;=50000,"High",IF(Healthcare_Data[[#This Row],[Final_Bill]]&gt;=20000,"Medium","low"))</f>
        <v>low</v>
      </c>
    </row>
    <row r="533" spans="1:20" x14ac:dyDescent="0.3">
      <c r="A533" t="s">
        <v>588</v>
      </c>
      <c r="B533" s="3">
        <v>45849</v>
      </c>
      <c r="C533" t="s">
        <v>54</v>
      </c>
      <c r="D533" t="s">
        <v>34</v>
      </c>
      <c r="E533" t="s">
        <v>20</v>
      </c>
      <c r="F533" t="s">
        <v>21</v>
      </c>
      <c r="G533">
        <v>44</v>
      </c>
      <c r="H533" t="s">
        <v>56</v>
      </c>
      <c r="I533" t="s">
        <v>30</v>
      </c>
      <c r="J533" t="s">
        <v>58</v>
      </c>
      <c r="K533">
        <v>0</v>
      </c>
      <c r="L533" s="4">
        <v>17991</v>
      </c>
      <c r="M533">
        <v>2000</v>
      </c>
      <c r="N533">
        <v>15991</v>
      </c>
      <c r="O533" t="s">
        <v>25</v>
      </c>
      <c r="P533">
        <v>4.8</v>
      </c>
      <c r="Q533">
        <v>21</v>
      </c>
      <c r="R533" t="str">
        <f>TEXT(Healthcare_Data[[#This Row],[Visit_Date]],"mmm")</f>
        <v>Jul</v>
      </c>
      <c r="S533">
        <f>MONTH(Healthcare_Data[[#This Row],[Visit_Date]])</f>
        <v>7</v>
      </c>
      <c r="T533" t="str">
        <f>IF(Healthcare_Data[[#This Row],[Final_Bill]]&gt;=50000,"High",IF(Healthcare_Data[[#This Row],[Final_Bill]]&gt;=20000,"Medium","low"))</f>
        <v>low</v>
      </c>
    </row>
    <row r="534" spans="1:20" x14ac:dyDescent="0.3">
      <c r="A534" t="s">
        <v>589</v>
      </c>
      <c r="B534" s="3">
        <v>45849</v>
      </c>
      <c r="C534" t="s">
        <v>67</v>
      </c>
      <c r="D534" t="s">
        <v>34</v>
      </c>
      <c r="E534" t="s">
        <v>20</v>
      </c>
      <c r="F534" t="s">
        <v>40</v>
      </c>
      <c r="G534">
        <v>32</v>
      </c>
      <c r="H534" t="s">
        <v>35</v>
      </c>
      <c r="I534" t="s">
        <v>23</v>
      </c>
      <c r="J534" t="s">
        <v>24</v>
      </c>
      <c r="K534">
        <v>0</v>
      </c>
      <c r="L534" s="4">
        <v>3025</v>
      </c>
      <c r="M534">
        <v>0</v>
      </c>
      <c r="N534">
        <v>3025</v>
      </c>
      <c r="O534" t="s">
        <v>32</v>
      </c>
      <c r="P534">
        <v>3.1</v>
      </c>
      <c r="Q534">
        <v>94</v>
      </c>
      <c r="R534" t="str">
        <f>TEXT(Healthcare_Data[[#This Row],[Visit_Date]],"mmm")</f>
        <v>Jul</v>
      </c>
      <c r="S534">
        <f>MONTH(Healthcare_Data[[#This Row],[Visit_Date]])</f>
        <v>7</v>
      </c>
      <c r="T534" t="str">
        <f>IF(Healthcare_Data[[#This Row],[Final_Bill]]&gt;=50000,"High",IF(Healthcare_Data[[#This Row],[Final_Bill]]&gt;=20000,"Medium","low"))</f>
        <v>low</v>
      </c>
    </row>
    <row r="535" spans="1:20" x14ac:dyDescent="0.3">
      <c r="A535" t="s">
        <v>590</v>
      </c>
      <c r="B535" s="3">
        <v>45849</v>
      </c>
      <c r="C535" t="s">
        <v>54</v>
      </c>
      <c r="D535" t="s">
        <v>39</v>
      </c>
      <c r="E535" t="s">
        <v>52</v>
      </c>
      <c r="F535" t="s">
        <v>40</v>
      </c>
      <c r="G535">
        <v>61</v>
      </c>
      <c r="H535" t="s">
        <v>46</v>
      </c>
      <c r="I535" t="s">
        <v>69</v>
      </c>
      <c r="J535" t="s">
        <v>24</v>
      </c>
      <c r="K535">
        <v>8</v>
      </c>
      <c r="L535" s="4">
        <v>41617</v>
      </c>
      <c r="M535">
        <v>0</v>
      </c>
      <c r="N535">
        <v>41617</v>
      </c>
      <c r="O535" t="s">
        <v>32</v>
      </c>
      <c r="P535">
        <v>3.9</v>
      </c>
      <c r="Q535">
        <v>26</v>
      </c>
      <c r="R535" t="str">
        <f>TEXT(Healthcare_Data[[#This Row],[Visit_Date]],"mmm")</f>
        <v>Jul</v>
      </c>
      <c r="S535">
        <f>MONTH(Healthcare_Data[[#This Row],[Visit_Date]])</f>
        <v>7</v>
      </c>
      <c r="T535" t="str">
        <f>IF(Healthcare_Data[[#This Row],[Final_Bill]]&gt;=50000,"High",IF(Healthcare_Data[[#This Row],[Final_Bill]]&gt;=20000,"Medium","low"))</f>
        <v>Medium</v>
      </c>
    </row>
    <row r="536" spans="1:20" x14ac:dyDescent="0.3">
      <c r="A536" t="s">
        <v>591</v>
      </c>
      <c r="B536" s="3">
        <v>45849</v>
      </c>
      <c r="C536" t="s">
        <v>44</v>
      </c>
      <c r="D536" t="s">
        <v>51</v>
      </c>
      <c r="E536" t="s">
        <v>52</v>
      </c>
      <c r="F536" t="s">
        <v>21</v>
      </c>
      <c r="G536">
        <v>60</v>
      </c>
      <c r="H536" t="s">
        <v>65</v>
      </c>
      <c r="I536" t="s">
        <v>61</v>
      </c>
      <c r="J536" t="s">
        <v>58</v>
      </c>
      <c r="K536">
        <v>8</v>
      </c>
      <c r="L536" s="4">
        <v>76599</v>
      </c>
      <c r="M536">
        <v>0</v>
      </c>
      <c r="N536">
        <v>76599</v>
      </c>
      <c r="O536" t="s">
        <v>25</v>
      </c>
      <c r="P536">
        <v>4.5</v>
      </c>
      <c r="Q536">
        <v>120</v>
      </c>
      <c r="R536" t="str">
        <f>TEXT(Healthcare_Data[[#This Row],[Visit_Date]],"mmm")</f>
        <v>Jul</v>
      </c>
      <c r="S536">
        <f>MONTH(Healthcare_Data[[#This Row],[Visit_Date]])</f>
        <v>7</v>
      </c>
      <c r="T536" t="str">
        <f>IF(Healthcare_Data[[#This Row],[Final_Bill]]&gt;=50000,"High",IF(Healthcare_Data[[#This Row],[Final_Bill]]&gt;=20000,"Medium","low"))</f>
        <v>High</v>
      </c>
    </row>
    <row r="537" spans="1:20" x14ac:dyDescent="0.3">
      <c r="A537" t="s">
        <v>592</v>
      </c>
      <c r="B537" s="3">
        <v>45851</v>
      </c>
      <c r="C537" t="s">
        <v>38</v>
      </c>
      <c r="D537" t="s">
        <v>34</v>
      </c>
      <c r="E537" t="s">
        <v>20</v>
      </c>
      <c r="F537" t="s">
        <v>40</v>
      </c>
      <c r="G537">
        <v>66</v>
      </c>
      <c r="H537" t="s">
        <v>35</v>
      </c>
      <c r="I537" t="s">
        <v>72</v>
      </c>
      <c r="J537" t="s">
        <v>24</v>
      </c>
      <c r="K537">
        <v>0</v>
      </c>
      <c r="L537" s="4">
        <v>15915</v>
      </c>
      <c r="M537">
        <v>1000</v>
      </c>
      <c r="N537">
        <v>14915</v>
      </c>
      <c r="O537" t="s">
        <v>25</v>
      </c>
      <c r="P537">
        <v>4.0999999999999996</v>
      </c>
      <c r="Q537">
        <v>68</v>
      </c>
      <c r="R537" t="str">
        <f>TEXT(Healthcare_Data[[#This Row],[Visit_Date]],"mmm")</f>
        <v>Jul</v>
      </c>
      <c r="S537">
        <f>MONTH(Healthcare_Data[[#This Row],[Visit_Date]])</f>
        <v>7</v>
      </c>
      <c r="T537" t="str">
        <f>IF(Healthcare_Data[[#This Row],[Final_Bill]]&gt;=50000,"High",IF(Healthcare_Data[[#This Row],[Final_Bill]]&gt;=20000,"Medium","low"))</f>
        <v>low</v>
      </c>
    </row>
    <row r="538" spans="1:20" x14ac:dyDescent="0.3">
      <c r="A538" t="s">
        <v>593</v>
      </c>
      <c r="B538" s="3">
        <v>45851</v>
      </c>
      <c r="C538" t="s">
        <v>48</v>
      </c>
      <c r="D538" t="s">
        <v>34</v>
      </c>
      <c r="E538" t="s">
        <v>20</v>
      </c>
      <c r="F538" t="s">
        <v>40</v>
      </c>
      <c r="G538">
        <v>47</v>
      </c>
      <c r="H538" t="s">
        <v>56</v>
      </c>
      <c r="I538" t="s">
        <v>42</v>
      </c>
      <c r="J538" t="s">
        <v>24</v>
      </c>
      <c r="K538">
        <v>0</v>
      </c>
      <c r="L538" s="4">
        <v>2082</v>
      </c>
      <c r="M538">
        <v>500</v>
      </c>
      <c r="N538">
        <v>1582</v>
      </c>
      <c r="O538" t="s">
        <v>25</v>
      </c>
      <c r="P538">
        <v>4.3</v>
      </c>
      <c r="Q538">
        <v>67</v>
      </c>
      <c r="R538" t="str">
        <f>TEXT(Healthcare_Data[[#This Row],[Visit_Date]],"mmm")</f>
        <v>Jul</v>
      </c>
      <c r="S538">
        <f>MONTH(Healthcare_Data[[#This Row],[Visit_Date]])</f>
        <v>7</v>
      </c>
      <c r="T538" t="str">
        <f>IF(Healthcare_Data[[#This Row],[Final_Bill]]&gt;=50000,"High",IF(Healthcare_Data[[#This Row],[Final_Bill]]&gt;=20000,"Medium","low"))</f>
        <v>low</v>
      </c>
    </row>
    <row r="539" spans="1:20" x14ac:dyDescent="0.3">
      <c r="A539" t="s">
        <v>594</v>
      </c>
      <c r="B539" s="3">
        <v>45851</v>
      </c>
      <c r="C539" t="s">
        <v>44</v>
      </c>
      <c r="D539" t="s">
        <v>39</v>
      </c>
      <c r="E539" t="s">
        <v>52</v>
      </c>
      <c r="F539" t="s">
        <v>40</v>
      </c>
      <c r="G539">
        <v>38</v>
      </c>
      <c r="H539" t="s">
        <v>29</v>
      </c>
      <c r="I539" t="s">
        <v>61</v>
      </c>
      <c r="J539" t="s">
        <v>36</v>
      </c>
      <c r="K539">
        <v>7</v>
      </c>
      <c r="L539" s="4">
        <v>16079</v>
      </c>
      <c r="M539">
        <v>1000</v>
      </c>
      <c r="N539">
        <v>15079</v>
      </c>
      <c r="O539" t="s">
        <v>25</v>
      </c>
      <c r="P539">
        <v>4.3</v>
      </c>
      <c r="Q539">
        <v>9</v>
      </c>
      <c r="R539" t="str">
        <f>TEXT(Healthcare_Data[[#This Row],[Visit_Date]],"mmm")</f>
        <v>Jul</v>
      </c>
      <c r="S539">
        <f>MONTH(Healthcare_Data[[#This Row],[Visit_Date]])</f>
        <v>7</v>
      </c>
      <c r="T539" t="str">
        <f>IF(Healthcare_Data[[#This Row],[Final_Bill]]&gt;=50000,"High",IF(Healthcare_Data[[#This Row],[Final_Bill]]&gt;=20000,"Medium","low"))</f>
        <v>low</v>
      </c>
    </row>
    <row r="540" spans="1:20" x14ac:dyDescent="0.3">
      <c r="A540" t="s">
        <v>595</v>
      </c>
      <c r="B540" s="3">
        <v>45852</v>
      </c>
      <c r="C540" t="s">
        <v>48</v>
      </c>
      <c r="D540" t="s">
        <v>34</v>
      </c>
      <c r="E540" t="s">
        <v>20</v>
      </c>
      <c r="F540" t="s">
        <v>40</v>
      </c>
      <c r="G540">
        <v>49</v>
      </c>
      <c r="H540" t="s">
        <v>65</v>
      </c>
      <c r="I540" t="s">
        <v>69</v>
      </c>
      <c r="J540" t="s">
        <v>36</v>
      </c>
      <c r="K540">
        <v>0</v>
      </c>
      <c r="L540" s="4">
        <v>5036</v>
      </c>
      <c r="M540">
        <v>0</v>
      </c>
      <c r="N540">
        <v>5036</v>
      </c>
      <c r="O540" t="s">
        <v>25</v>
      </c>
      <c r="P540">
        <v>3.3</v>
      </c>
      <c r="Q540">
        <v>34</v>
      </c>
      <c r="R540" t="str">
        <f>TEXT(Healthcare_Data[[#This Row],[Visit_Date]],"mmm")</f>
        <v>Jul</v>
      </c>
      <c r="S540">
        <f>MONTH(Healthcare_Data[[#This Row],[Visit_Date]])</f>
        <v>7</v>
      </c>
      <c r="T540" t="str">
        <f>IF(Healthcare_Data[[#This Row],[Final_Bill]]&gt;=50000,"High",IF(Healthcare_Data[[#This Row],[Final_Bill]]&gt;=20000,"Medium","low"))</f>
        <v>low</v>
      </c>
    </row>
    <row r="541" spans="1:20" x14ac:dyDescent="0.3">
      <c r="A541" t="s">
        <v>596</v>
      </c>
      <c r="B541" s="3">
        <v>45852</v>
      </c>
      <c r="C541" t="s">
        <v>54</v>
      </c>
      <c r="D541" t="s">
        <v>51</v>
      </c>
      <c r="E541" t="s">
        <v>20</v>
      </c>
      <c r="F541" t="s">
        <v>21</v>
      </c>
      <c r="G541">
        <v>73</v>
      </c>
      <c r="H541" t="s">
        <v>115</v>
      </c>
      <c r="I541" t="s">
        <v>63</v>
      </c>
      <c r="J541" t="s">
        <v>31</v>
      </c>
      <c r="K541">
        <v>0</v>
      </c>
      <c r="L541" s="4">
        <v>13342</v>
      </c>
      <c r="M541">
        <v>500</v>
      </c>
      <c r="N541">
        <v>12842</v>
      </c>
      <c r="O541" t="s">
        <v>25</v>
      </c>
      <c r="P541">
        <v>4.9000000000000004</v>
      </c>
      <c r="Q541">
        <v>103</v>
      </c>
      <c r="R541" t="str">
        <f>TEXT(Healthcare_Data[[#This Row],[Visit_Date]],"mmm")</f>
        <v>Jul</v>
      </c>
      <c r="S541">
        <f>MONTH(Healthcare_Data[[#This Row],[Visit_Date]])</f>
        <v>7</v>
      </c>
      <c r="T541" t="str">
        <f>IF(Healthcare_Data[[#This Row],[Final_Bill]]&gt;=50000,"High",IF(Healthcare_Data[[#This Row],[Final_Bill]]&gt;=20000,"Medium","low"))</f>
        <v>low</v>
      </c>
    </row>
    <row r="542" spans="1:20" x14ac:dyDescent="0.3">
      <c r="A542" t="s">
        <v>597</v>
      </c>
      <c r="B542" s="3">
        <v>45852</v>
      </c>
      <c r="C542" t="s">
        <v>50</v>
      </c>
      <c r="D542" t="s">
        <v>28</v>
      </c>
      <c r="E542" t="s">
        <v>52</v>
      </c>
      <c r="F542" t="s">
        <v>40</v>
      </c>
      <c r="G542">
        <v>47</v>
      </c>
      <c r="H542" t="s">
        <v>35</v>
      </c>
      <c r="I542" t="s">
        <v>57</v>
      </c>
      <c r="J542" t="s">
        <v>24</v>
      </c>
      <c r="K542">
        <v>2</v>
      </c>
      <c r="L542" s="4">
        <v>27076</v>
      </c>
      <c r="M542">
        <v>500</v>
      </c>
      <c r="N542">
        <v>26576</v>
      </c>
      <c r="O542" t="s">
        <v>32</v>
      </c>
      <c r="P542">
        <v>3.1</v>
      </c>
      <c r="Q542">
        <v>34</v>
      </c>
      <c r="R542" t="str">
        <f>TEXT(Healthcare_Data[[#This Row],[Visit_Date]],"mmm")</f>
        <v>Jul</v>
      </c>
      <c r="S542">
        <f>MONTH(Healthcare_Data[[#This Row],[Visit_Date]])</f>
        <v>7</v>
      </c>
      <c r="T542" t="str">
        <f>IF(Healthcare_Data[[#This Row],[Final_Bill]]&gt;=50000,"High",IF(Healthcare_Data[[#This Row],[Final_Bill]]&gt;=20000,"Medium","low"))</f>
        <v>Medium</v>
      </c>
    </row>
    <row r="543" spans="1:20" x14ac:dyDescent="0.3">
      <c r="A543" t="s">
        <v>598</v>
      </c>
      <c r="B543" s="3">
        <v>45853</v>
      </c>
      <c r="C543" t="s">
        <v>27</v>
      </c>
      <c r="D543" t="s">
        <v>51</v>
      </c>
      <c r="E543" t="s">
        <v>20</v>
      </c>
      <c r="F543" t="s">
        <v>40</v>
      </c>
      <c r="G543">
        <v>39</v>
      </c>
      <c r="H543" t="s">
        <v>46</v>
      </c>
      <c r="I543" t="s">
        <v>30</v>
      </c>
      <c r="J543" t="s">
        <v>24</v>
      </c>
      <c r="K543">
        <v>0</v>
      </c>
      <c r="L543" s="4">
        <v>9387</v>
      </c>
      <c r="M543">
        <v>500</v>
      </c>
      <c r="N543">
        <v>8887</v>
      </c>
      <c r="O543" t="s">
        <v>25</v>
      </c>
      <c r="P543">
        <v>4.9000000000000004</v>
      </c>
      <c r="Q543">
        <v>90</v>
      </c>
      <c r="R543" t="str">
        <f>TEXT(Healthcare_Data[[#This Row],[Visit_Date]],"mmm")</f>
        <v>Jul</v>
      </c>
      <c r="S543">
        <f>MONTH(Healthcare_Data[[#This Row],[Visit_Date]])</f>
        <v>7</v>
      </c>
      <c r="T543" t="str">
        <f>IF(Healthcare_Data[[#This Row],[Final_Bill]]&gt;=50000,"High",IF(Healthcare_Data[[#This Row],[Final_Bill]]&gt;=20000,"Medium","low"))</f>
        <v>low</v>
      </c>
    </row>
    <row r="544" spans="1:20" x14ac:dyDescent="0.3">
      <c r="A544" t="s">
        <v>599</v>
      </c>
      <c r="B544" s="3">
        <v>45853</v>
      </c>
      <c r="C544" t="s">
        <v>54</v>
      </c>
      <c r="D544" t="s">
        <v>28</v>
      </c>
      <c r="E544" t="s">
        <v>52</v>
      </c>
      <c r="F544" t="s">
        <v>21</v>
      </c>
      <c r="G544">
        <v>75</v>
      </c>
      <c r="H544" t="s">
        <v>46</v>
      </c>
      <c r="I544" t="s">
        <v>57</v>
      </c>
      <c r="J544" t="s">
        <v>58</v>
      </c>
      <c r="K544">
        <v>12</v>
      </c>
      <c r="L544" s="4">
        <v>45285</v>
      </c>
      <c r="M544">
        <v>1500</v>
      </c>
      <c r="N544">
        <v>43785</v>
      </c>
      <c r="O544" t="s">
        <v>25</v>
      </c>
      <c r="P544">
        <v>2.7</v>
      </c>
      <c r="Q544">
        <v>92</v>
      </c>
      <c r="R544" t="str">
        <f>TEXT(Healthcare_Data[[#This Row],[Visit_Date]],"mmm")</f>
        <v>Jul</v>
      </c>
      <c r="S544">
        <f>MONTH(Healthcare_Data[[#This Row],[Visit_Date]])</f>
        <v>7</v>
      </c>
      <c r="T544" t="str">
        <f>IF(Healthcare_Data[[#This Row],[Final_Bill]]&gt;=50000,"High",IF(Healthcare_Data[[#This Row],[Final_Bill]]&gt;=20000,"Medium","low"))</f>
        <v>Medium</v>
      </c>
    </row>
    <row r="545" spans="1:20" x14ac:dyDescent="0.3">
      <c r="A545" t="s">
        <v>600</v>
      </c>
      <c r="B545" s="3">
        <v>45854</v>
      </c>
      <c r="C545" t="s">
        <v>44</v>
      </c>
      <c r="D545" t="s">
        <v>19</v>
      </c>
      <c r="E545" t="s">
        <v>20</v>
      </c>
      <c r="F545" t="s">
        <v>21</v>
      </c>
      <c r="G545">
        <v>33</v>
      </c>
      <c r="H545" t="s">
        <v>41</v>
      </c>
      <c r="I545" t="s">
        <v>63</v>
      </c>
      <c r="J545" t="s">
        <v>24</v>
      </c>
      <c r="K545">
        <v>0</v>
      </c>
      <c r="L545" s="4">
        <v>14186</v>
      </c>
      <c r="M545">
        <v>1000</v>
      </c>
      <c r="N545">
        <v>13186</v>
      </c>
      <c r="O545" t="s">
        <v>25</v>
      </c>
      <c r="P545">
        <v>2.8</v>
      </c>
      <c r="Q545">
        <v>76</v>
      </c>
      <c r="R545" t="str">
        <f>TEXT(Healthcare_Data[[#This Row],[Visit_Date]],"mmm")</f>
        <v>Jul</v>
      </c>
      <c r="S545">
        <f>MONTH(Healthcare_Data[[#This Row],[Visit_Date]])</f>
        <v>7</v>
      </c>
      <c r="T545" t="str">
        <f>IF(Healthcare_Data[[#This Row],[Final_Bill]]&gt;=50000,"High",IF(Healthcare_Data[[#This Row],[Final_Bill]]&gt;=20000,"Medium","low"))</f>
        <v>low</v>
      </c>
    </row>
    <row r="546" spans="1:20" x14ac:dyDescent="0.3">
      <c r="A546" t="s">
        <v>601</v>
      </c>
      <c r="B546" s="3">
        <v>45854</v>
      </c>
      <c r="C546" t="s">
        <v>44</v>
      </c>
      <c r="D546" t="s">
        <v>19</v>
      </c>
      <c r="E546" t="s">
        <v>20</v>
      </c>
      <c r="F546" t="s">
        <v>21</v>
      </c>
      <c r="G546">
        <v>53</v>
      </c>
      <c r="H546" t="s">
        <v>35</v>
      </c>
      <c r="I546" t="s">
        <v>30</v>
      </c>
      <c r="J546" t="s">
        <v>58</v>
      </c>
      <c r="K546">
        <v>0</v>
      </c>
      <c r="L546" s="4">
        <v>17454</v>
      </c>
      <c r="M546">
        <v>0</v>
      </c>
      <c r="N546">
        <v>17454</v>
      </c>
      <c r="O546" t="s">
        <v>25</v>
      </c>
      <c r="P546">
        <v>4</v>
      </c>
      <c r="Q546">
        <v>66</v>
      </c>
      <c r="R546" t="str">
        <f>TEXT(Healthcare_Data[[#This Row],[Visit_Date]],"mmm")</f>
        <v>Jul</v>
      </c>
      <c r="S546">
        <f>MONTH(Healthcare_Data[[#This Row],[Visit_Date]])</f>
        <v>7</v>
      </c>
      <c r="T546" t="str">
        <f>IF(Healthcare_Data[[#This Row],[Final_Bill]]&gt;=50000,"High",IF(Healthcare_Data[[#This Row],[Final_Bill]]&gt;=20000,"Medium","low"))</f>
        <v>low</v>
      </c>
    </row>
    <row r="547" spans="1:20" x14ac:dyDescent="0.3">
      <c r="A547" t="s">
        <v>602</v>
      </c>
      <c r="B547" s="3">
        <v>45855</v>
      </c>
      <c r="C547" t="s">
        <v>27</v>
      </c>
      <c r="D547" t="s">
        <v>34</v>
      </c>
      <c r="E547" t="s">
        <v>20</v>
      </c>
      <c r="F547" t="s">
        <v>40</v>
      </c>
      <c r="G547">
        <v>23</v>
      </c>
      <c r="H547" t="s">
        <v>35</v>
      </c>
      <c r="I547" t="s">
        <v>72</v>
      </c>
      <c r="J547" t="s">
        <v>58</v>
      </c>
      <c r="K547">
        <v>0</v>
      </c>
      <c r="L547" s="4">
        <v>11377</v>
      </c>
      <c r="M547">
        <v>1000</v>
      </c>
      <c r="N547">
        <v>10377</v>
      </c>
      <c r="O547" t="s">
        <v>25</v>
      </c>
      <c r="P547">
        <v>2.6</v>
      </c>
      <c r="Q547">
        <v>70</v>
      </c>
      <c r="R547" t="str">
        <f>TEXT(Healthcare_Data[[#This Row],[Visit_Date]],"mmm")</f>
        <v>Jul</v>
      </c>
      <c r="S547">
        <f>MONTH(Healthcare_Data[[#This Row],[Visit_Date]])</f>
        <v>7</v>
      </c>
      <c r="T547" t="str">
        <f>IF(Healthcare_Data[[#This Row],[Final_Bill]]&gt;=50000,"High",IF(Healthcare_Data[[#This Row],[Final_Bill]]&gt;=20000,"Medium","low"))</f>
        <v>low</v>
      </c>
    </row>
    <row r="548" spans="1:20" x14ac:dyDescent="0.3">
      <c r="A548" t="s">
        <v>603</v>
      </c>
      <c r="B548" s="3">
        <v>45855</v>
      </c>
      <c r="C548" t="s">
        <v>67</v>
      </c>
      <c r="D548" t="s">
        <v>39</v>
      </c>
      <c r="E548" t="s">
        <v>54</v>
      </c>
      <c r="F548" t="s">
        <v>40</v>
      </c>
      <c r="G548">
        <v>51</v>
      </c>
      <c r="H548" t="s">
        <v>35</v>
      </c>
      <c r="I548" t="s">
        <v>61</v>
      </c>
      <c r="J548" t="s">
        <v>31</v>
      </c>
      <c r="K548">
        <v>0</v>
      </c>
      <c r="L548" s="4">
        <v>27131</v>
      </c>
      <c r="M548">
        <v>1500</v>
      </c>
      <c r="N548">
        <v>25631</v>
      </c>
      <c r="O548" t="s">
        <v>25</v>
      </c>
      <c r="P548">
        <v>4.7</v>
      </c>
      <c r="Q548">
        <v>39</v>
      </c>
      <c r="R548" t="str">
        <f>TEXT(Healthcare_Data[[#This Row],[Visit_Date]],"mmm")</f>
        <v>Jul</v>
      </c>
      <c r="S548">
        <f>MONTH(Healthcare_Data[[#This Row],[Visit_Date]])</f>
        <v>7</v>
      </c>
      <c r="T548" t="str">
        <f>IF(Healthcare_Data[[#This Row],[Final_Bill]]&gt;=50000,"High",IF(Healthcare_Data[[#This Row],[Final_Bill]]&gt;=20000,"Medium","low"))</f>
        <v>Medium</v>
      </c>
    </row>
    <row r="549" spans="1:20" x14ac:dyDescent="0.3">
      <c r="A549" t="s">
        <v>604</v>
      </c>
      <c r="B549" s="3">
        <v>45855</v>
      </c>
      <c r="C549" t="s">
        <v>18</v>
      </c>
      <c r="D549" t="s">
        <v>51</v>
      </c>
      <c r="E549" t="s">
        <v>52</v>
      </c>
      <c r="F549" t="s">
        <v>40</v>
      </c>
      <c r="G549">
        <v>80</v>
      </c>
      <c r="H549" t="s">
        <v>46</v>
      </c>
      <c r="I549" t="s">
        <v>30</v>
      </c>
      <c r="J549" t="s">
        <v>36</v>
      </c>
      <c r="K549">
        <v>12</v>
      </c>
      <c r="L549" s="4">
        <v>55631</v>
      </c>
      <c r="M549">
        <v>500</v>
      </c>
      <c r="N549">
        <v>55131</v>
      </c>
      <c r="O549" t="s">
        <v>25</v>
      </c>
      <c r="P549">
        <v>3.5</v>
      </c>
      <c r="Q549">
        <v>58</v>
      </c>
      <c r="R549" t="str">
        <f>TEXT(Healthcare_Data[[#This Row],[Visit_Date]],"mmm")</f>
        <v>Jul</v>
      </c>
      <c r="S549">
        <f>MONTH(Healthcare_Data[[#This Row],[Visit_Date]])</f>
        <v>7</v>
      </c>
      <c r="T549" t="str">
        <f>IF(Healthcare_Data[[#This Row],[Final_Bill]]&gt;=50000,"High",IF(Healthcare_Data[[#This Row],[Final_Bill]]&gt;=20000,"Medium","low"))</f>
        <v>High</v>
      </c>
    </row>
    <row r="550" spans="1:20" x14ac:dyDescent="0.3">
      <c r="A550" t="s">
        <v>605</v>
      </c>
      <c r="B550" s="3">
        <v>45855</v>
      </c>
      <c r="C550" t="s">
        <v>48</v>
      </c>
      <c r="D550" t="s">
        <v>19</v>
      </c>
      <c r="E550" t="s">
        <v>54</v>
      </c>
      <c r="F550" t="s">
        <v>40</v>
      </c>
      <c r="G550">
        <v>42</v>
      </c>
      <c r="H550" t="s">
        <v>115</v>
      </c>
      <c r="I550" t="s">
        <v>30</v>
      </c>
      <c r="J550" t="s">
        <v>58</v>
      </c>
      <c r="K550">
        <v>0</v>
      </c>
      <c r="L550" s="4">
        <v>16572</v>
      </c>
      <c r="M550">
        <v>0</v>
      </c>
      <c r="N550">
        <v>16572</v>
      </c>
      <c r="O550" t="s">
        <v>25</v>
      </c>
      <c r="P550">
        <v>4.7</v>
      </c>
      <c r="Q550">
        <v>85</v>
      </c>
      <c r="R550" t="str">
        <f>TEXT(Healthcare_Data[[#This Row],[Visit_Date]],"mmm")</f>
        <v>Jul</v>
      </c>
      <c r="S550">
        <f>MONTH(Healthcare_Data[[#This Row],[Visit_Date]])</f>
        <v>7</v>
      </c>
      <c r="T550" t="str">
        <f>IF(Healthcare_Data[[#This Row],[Final_Bill]]&gt;=50000,"High",IF(Healthcare_Data[[#This Row],[Final_Bill]]&gt;=20000,"Medium","low"))</f>
        <v>low</v>
      </c>
    </row>
    <row r="551" spans="1:20" x14ac:dyDescent="0.3">
      <c r="A551" t="s">
        <v>606</v>
      </c>
      <c r="B551" s="3">
        <v>45856</v>
      </c>
      <c r="C551" t="s">
        <v>27</v>
      </c>
      <c r="D551" t="s">
        <v>51</v>
      </c>
      <c r="E551" t="s">
        <v>52</v>
      </c>
      <c r="F551" t="s">
        <v>40</v>
      </c>
      <c r="G551">
        <v>42</v>
      </c>
      <c r="H551" t="s">
        <v>22</v>
      </c>
      <c r="I551" t="s">
        <v>23</v>
      </c>
      <c r="J551" t="s">
        <v>24</v>
      </c>
      <c r="K551">
        <v>10</v>
      </c>
      <c r="L551" s="4">
        <v>29746</v>
      </c>
      <c r="M551">
        <v>1000</v>
      </c>
      <c r="N551">
        <v>28746</v>
      </c>
      <c r="O551" t="s">
        <v>32</v>
      </c>
      <c r="P551">
        <v>2.7</v>
      </c>
      <c r="Q551">
        <v>116</v>
      </c>
      <c r="R551" t="str">
        <f>TEXT(Healthcare_Data[[#This Row],[Visit_Date]],"mmm")</f>
        <v>Jul</v>
      </c>
      <c r="S551">
        <f>MONTH(Healthcare_Data[[#This Row],[Visit_Date]])</f>
        <v>7</v>
      </c>
      <c r="T551" t="str">
        <f>IF(Healthcare_Data[[#This Row],[Final_Bill]]&gt;=50000,"High",IF(Healthcare_Data[[#This Row],[Final_Bill]]&gt;=20000,"Medium","low"))</f>
        <v>Medium</v>
      </c>
    </row>
    <row r="552" spans="1:20" x14ac:dyDescent="0.3">
      <c r="A552" t="s">
        <v>607</v>
      </c>
      <c r="B552" s="3">
        <v>45858</v>
      </c>
      <c r="C552" t="s">
        <v>27</v>
      </c>
      <c r="D552" t="s">
        <v>28</v>
      </c>
      <c r="E552" t="s">
        <v>20</v>
      </c>
      <c r="F552" t="s">
        <v>21</v>
      </c>
      <c r="G552">
        <v>22</v>
      </c>
      <c r="H552" t="s">
        <v>22</v>
      </c>
      <c r="I552" t="s">
        <v>30</v>
      </c>
      <c r="J552" t="s">
        <v>36</v>
      </c>
      <c r="K552">
        <v>0</v>
      </c>
      <c r="L552" s="4">
        <v>17051</v>
      </c>
      <c r="M552">
        <v>0</v>
      </c>
      <c r="N552">
        <v>17051</v>
      </c>
      <c r="O552" t="s">
        <v>25</v>
      </c>
      <c r="P552">
        <v>4.9000000000000004</v>
      </c>
      <c r="Q552">
        <v>13</v>
      </c>
      <c r="R552" t="str">
        <f>TEXT(Healthcare_Data[[#This Row],[Visit_Date]],"mmm")</f>
        <v>Jul</v>
      </c>
      <c r="S552">
        <f>MONTH(Healthcare_Data[[#This Row],[Visit_Date]])</f>
        <v>7</v>
      </c>
      <c r="T552" t="str">
        <f>IF(Healthcare_Data[[#This Row],[Final_Bill]]&gt;=50000,"High",IF(Healthcare_Data[[#This Row],[Final_Bill]]&gt;=20000,"Medium","low"))</f>
        <v>low</v>
      </c>
    </row>
    <row r="553" spans="1:20" x14ac:dyDescent="0.3">
      <c r="A553" t="s">
        <v>608</v>
      </c>
      <c r="B553" s="3">
        <v>45858</v>
      </c>
      <c r="C553" t="s">
        <v>48</v>
      </c>
      <c r="D553" t="s">
        <v>34</v>
      </c>
      <c r="E553" t="s">
        <v>52</v>
      </c>
      <c r="F553" t="s">
        <v>21</v>
      </c>
      <c r="G553">
        <v>80</v>
      </c>
      <c r="H553" t="s">
        <v>22</v>
      </c>
      <c r="I553" t="s">
        <v>23</v>
      </c>
      <c r="J553" t="s">
        <v>24</v>
      </c>
      <c r="K553">
        <v>8</v>
      </c>
      <c r="L553" s="4">
        <v>52973</v>
      </c>
      <c r="M553">
        <v>1000</v>
      </c>
      <c r="N553">
        <v>51973</v>
      </c>
      <c r="O553" t="s">
        <v>25</v>
      </c>
      <c r="P553">
        <v>4.0999999999999996</v>
      </c>
      <c r="Q553">
        <v>98</v>
      </c>
      <c r="R553" t="str">
        <f>TEXT(Healthcare_Data[[#This Row],[Visit_Date]],"mmm")</f>
        <v>Jul</v>
      </c>
      <c r="S553">
        <f>MONTH(Healthcare_Data[[#This Row],[Visit_Date]])</f>
        <v>7</v>
      </c>
      <c r="T553" t="str">
        <f>IF(Healthcare_Data[[#This Row],[Final_Bill]]&gt;=50000,"High",IF(Healthcare_Data[[#This Row],[Final_Bill]]&gt;=20000,"Medium","low"))</f>
        <v>High</v>
      </c>
    </row>
    <row r="554" spans="1:20" x14ac:dyDescent="0.3">
      <c r="A554" t="s">
        <v>609</v>
      </c>
      <c r="B554" s="3">
        <v>45858</v>
      </c>
      <c r="C554" t="s">
        <v>67</v>
      </c>
      <c r="D554" t="s">
        <v>34</v>
      </c>
      <c r="E554" t="s">
        <v>20</v>
      </c>
      <c r="F554" t="s">
        <v>21</v>
      </c>
      <c r="G554">
        <v>27</v>
      </c>
      <c r="H554" t="s">
        <v>35</v>
      </c>
      <c r="I554" t="s">
        <v>30</v>
      </c>
      <c r="J554" t="s">
        <v>31</v>
      </c>
      <c r="K554">
        <v>0</v>
      </c>
      <c r="L554" s="4">
        <v>7961</v>
      </c>
      <c r="M554">
        <v>2000</v>
      </c>
      <c r="N554">
        <v>5961</v>
      </c>
      <c r="O554" t="s">
        <v>25</v>
      </c>
      <c r="P554">
        <v>3.3</v>
      </c>
      <c r="Q554">
        <v>41</v>
      </c>
      <c r="R554" t="str">
        <f>TEXT(Healthcare_Data[[#This Row],[Visit_Date]],"mmm")</f>
        <v>Jul</v>
      </c>
      <c r="S554">
        <f>MONTH(Healthcare_Data[[#This Row],[Visit_Date]])</f>
        <v>7</v>
      </c>
      <c r="T554" t="str">
        <f>IF(Healthcare_Data[[#This Row],[Final_Bill]]&gt;=50000,"High",IF(Healthcare_Data[[#This Row],[Final_Bill]]&gt;=20000,"Medium","low"))</f>
        <v>low</v>
      </c>
    </row>
    <row r="555" spans="1:20" x14ac:dyDescent="0.3">
      <c r="A555" t="s">
        <v>610</v>
      </c>
      <c r="B555" s="3">
        <v>45859</v>
      </c>
      <c r="C555" t="s">
        <v>54</v>
      </c>
      <c r="D555" t="s">
        <v>39</v>
      </c>
      <c r="E555" t="s">
        <v>20</v>
      </c>
      <c r="F555" t="s">
        <v>21</v>
      </c>
      <c r="G555">
        <v>40</v>
      </c>
      <c r="H555" t="s">
        <v>41</v>
      </c>
      <c r="I555" t="s">
        <v>23</v>
      </c>
      <c r="J555" t="s">
        <v>24</v>
      </c>
      <c r="K555">
        <v>0</v>
      </c>
      <c r="L555" s="4">
        <v>6260</v>
      </c>
      <c r="M555">
        <v>1500</v>
      </c>
      <c r="N555">
        <v>4760</v>
      </c>
      <c r="O555" t="s">
        <v>59</v>
      </c>
      <c r="P555">
        <v>2.9</v>
      </c>
      <c r="Q555">
        <v>62</v>
      </c>
      <c r="R555" t="str">
        <f>TEXT(Healthcare_Data[[#This Row],[Visit_Date]],"mmm")</f>
        <v>Jul</v>
      </c>
      <c r="S555">
        <f>MONTH(Healthcare_Data[[#This Row],[Visit_Date]])</f>
        <v>7</v>
      </c>
      <c r="T555" t="str">
        <f>IF(Healthcare_Data[[#This Row],[Final_Bill]]&gt;=50000,"High",IF(Healthcare_Data[[#This Row],[Final_Bill]]&gt;=20000,"Medium","low"))</f>
        <v>low</v>
      </c>
    </row>
    <row r="556" spans="1:20" x14ac:dyDescent="0.3">
      <c r="A556" t="s">
        <v>611</v>
      </c>
      <c r="B556" s="3">
        <v>45859</v>
      </c>
      <c r="C556" t="s">
        <v>54</v>
      </c>
      <c r="D556" t="s">
        <v>19</v>
      </c>
      <c r="E556" t="s">
        <v>54</v>
      </c>
      <c r="F556" t="s">
        <v>21</v>
      </c>
      <c r="G556">
        <v>49</v>
      </c>
      <c r="H556" t="s">
        <v>46</v>
      </c>
      <c r="I556" t="s">
        <v>42</v>
      </c>
      <c r="J556" t="s">
        <v>36</v>
      </c>
      <c r="K556">
        <v>0</v>
      </c>
      <c r="L556" s="4">
        <v>25290</v>
      </c>
      <c r="M556">
        <v>0</v>
      </c>
      <c r="N556">
        <v>25290</v>
      </c>
      <c r="O556" t="s">
        <v>25</v>
      </c>
      <c r="P556">
        <v>4.3</v>
      </c>
      <c r="Q556">
        <v>29</v>
      </c>
      <c r="R556" t="str">
        <f>TEXT(Healthcare_Data[[#This Row],[Visit_Date]],"mmm")</f>
        <v>Jul</v>
      </c>
      <c r="S556">
        <f>MONTH(Healthcare_Data[[#This Row],[Visit_Date]])</f>
        <v>7</v>
      </c>
      <c r="T556" t="str">
        <f>IF(Healthcare_Data[[#This Row],[Final_Bill]]&gt;=50000,"High",IF(Healthcare_Data[[#This Row],[Final_Bill]]&gt;=20000,"Medium","low"))</f>
        <v>Medium</v>
      </c>
    </row>
    <row r="557" spans="1:20" x14ac:dyDescent="0.3">
      <c r="A557" t="s">
        <v>612</v>
      </c>
      <c r="B557" s="3">
        <v>45859</v>
      </c>
      <c r="C557" t="s">
        <v>67</v>
      </c>
      <c r="D557" t="s">
        <v>19</v>
      </c>
      <c r="E557" t="s">
        <v>20</v>
      </c>
      <c r="F557" t="s">
        <v>21</v>
      </c>
      <c r="G557">
        <v>38</v>
      </c>
      <c r="H557" t="s">
        <v>35</v>
      </c>
      <c r="I557" t="s">
        <v>69</v>
      </c>
      <c r="J557" t="s">
        <v>24</v>
      </c>
      <c r="K557">
        <v>0</v>
      </c>
      <c r="L557" s="4">
        <v>6246</v>
      </c>
      <c r="M557">
        <v>0</v>
      </c>
      <c r="N557">
        <v>6246</v>
      </c>
      <c r="O557" t="s">
        <v>25</v>
      </c>
      <c r="P557">
        <v>4.0999999999999996</v>
      </c>
      <c r="Q557">
        <v>8</v>
      </c>
      <c r="R557" t="str">
        <f>TEXT(Healthcare_Data[[#This Row],[Visit_Date]],"mmm")</f>
        <v>Jul</v>
      </c>
      <c r="S557">
        <f>MONTH(Healthcare_Data[[#This Row],[Visit_Date]])</f>
        <v>7</v>
      </c>
      <c r="T557" t="str">
        <f>IF(Healthcare_Data[[#This Row],[Final_Bill]]&gt;=50000,"High",IF(Healthcare_Data[[#This Row],[Final_Bill]]&gt;=20000,"Medium","low"))</f>
        <v>low</v>
      </c>
    </row>
    <row r="558" spans="1:20" x14ac:dyDescent="0.3">
      <c r="A558" t="s">
        <v>613</v>
      </c>
      <c r="B558" s="3">
        <v>45859</v>
      </c>
      <c r="C558" t="s">
        <v>38</v>
      </c>
      <c r="D558" t="s">
        <v>34</v>
      </c>
      <c r="E558" t="s">
        <v>20</v>
      </c>
      <c r="F558" t="s">
        <v>40</v>
      </c>
      <c r="G558">
        <v>74</v>
      </c>
      <c r="H558" t="s">
        <v>29</v>
      </c>
      <c r="I558" t="s">
        <v>61</v>
      </c>
      <c r="J558" t="s">
        <v>36</v>
      </c>
      <c r="K558">
        <v>0</v>
      </c>
      <c r="L558" s="4">
        <v>14262</v>
      </c>
      <c r="M558">
        <v>500</v>
      </c>
      <c r="N558">
        <v>13762</v>
      </c>
      <c r="O558" t="s">
        <v>25</v>
      </c>
      <c r="P558">
        <v>4.4000000000000004</v>
      </c>
      <c r="Q558">
        <v>101</v>
      </c>
      <c r="R558" t="str">
        <f>TEXT(Healthcare_Data[[#This Row],[Visit_Date]],"mmm")</f>
        <v>Jul</v>
      </c>
      <c r="S558">
        <f>MONTH(Healthcare_Data[[#This Row],[Visit_Date]])</f>
        <v>7</v>
      </c>
      <c r="T558" t="str">
        <f>IF(Healthcare_Data[[#This Row],[Final_Bill]]&gt;=50000,"High",IF(Healthcare_Data[[#This Row],[Final_Bill]]&gt;=20000,"Medium","low"))</f>
        <v>low</v>
      </c>
    </row>
    <row r="559" spans="1:20" x14ac:dyDescent="0.3">
      <c r="A559" t="s">
        <v>614</v>
      </c>
      <c r="B559" s="3">
        <v>45860</v>
      </c>
      <c r="C559" t="s">
        <v>44</v>
      </c>
      <c r="D559" t="s">
        <v>39</v>
      </c>
      <c r="E559" t="s">
        <v>52</v>
      </c>
      <c r="F559" t="s">
        <v>40</v>
      </c>
      <c r="G559">
        <v>49</v>
      </c>
      <c r="H559" t="s">
        <v>115</v>
      </c>
      <c r="I559" t="s">
        <v>30</v>
      </c>
      <c r="J559" t="s">
        <v>36</v>
      </c>
      <c r="K559">
        <v>4</v>
      </c>
      <c r="L559" s="4">
        <v>16756</v>
      </c>
      <c r="M559">
        <v>0</v>
      </c>
      <c r="N559">
        <v>16756</v>
      </c>
      <c r="O559" t="s">
        <v>25</v>
      </c>
      <c r="P559">
        <v>3.6</v>
      </c>
      <c r="Q559">
        <v>7</v>
      </c>
      <c r="R559" t="str">
        <f>TEXT(Healthcare_Data[[#This Row],[Visit_Date]],"mmm")</f>
        <v>Jul</v>
      </c>
      <c r="S559">
        <f>MONTH(Healthcare_Data[[#This Row],[Visit_Date]])</f>
        <v>7</v>
      </c>
      <c r="T559" t="str">
        <f>IF(Healthcare_Data[[#This Row],[Final_Bill]]&gt;=50000,"High",IF(Healthcare_Data[[#This Row],[Final_Bill]]&gt;=20000,"Medium","low"))</f>
        <v>low</v>
      </c>
    </row>
    <row r="560" spans="1:20" x14ac:dyDescent="0.3">
      <c r="A560" t="s">
        <v>615</v>
      </c>
      <c r="B560" s="3">
        <v>45860</v>
      </c>
      <c r="C560" t="s">
        <v>50</v>
      </c>
      <c r="D560" t="s">
        <v>28</v>
      </c>
      <c r="E560" t="s">
        <v>20</v>
      </c>
      <c r="F560" t="s">
        <v>21</v>
      </c>
      <c r="G560">
        <v>33</v>
      </c>
      <c r="H560" t="s">
        <v>41</v>
      </c>
      <c r="I560" t="s">
        <v>63</v>
      </c>
      <c r="J560" t="s">
        <v>24</v>
      </c>
      <c r="K560">
        <v>0</v>
      </c>
      <c r="L560" s="4">
        <v>17031</v>
      </c>
      <c r="M560">
        <v>0</v>
      </c>
      <c r="N560">
        <v>17031</v>
      </c>
      <c r="O560" t="s">
        <v>25</v>
      </c>
      <c r="P560">
        <v>4.9000000000000004</v>
      </c>
      <c r="Q560">
        <v>95</v>
      </c>
      <c r="R560" t="str">
        <f>TEXT(Healthcare_Data[[#This Row],[Visit_Date]],"mmm")</f>
        <v>Jul</v>
      </c>
      <c r="S560">
        <f>MONTH(Healthcare_Data[[#This Row],[Visit_Date]])</f>
        <v>7</v>
      </c>
      <c r="T560" t="str">
        <f>IF(Healthcare_Data[[#This Row],[Final_Bill]]&gt;=50000,"High",IF(Healthcare_Data[[#This Row],[Final_Bill]]&gt;=20000,"Medium","low"))</f>
        <v>low</v>
      </c>
    </row>
    <row r="561" spans="1:20" x14ac:dyDescent="0.3">
      <c r="A561" t="s">
        <v>616</v>
      </c>
      <c r="B561" s="3">
        <v>45860</v>
      </c>
      <c r="C561" t="s">
        <v>38</v>
      </c>
      <c r="D561" t="s">
        <v>19</v>
      </c>
      <c r="E561" t="s">
        <v>20</v>
      </c>
      <c r="F561" t="s">
        <v>21</v>
      </c>
      <c r="G561">
        <v>78</v>
      </c>
      <c r="H561" t="s">
        <v>56</v>
      </c>
      <c r="I561" t="s">
        <v>30</v>
      </c>
      <c r="J561" t="s">
        <v>31</v>
      </c>
      <c r="K561">
        <v>0</v>
      </c>
      <c r="L561" s="4">
        <v>5369</v>
      </c>
      <c r="M561">
        <v>500</v>
      </c>
      <c r="N561">
        <v>4869</v>
      </c>
      <c r="O561" t="s">
        <v>25</v>
      </c>
      <c r="P561">
        <v>3.6</v>
      </c>
      <c r="Q561">
        <v>41</v>
      </c>
      <c r="R561" t="str">
        <f>TEXT(Healthcare_Data[[#This Row],[Visit_Date]],"mmm")</f>
        <v>Jul</v>
      </c>
      <c r="S561">
        <f>MONTH(Healthcare_Data[[#This Row],[Visit_Date]])</f>
        <v>7</v>
      </c>
      <c r="T561" t="str">
        <f>IF(Healthcare_Data[[#This Row],[Final_Bill]]&gt;=50000,"High",IF(Healthcare_Data[[#This Row],[Final_Bill]]&gt;=20000,"Medium","low"))</f>
        <v>low</v>
      </c>
    </row>
    <row r="562" spans="1:20" x14ac:dyDescent="0.3">
      <c r="A562" t="s">
        <v>617</v>
      </c>
      <c r="B562" s="3">
        <v>45861</v>
      </c>
      <c r="C562" t="s">
        <v>44</v>
      </c>
      <c r="D562" t="s">
        <v>51</v>
      </c>
      <c r="E562" t="s">
        <v>20</v>
      </c>
      <c r="F562" t="s">
        <v>21</v>
      </c>
      <c r="G562">
        <v>41</v>
      </c>
      <c r="H562" t="s">
        <v>35</v>
      </c>
      <c r="I562" t="s">
        <v>69</v>
      </c>
      <c r="J562" t="s">
        <v>24</v>
      </c>
      <c r="K562">
        <v>0</v>
      </c>
      <c r="L562" s="4">
        <v>7777</v>
      </c>
      <c r="M562">
        <v>500</v>
      </c>
      <c r="N562">
        <v>7277</v>
      </c>
      <c r="O562" t="s">
        <v>25</v>
      </c>
      <c r="P562">
        <v>4.9000000000000004</v>
      </c>
      <c r="Q562">
        <v>55</v>
      </c>
      <c r="R562" t="str">
        <f>TEXT(Healthcare_Data[[#This Row],[Visit_Date]],"mmm")</f>
        <v>Jul</v>
      </c>
      <c r="S562">
        <f>MONTH(Healthcare_Data[[#This Row],[Visit_Date]])</f>
        <v>7</v>
      </c>
      <c r="T562" t="str">
        <f>IF(Healthcare_Data[[#This Row],[Final_Bill]]&gt;=50000,"High",IF(Healthcare_Data[[#This Row],[Final_Bill]]&gt;=20000,"Medium","low"))</f>
        <v>low</v>
      </c>
    </row>
    <row r="563" spans="1:20" x14ac:dyDescent="0.3">
      <c r="A563" t="s">
        <v>618</v>
      </c>
      <c r="B563" s="3">
        <v>45862</v>
      </c>
      <c r="C563" t="s">
        <v>48</v>
      </c>
      <c r="D563" t="s">
        <v>39</v>
      </c>
      <c r="E563" t="s">
        <v>52</v>
      </c>
      <c r="F563" t="s">
        <v>40</v>
      </c>
      <c r="G563">
        <v>32</v>
      </c>
      <c r="H563" t="s">
        <v>115</v>
      </c>
      <c r="I563" t="s">
        <v>30</v>
      </c>
      <c r="J563" t="s">
        <v>58</v>
      </c>
      <c r="K563">
        <v>13</v>
      </c>
      <c r="L563" s="4">
        <v>44754</v>
      </c>
      <c r="M563">
        <v>0</v>
      </c>
      <c r="N563">
        <v>44754</v>
      </c>
      <c r="O563" t="s">
        <v>25</v>
      </c>
      <c r="P563">
        <v>3.3</v>
      </c>
      <c r="Q563">
        <v>5</v>
      </c>
      <c r="R563" t="str">
        <f>TEXT(Healthcare_Data[[#This Row],[Visit_Date]],"mmm")</f>
        <v>Jul</v>
      </c>
      <c r="S563">
        <f>MONTH(Healthcare_Data[[#This Row],[Visit_Date]])</f>
        <v>7</v>
      </c>
      <c r="T563" t="str">
        <f>IF(Healthcare_Data[[#This Row],[Final_Bill]]&gt;=50000,"High",IF(Healthcare_Data[[#This Row],[Final_Bill]]&gt;=20000,"Medium","low"))</f>
        <v>Medium</v>
      </c>
    </row>
    <row r="564" spans="1:20" x14ac:dyDescent="0.3">
      <c r="A564" t="s">
        <v>619</v>
      </c>
      <c r="B564" s="3">
        <v>45862</v>
      </c>
      <c r="C564" t="s">
        <v>54</v>
      </c>
      <c r="D564" t="s">
        <v>19</v>
      </c>
      <c r="E564" t="s">
        <v>20</v>
      </c>
      <c r="F564" t="s">
        <v>40</v>
      </c>
      <c r="G564">
        <v>76</v>
      </c>
      <c r="H564" t="s">
        <v>65</v>
      </c>
      <c r="I564" t="s">
        <v>72</v>
      </c>
      <c r="J564" t="s">
        <v>58</v>
      </c>
      <c r="K564">
        <v>0</v>
      </c>
      <c r="L564" s="4">
        <v>2410</v>
      </c>
      <c r="M564">
        <v>500</v>
      </c>
      <c r="N564">
        <v>1910</v>
      </c>
      <c r="O564" t="s">
        <v>25</v>
      </c>
      <c r="P564">
        <v>3.5</v>
      </c>
      <c r="Q564">
        <v>116</v>
      </c>
      <c r="R564" t="str">
        <f>TEXT(Healthcare_Data[[#This Row],[Visit_Date]],"mmm")</f>
        <v>Jul</v>
      </c>
      <c r="S564">
        <f>MONTH(Healthcare_Data[[#This Row],[Visit_Date]])</f>
        <v>7</v>
      </c>
      <c r="T564" t="str">
        <f>IF(Healthcare_Data[[#This Row],[Final_Bill]]&gt;=50000,"High",IF(Healthcare_Data[[#This Row],[Final_Bill]]&gt;=20000,"Medium","low"))</f>
        <v>low</v>
      </c>
    </row>
    <row r="565" spans="1:20" x14ac:dyDescent="0.3">
      <c r="A565" t="s">
        <v>620</v>
      </c>
      <c r="B565" s="3">
        <v>45863</v>
      </c>
      <c r="C565" t="s">
        <v>18</v>
      </c>
      <c r="D565" t="s">
        <v>39</v>
      </c>
      <c r="E565" t="s">
        <v>54</v>
      </c>
      <c r="F565" t="s">
        <v>40</v>
      </c>
      <c r="G565">
        <v>62</v>
      </c>
      <c r="H565" t="s">
        <v>29</v>
      </c>
      <c r="I565" t="s">
        <v>30</v>
      </c>
      <c r="J565" t="s">
        <v>24</v>
      </c>
      <c r="K565">
        <v>0</v>
      </c>
      <c r="L565" s="4">
        <v>19415</v>
      </c>
      <c r="M565">
        <v>0</v>
      </c>
      <c r="N565">
        <v>19415</v>
      </c>
      <c r="O565" t="s">
        <v>25</v>
      </c>
      <c r="P565">
        <v>3.7</v>
      </c>
      <c r="Q565">
        <v>93</v>
      </c>
      <c r="R565" t="str">
        <f>TEXT(Healthcare_Data[[#This Row],[Visit_Date]],"mmm")</f>
        <v>Jul</v>
      </c>
      <c r="S565">
        <f>MONTH(Healthcare_Data[[#This Row],[Visit_Date]])</f>
        <v>7</v>
      </c>
      <c r="T565" t="str">
        <f>IF(Healthcare_Data[[#This Row],[Final_Bill]]&gt;=50000,"High",IF(Healthcare_Data[[#This Row],[Final_Bill]]&gt;=20000,"Medium","low"))</f>
        <v>low</v>
      </c>
    </row>
    <row r="566" spans="1:20" x14ac:dyDescent="0.3">
      <c r="A566" t="s">
        <v>621</v>
      </c>
      <c r="B566" s="3">
        <v>45863</v>
      </c>
      <c r="C566" t="s">
        <v>50</v>
      </c>
      <c r="D566" t="s">
        <v>51</v>
      </c>
      <c r="E566" t="s">
        <v>20</v>
      </c>
      <c r="F566" t="s">
        <v>21</v>
      </c>
      <c r="G566">
        <v>69</v>
      </c>
      <c r="H566" t="s">
        <v>29</v>
      </c>
      <c r="I566" t="s">
        <v>30</v>
      </c>
      <c r="J566" t="s">
        <v>24</v>
      </c>
      <c r="K566">
        <v>0</v>
      </c>
      <c r="L566" s="4">
        <v>19301</v>
      </c>
      <c r="M566">
        <v>1500</v>
      </c>
      <c r="N566">
        <v>17801</v>
      </c>
      <c r="O566" t="s">
        <v>32</v>
      </c>
      <c r="P566">
        <v>4.5999999999999996</v>
      </c>
      <c r="Q566">
        <v>8</v>
      </c>
      <c r="R566" t="str">
        <f>TEXT(Healthcare_Data[[#This Row],[Visit_Date]],"mmm")</f>
        <v>Jul</v>
      </c>
      <c r="S566">
        <f>MONTH(Healthcare_Data[[#This Row],[Visit_Date]])</f>
        <v>7</v>
      </c>
      <c r="T566" t="str">
        <f>IF(Healthcare_Data[[#This Row],[Final_Bill]]&gt;=50000,"High",IF(Healthcare_Data[[#This Row],[Final_Bill]]&gt;=20000,"Medium","low"))</f>
        <v>low</v>
      </c>
    </row>
    <row r="567" spans="1:20" x14ac:dyDescent="0.3">
      <c r="A567" t="s">
        <v>622</v>
      </c>
      <c r="B567" s="3">
        <v>45864</v>
      </c>
      <c r="C567" t="s">
        <v>48</v>
      </c>
      <c r="D567" t="s">
        <v>39</v>
      </c>
      <c r="E567" t="s">
        <v>52</v>
      </c>
      <c r="F567" t="s">
        <v>40</v>
      </c>
      <c r="G567">
        <v>74</v>
      </c>
      <c r="H567" t="s">
        <v>65</v>
      </c>
      <c r="I567" t="s">
        <v>61</v>
      </c>
      <c r="J567" t="s">
        <v>58</v>
      </c>
      <c r="K567">
        <v>13</v>
      </c>
      <c r="L567" s="4">
        <v>79405</v>
      </c>
      <c r="M567">
        <v>0</v>
      </c>
      <c r="N567">
        <v>79405</v>
      </c>
      <c r="O567" t="s">
        <v>32</v>
      </c>
      <c r="P567">
        <v>3.5</v>
      </c>
      <c r="Q567">
        <v>71</v>
      </c>
      <c r="R567" t="str">
        <f>TEXT(Healthcare_Data[[#This Row],[Visit_Date]],"mmm")</f>
        <v>Jul</v>
      </c>
      <c r="S567">
        <f>MONTH(Healthcare_Data[[#This Row],[Visit_Date]])</f>
        <v>7</v>
      </c>
      <c r="T567" t="str">
        <f>IF(Healthcare_Data[[#This Row],[Final_Bill]]&gt;=50000,"High",IF(Healthcare_Data[[#This Row],[Final_Bill]]&gt;=20000,"Medium","low"))</f>
        <v>High</v>
      </c>
    </row>
    <row r="568" spans="1:20" x14ac:dyDescent="0.3">
      <c r="A568" t="s">
        <v>623</v>
      </c>
      <c r="B568" s="3">
        <v>45864</v>
      </c>
      <c r="C568" t="s">
        <v>67</v>
      </c>
      <c r="D568" t="s">
        <v>19</v>
      </c>
      <c r="E568" t="s">
        <v>20</v>
      </c>
      <c r="F568" t="s">
        <v>40</v>
      </c>
      <c r="G568">
        <v>22</v>
      </c>
      <c r="H568" t="s">
        <v>56</v>
      </c>
      <c r="I568" t="s">
        <v>42</v>
      </c>
      <c r="J568" t="s">
        <v>58</v>
      </c>
      <c r="K568">
        <v>0</v>
      </c>
      <c r="L568" s="4">
        <v>3696</v>
      </c>
      <c r="M568">
        <v>1500</v>
      </c>
      <c r="N568">
        <v>2196</v>
      </c>
      <c r="O568" t="s">
        <v>32</v>
      </c>
      <c r="P568">
        <v>3</v>
      </c>
      <c r="Q568">
        <v>93</v>
      </c>
      <c r="R568" t="str">
        <f>TEXT(Healthcare_Data[[#This Row],[Visit_Date]],"mmm")</f>
        <v>Jul</v>
      </c>
      <c r="S568">
        <f>MONTH(Healthcare_Data[[#This Row],[Visit_Date]])</f>
        <v>7</v>
      </c>
      <c r="T568" t="str">
        <f>IF(Healthcare_Data[[#This Row],[Final_Bill]]&gt;=50000,"High",IF(Healthcare_Data[[#This Row],[Final_Bill]]&gt;=20000,"Medium","low"))</f>
        <v>low</v>
      </c>
    </row>
    <row r="569" spans="1:20" x14ac:dyDescent="0.3">
      <c r="A569" t="s">
        <v>624</v>
      </c>
      <c r="B569" s="3">
        <v>45864</v>
      </c>
      <c r="C569" t="s">
        <v>67</v>
      </c>
      <c r="D569" t="s">
        <v>51</v>
      </c>
      <c r="E569" t="s">
        <v>20</v>
      </c>
      <c r="F569" t="s">
        <v>21</v>
      </c>
      <c r="G569">
        <v>73</v>
      </c>
      <c r="H569" t="s">
        <v>22</v>
      </c>
      <c r="I569" t="s">
        <v>61</v>
      </c>
      <c r="J569" t="s">
        <v>31</v>
      </c>
      <c r="K569">
        <v>0</v>
      </c>
      <c r="L569" s="4">
        <v>6755</v>
      </c>
      <c r="M569">
        <v>500</v>
      </c>
      <c r="N569">
        <v>6255</v>
      </c>
      <c r="O569" t="s">
        <v>25</v>
      </c>
      <c r="P569">
        <v>4.8</v>
      </c>
      <c r="Q569">
        <v>55</v>
      </c>
      <c r="R569" t="str">
        <f>TEXT(Healthcare_Data[[#This Row],[Visit_Date]],"mmm")</f>
        <v>Jul</v>
      </c>
      <c r="S569">
        <f>MONTH(Healthcare_Data[[#This Row],[Visit_Date]])</f>
        <v>7</v>
      </c>
      <c r="T569" t="str">
        <f>IF(Healthcare_Data[[#This Row],[Final_Bill]]&gt;=50000,"High",IF(Healthcare_Data[[#This Row],[Final_Bill]]&gt;=20000,"Medium","low"))</f>
        <v>low</v>
      </c>
    </row>
    <row r="570" spans="1:20" x14ac:dyDescent="0.3">
      <c r="A570" t="s">
        <v>625</v>
      </c>
      <c r="B570" s="3">
        <v>45865</v>
      </c>
      <c r="C570" t="s">
        <v>18</v>
      </c>
      <c r="D570" t="s">
        <v>28</v>
      </c>
      <c r="E570" t="s">
        <v>52</v>
      </c>
      <c r="F570" t="s">
        <v>21</v>
      </c>
      <c r="G570">
        <v>78</v>
      </c>
      <c r="H570" t="s">
        <v>65</v>
      </c>
      <c r="I570" t="s">
        <v>63</v>
      </c>
      <c r="J570" t="s">
        <v>58</v>
      </c>
      <c r="K570">
        <v>6</v>
      </c>
      <c r="L570" s="4">
        <v>53165</v>
      </c>
      <c r="M570">
        <v>2000</v>
      </c>
      <c r="N570">
        <v>51165</v>
      </c>
      <c r="O570" t="s">
        <v>25</v>
      </c>
      <c r="P570">
        <v>3.8</v>
      </c>
      <c r="Q570">
        <v>116</v>
      </c>
      <c r="R570" t="str">
        <f>TEXT(Healthcare_Data[[#This Row],[Visit_Date]],"mmm")</f>
        <v>Jul</v>
      </c>
      <c r="S570">
        <f>MONTH(Healthcare_Data[[#This Row],[Visit_Date]])</f>
        <v>7</v>
      </c>
      <c r="T570" t="str">
        <f>IF(Healthcare_Data[[#This Row],[Final_Bill]]&gt;=50000,"High",IF(Healthcare_Data[[#This Row],[Final_Bill]]&gt;=20000,"Medium","low"))</f>
        <v>High</v>
      </c>
    </row>
    <row r="571" spans="1:20" x14ac:dyDescent="0.3">
      <c r="A571" t="s">
        <v>626</v>
      </c>
      <c r="B571" s="3">
        <v>45865</v>
      </c>
      <c r="C571" t="s">
        <v>44</v>
      </c>
      <c r="D571" t="s">
        <v>28</v>
      </c>
      <c r="E571" t="s">
        <v>20</v>
      </c>
      <c r="F571" t="s">
        <v>40</v>
      </c>
      <c r="G571">
        <v>56</v>
      </c>
      <c r="H571" t="s">
        <v>29</v>
      </c>
      <c r="I571" t="s">
        <v>72</v>
      </c>
      <c r="J571" t="s">
        <v>36</v>
      </c>
      <c r="K571">
        <v>0</v>
      </c>
      <c r="L571" s="4">
        <v>2422</v>
      </c>
      <c r="M571">
        <v>0</v>
      </c>
      <c r="N571">
        <v>2422</v>
      </c>
      <c r="O571" t="s">
        <v>25</v>
      </c>
      <c r="P571">
        <v>3.8</v>
      </c>
      <c r="Q571">
        <v>85</v>
      </c>
      <c r="R571" t="str">
        <f>TEXT(Healthcare_Data[[#This Row],[Visit_Date]],"mmm")</f>
        <v>Jul</v>
      </c>
      <c r="S571">
        <f>MONTH(Healthcare_Data[[#This Row],[Visit_Date]])</f>
        <v>7</v>
      </c>
      <c r="T571" t="str">
        <f>IF(Healthcare_Data[[#This Row],[Final_Bill]]&gt;=50000,"High",IF(Healthcare_Data[[#This Row],[Final_Bill]]&gt;=20000,"Medium","low"))</f>
        <v>low</v>
      </c>
    </row>
    <row r="572" spans="1:20" x14ac:dyDescent="0.3">
      <c r="A572" t="s">
        <v>627</v>
      </c>
      <c r="B572" s="3">
        <v>45865</v>
      </c>
      <c r="C572" t="s">
        <v>54</v>
      </c>
      <c r="D572" t="s">
        <v>51</v>
      </c>
      <c r="E572" t="s">
        <v>52</v>
      </c>
      <c r="F572" t="s">
        <v>21</v>
      </c>
      <c r="G572">
        <v>34</v>
      </c>
      <c r="H572" t="s">
        <v>35</v>
      </c>
      <c r="I572" t="s">
        <v>61</v>
      </c>
      <c r="J572" t="s">
        <v>24</v>
      </c>
      <c r="K572">
        <v>5</v>
      </c>
      <c r="L572" s="4">
        <v>26219</v>
      </c>
      <c r="M572">
        <v>500</v>
      </c>
      <c r="N572">
        <v>25719</v>
      </c>
      <c r="O572" t="s">
        <v>25</v>
      </c>
      <c r="P572">
        <v>2.6</v>
      </c>
      <c r="Q572">
        <v>24</v>
      </c>
      <c r="R572" t="str">
        <f>TEXT(Healthcare_Data[[#This Row],[Visit_Date]],"mmm")</f>
        <v>Jul</v>
      </c>
      <c r="S572">
        <f>MONTH(Healthcare_Data[[#This Row],[Visit_Date]])</f>
        <v>7</v>
      </c>
      <c r="T572" t="str">
        <f>IF(Healthcare_Data[[#This Row],[Final_Bill]]&gt;=50000,"High",IF(Healthcare_Data[[#This Row],[Final_Bill]]&gt;=20000,"Medium","low"))</f>
        <v>Medium</v>
      </c>
    </row>
    <row r="573" spans="1:20" x14ac:dyDescent="0.3">
      <c r="A573" t="s">
        <v>628</v>
      </c>
      <c r="B573" s="3">
        <v>45869</v>
      </c>
      <c r="C573" t="s">
        <v>18</v>
      </c>
      <c r="D573" t="s">
        <v>34</v>
      </c>
      <c r="E573" t="s">
        <v>20</v>
      </c>
      <c r="F573" t="s">
        <v>21</v>
      </c>
      <c r="G573">
        <v>60</v>
      </c>
      <c r="H573" t="s">
        <v>115</v>
      </c>
      <c r="I573" t="s">
        <v>72</v>
      </c>
      <c r="J573" t="s">
        <v>36</v>
      </c>
      <c r="K573">
        <v>0</v>
      </c>
      <c r="L573" s="4">
        <v>19162</v>
      </c>
      <c r="M573">
        <v>1000</v>
      </c>
      <c r="N573">
        <v>18162</v>
      </c>
      <c r="O573" t="s">
        <v>59</v>
      </c>
      <c r="P573">
        <v>3.9</v>
      </c>
      <c r="Q573">
        <v>61</v>
      </c>
      <c r="R573" t="str">
        <f>TEXT(Healthcare_Data[[#This Row],[Visit_Date]],"mmm")</f>
        <v>Jul</v>
      </c>
      <c r="S573">
        <f>MONTH(Healthcare_Data[[#This Row],[Visit_Date]])</f>
        <v>7</v>
      </c>
      <c r="T573" t="str">
        <f>IF(Healthcare_Data[[#This Row],[Final_Bill]]&gt;=50000,"High",IF(Healthcare_Data[[#This Row],[Final_Bill]]&gt;=20000,"Medium","low"))</f>
        <v>low</v>
      </c>
    </row>
    <row r="574" spans="1:20" x14ac:dyDescent="0.3">
      <c r="A574" t="s">
        <v>629</v>
      </c>
      <c r="B574" s="3">
        <v>45869</v>
      </c>
      <c r="C574" t="s">
        <v>54</v>
      </c>
      <c r="D574" t="s">
        <v>51</v>
      </c>
      <c r="E574" t="s">
        <v>54</v>
      </c>
      <c r="F574" t="s">
        <v>21</v>
      </c>
      <c r="G574">
        <v>52</v>
      </c>
      <c r="H574" t="s">
        <v>35</v>
      </c>
      <c r="I574" t="s">
        <v>23</v>
      </c>
      <c r="J574" t="s">
        <v>58</v>
      </c>
      <c r="K574">
        <v>0</v>
      </c>
      <c r="L574" s="4">
        <v>11499</v>
      </c>
      <c r="M574">
        <v>1000</v>
      </c>
      <c r="N574">
        <v>10499</v>
      </c>
      <c r="O574" t="s">
        <v>25</v>
      </c>
      <c r="P574">
        <v>2.6</v>
      </c>
      <c r="Q574">
        <v>5</v>
      </c>
      <c r="R574" t="str">
        <f>TEXT(Healthcare_Data[[#This Row],[Visit_Date]],"mmm")</f>
        <v>Jul</v>
      </c>
      <c r="S574">
        <f>MONTH(Healthcare_Data[[#This Row],[Visit_Date]])</f>
        <v>7</v>
      </c>
      <c r="T574" t="str">
        <f>IF(Healthcare_Data[[#This Row],[Final_Bill]]&gt;=50000,"High",IF(Healthcare_Data[[#This Row],[Final_Bill]]&gt;=20000,"Medium","low"))</f>
        <v>low</v>
      </c>
    </row>
    <row r="575" spans="1:20" x14ac:dyDescent="0.3">
      <c r="A575" t="s">
        <v>630</v>
      </c>
      <c r="B575" s="3">
        <v>45869</v>
      </c>
      <c r="C575" t="s">
        <v>44</v>
      </c>
      <c r="D575" t="s">
        <v>34</v>
      </c>
      <c r="E575" t="s">
        <v>52</v>
      </c>
      <c r="F575" t="s">
        <v>40</v>
      </c>
      <c r="G575">
        <v>46</v>
      </c>
      <c r="H575" t="s">
        <v>41</v>
      </c>
      <c r="I575" t="s">
        <v>42</v>
      </c>
      <c r="J575" t="s">
        <v>58</v>
      </c>
      <c r="K575">
        <v>5</v>
      </c>
      <c r="L575" s="4">
        <v>29691</v>
      </c>
      <c r="M575">
        <v>0</v>
      </c>
      <c r="N575">
        <v>29691</v>
      </c>
      <c r="O575" t="s">
        <v>25</v>
      </c>
      <c r="P575">
        <v>3.9</v>
      </c>
      <c r="Q575">
        <v>99</v>
      </c>
      <c r="R575" t="str">
        <f>TEXT(Healthcare_Data[[#This Row],[Visit_Date]],"mmm")</f>
        <v>Jul</v>
      </c>
      <c r="S575">
        <f>MONTH(Healthcare_Data[[#This Row],[Visit_Date]])</f>
        <v>7</v>
      </c>
      <c r="T575" t="str">
        <f>IF(Healthcare_Data[[#This Row],[Final_Bill]]&gt;=50000,"High",IF(Healthcare_Data[[#This Row],[Final_Bill]]&gt;=20000,"Medium","low"))</f>
        <v>Medium</v>
      </c>
    </row>
    <row r="576" spans="1:20" x14ac:dyDescent="0.3">
      <c r="A576" t="s">
        <v>631</v>
      </c>
      <c r="B576" s="3">
        <v>45870</v>
      </c>
      <c r="C576" t="s">
        <v>50</v>
      </c>
      <c r="D576" t="s">
        <v>51</v>
      </c>
      <c r="E576" t="s">
        <v>52</v>
      </c>
      <c r="F576" t="s">
        <v>40</v>
      </c>
      <c r="G576">
        <v>71</v>
      </c>
      <c r="H576" t="s">
        <v>29</v>
      </c>
      <c r="I576" t="s">
        <v>63</v>
      </c>
      <c r="J576" t="s">
        <v>36</v>
      </c>
      <c r="K576">
        <v>7</v>
      </c>
      <c r="L576" s="4">
        <v>46218</v>
      </c>
      <c r="M576">
        <v>0</v>
      </c>
      <c r="N576">
        <v>46218</v>
      </c>
      <c r="O576" t="s">
        <v>25</v>
      </c>
      <c r="P576">
        <v>2.8</v>
      </c>
      <c r="Q576">
        <v>35</v>
      </c>
      <c r="R576" t="str">
        <f>TEXT(Healthcare_Data[[#This Row],[Visit_Date]],"mmm")</f>
        <v>Aug</v>
      </c>
      <c r="S576">
        <f>MONTH(Healthcare_Data[[#This Row],[Visit_Date]])</f>
        <v>8</v>
      </c>
      <c r="T576" t="str">
        <f>IF(Healthcare_Data[[#This Row],[Final_Bill]]&gt;=50000,"High",IF(Healthcare_Data[[#This Row],[Final_Bill]]&gt;=20000,"Medium","low"))</f>
        <v>Medium</v>
      </c>
    </row>
    <row r="577" spans="1:20" x14ac:dyDescent="0.3">
      <c r="A577" t="s">
        <v>632</v>
      </c>
      <c r="B577" s="3">
        <v>45870</v>
      </c>
      <c r="C577" t="s">
        <v>67</v>
      </c>
      <c r="D577" t="s">
        <v>34</v>
      </c>
      <c r="E577" t="s">
        <v>20</v>
      </c>
      <c r="F577" t="s">
        <v>21</v>
      </c>
      <c r="G577">
        <v>27</v>
      </c>
      <c r="H577" t="s">
        <v>22</v>
      </c>
      <c r="I577" t="s">
        <v>69</v>
      </c>
      <c r="J577" t="s">
        <v>24</v>
      </c>
      <c r="K577">
        <v>0</v>
      </c>
      <c r="L577" s="4">
        <v>17658</v>
      </c>
      <c r="M577">
        <v>1500</v>
      </c>
      <c r="N577">
        <v>16158</v>
      </c>
      <c r="O577" t="s">
        <v>25</v>
      </c>
      <c r="P577">
        <v>4</v>
      </c>
      <c r="Q577">
        <v>19</v>
      </c>
      <c r="R577" t="str">
        <f>TEXT(Healthcare_Data[[#This Row],[Visit_Date]],"mmm")</f>
        <v>Aug</v>
      </c>
      <c r="S577">
        <f>MONTH(Healthcare_Data[[#This Row],[Visit_Date]])</f>
        <v>8</v>
      </c>
      <c r="T577" t="str">
        <f>IF(Healthcare_Data[[#This Row],[Final_Bill]]&gt;=50000,"High",IF(Healthcare_Data[[#This Row],[Final_Bill]]&gt;=20000,"Medium","low"))</f>
        <v>low</v>
      </c>
    </row>
    <row r="578" spans="1:20" x14ac:dyDescent="0.3">
      <c r="A578" t="s">
        <v>633</v>
      </c>
      <c r="B578" s="3">
        <v>45871</v>
      </c>
      <c r="C578" t="s">
        <v>54</v>
      </c>
      <c r="D578" t="s">
        <v>51</v>
      </c>
      <c r="E578" t="s">
        <v>20</v>
      </c>
      <c r="F578" t="s">
        <v>40</v>
      </c>
      <c r="G578">
        <v>40</v>
      </c>
      <c r="H578" t="s">
        <v>22</v>
      </c>
      <c r="I578" t="s">
        <v>61</v>
      </c>
      <c r="J578" t="s">
        <v>24</v>
      </c>
      <c r="K578">
        <v>0</v>
      </c>
      <c r="L578" s="4">
        <v>3025</v>
      </c>
      <c r="M578">
        <v>0</v>
      </c>
      <c r="N578">
        <v>3025</v>
      </c>
      <c r="O578" t="s">
        <v>25</v>
      </c>
      <c r="P578">
        <v>4.8</v>
      </c>
      <c r="Q578">
        <v>30</v>
      </c>
      <c r="R578" t="str">
        <f>TEXT(Healthcare_Data[[#This Row],[Visit_Date]],"mmm")</f>
        <v>Aug</v>
      </c>
      <c r="S578">
        <f>MONTH(Healthcare_Data[[#This Row],[Visit_Date]])</f>
        <v>8</v>
      </c>
      <c r="T578" t="str">
        <f>IF(Healthcare_Data[[#This Row],[Final_Bill]]&gt;=50000,"High",IF(Healthcare_Data[[#This Row],[Final_Bill]]&gt;=20000,"Medium","low"))</f>
        <v>low</v>
      </c>
    </row>
    <row r="579" spans="1:20" x14ac:dyDescent="0.3">
      <c r="A579" t="s">
        <v>634</v>
      </c>
      <c r="B579" s="3">
        <v>45871</v>
      </c>
      <c r="C579" t="s">
        <v>48</v>
      </c>
      <c r="D579" t="s">
        <v>28</v>
      </c>
      <c r="E579" t="s">
        <v>20</v>
      </c>
      <c r="F579" t="s">
        <v>21</v>
      </c>
      <c r="G579">
        <v>72</v>
      </c>
      <c r="H579" t="s">
        <v>35</v>
      </c>
      <c r="I579" t="s">
        <v>42</v>
      </c>
      <c r="J579" t="s">
        <v>36</v>
      </c>
      <c r="K579">
        <v>0</v>
      </c>
      <c r="L579" s="4">
        <v>3311</v>
      </c>
      <c r="M579">
        <v>0</v>
      </c>
      <c r="N579">
        <v>3311</v>
      </c>
      <c r="O579" t="s">
        <v>25</v>
      </c>
      <c r="P579">
        <v>3.8</v>
      </c>
      <c r="Q579">
        <v>9</v>
      </c>
      <c r="R579" t="str">
        <f>TEXT(Healthcare_Data[[#This Row],[Visit_Date]],"mmm")</f>
        <v>Aug</v>
      </c>
      <c r="S579">
        <f>MONTH(Healthcare_Data[[#This Row],[Visit_Date]])</f>
        <v>8</v>
      </c>
      <c r="T579" t="str">
        <f>IF(Healthcare_Data[[#This Row],[Final_Bill]]&gt;=50000,"High",IF(Healthcare_Data[[#This Row],[Final_Bill]]&gt;=20000,"Medium","low"))</f>
        <v>low</v>
      </c>
    </row>
    <row r="580" spans="1:20" x14ac:dyDescent="0.3">
      <c r="A580" t="s">
        <v>635</v>
      </c>
      <c r="B580" s="3">
        <v>45871</v>
      </c>
      <c r="C580" t="s">
        <v>48</v>
      </c>
      <c r="D580" t="s">
        <v>19</v>
      </c>
      <c r="E580" t="s">
        <v>52</v>
      </c>
      <c r="F580" t="s">
        <v>21</v>
      </c>
      <c r="G580">
        <v>64</v>
      </c>
      <c r="H580" t="s">
        <v>29</v>
      </c>
      <c r="I580" t="s">
        <v>30</v>
      </c>
      <c r="J580" t="s">
        <v>24</v>
      </c>
      <c r="K580">
        <v>10</v>
      </c>
      <c r="L580" s="4">
        <v>72478</v>
      </c>
      <c r="M580">
        <v>500</v>
      </c>
      <c r="N580">
        <v>71978</v>
      </c>
      <c r="O580" t="s">
        <v>25</v>
      </c>
      <c r="P580">
        <v>2.8</v>
      </c>
      <c r="Q580">
        <v>68</v>
      </c>
      <c r="R580" t="str">
        <f>TEXT(Healthcare_Data[[#This Row],[Visit_Date]],"mmm")</f>
        <v>Aug</v>
      </c>
      <c r="S580">
        <f>MONTH(Healthcare_Data[[#This Row],[Visit_Date]])</f>
        <v>8</v>
      </c>
      <c r="T580" t="str">
        <f>IF(Healthcare_Data[[#This Row],[Final_Bill]]&gt;=50000,"High",IF(Healthcare_Data[[#This Row],[Final_Bill]]&gt;=20000,"Medium","low"))</f>
        <v>High</v>
      </c>
    </row>
    <row r="581" spans="1:20" x14ac:dyDescent="0.3">
      <c r="A581" t="s">
        <v>636</v>
      </c>
      <c r="B581" s="3">
        <v>45872</v>
      </c>
      <c r="C581" t="s">
        <v>48</v>
      </c>
      <c r="D581" t="s">
        <v>28</v>
      </c>
      <c r="E581" t="s">
        <v>54</v>
      </c>
      <c r="F581" t="s">
        <v>40</v>
      </c>
      <c r="G581">
        <v>38</v>
      </c>
      <c r="H581" t="s">
        <v>35</v>
      </c>
      <c r="I581" t="s">
        <v>57</v>
      </c>
      <c r="J581" t="s">
        <v>36</v>
      </c>
      <c r="K581">
        <v>0</v>
      </c>
      <c r="L581" s="4">
        <v>24182</v>
      </c>
      <c r="M581">
        <v>0</v>
      </c>
      <c r="N581">
        <v>24182</v>
      </c>
      <c r="O581" t="s">
        <v>25</v>
      </c>
      <c r="P581">
        <v>4.9000000000000004</v>
      </c>
      <c r="Q581">
        <v>120</v>
      </c>
      <c r="R581" t="str">
        <f>TEXT(Healthcare_Data[[#This Row],[Visit_Date]],"mmm")</f>
        <v>Aug</v>
      </c>
      <c r="S581">
        <f>MONTH(Healthcare_Data[[#This Row],[Visit_Date]])</f>
        <v>8</v>
      </c>
      <c r="T581" t="str">
        <f>IF(Healthcare_Data[[#This Row],[Final_Bill]]&gt;=50000,"High",IF(Healthcare_Data[[#This Row],[Final_Bill]]&gt;=20000,"Medium","low"))</f>
        <v>Medium</v>
      </c>
    </row>
    <row r="582" spans="1:20" x14ac:dyDescent="0.3">
      <c r="A582" t="s">
        <v>637</v>
      </c>
      <c r="B582" s="3">
        <v>45872</v>
      </c>
      <c r="C582" t="s">
        <v>18</v>
      </c>
      <c r="D582" t="s">
        <v>28</v>
      </c>
      <c r="E582" t="s">
        <v>52</v>
      </c>
      <c r="F582" t="s">
        <v>40</v>
      </c>
      <c r="G582">
        <v>46</v>
      </c>
      <c r="H582" t="s">
        <v>41</v>
      </c>
      <c r="I582" t="s">
        <v>69</v>
      </c>
      <c r="J582" t="s">
        <v>31</v>
      </c>
      <c r="K582">
        <v>9</v>
      </c>
      <c r="L582" s="4">
        <v>51943</v>
      </c>
      <c r="M582">
        <v>0</v>
      </c>
      <c r="N582">
        <v>51943</v>
      </c>
      <c r="O582" t="s">
        <v>25</v>
      </c>
      <c r="P582">
        <v>3.6</v>
      </c>
      <c r="Q582">
        <v>112</v>
      </c>
      <c r="R582" t="str">
        <f>TEXT(Healthcare_Data[[#This Row],[Visit_Date]],"mmm")</f>
        <v>Aug</v>
      </c>
      <c r="S582">
        <f>MONTH(Healthcare_Data[[#This Row],[Visit_Date]])</f>
        <v>8</v>
      </c>
      <c r="T582" t="str">
        <f>IF(Healthcare_Data[[#This Row],[Final_Bill]]&gt;=50000,"High",IF(Healthcare_Data[[#This Row],[Final_Bill]]&gt;=20000,"Medium","low"))</f>
        <v>High</v>
      </c>
    </row>
    <row r="583" spans="1:20" x14ac:dyDescent="0.3">
      <c r="A583" t="s">
        <v>638</v>
      </c>
      <c r="B583" s="3">
        <v>45872</v>
      </c>
      <c r="C583" t="s">
        <v>48</v>
      </c>
      <c r="D583" t="s">
        <v>28</v>
      </c>
      <c r="E583" t="s">
        <v>52</v>
      </c>
      <c r="F583" t="s">
        <v>21</v>
      </c>
      <c r="G583">
        <v>65</v>
      </c>
      <c r="H583" t="s">
        <v>115</v>
      </c>
      <c r="I583" t="s">
        <v>42</v>
      </c>
      <c r="J583" t="s">
        <v>24</v>
      </c>
      <c r="K583">
        <v>7</v>
      </c>
      <c r="L583" s="4">
        <v>64752</v>
      </c>
      <c r="M583">
        <v>0</v>
      </c>
      <c r="N583">
        <v>64752</v>
      </c>
      <c r="O583" t="s">
        <v>32</v>
      </c>
      <c r="P583">
        <v>3.8</v>
      </c>
      <c r="Q583">
        <v>22</v>
      </c>
      <c r="R583" t="str">
        <f>TEXT(Healthcare_Data[[#This Row],[Visit_Date]],"mmm")</f>
        <v>Aug</v>
      </c>
      <c r="S583">
        <f>MONTH(Healthcare_Data[[#This Row],[Visit_Date]])</f>
        <v>8</v>
      </c>
      <c r="T583" t="str">
        <f>IF(Healthcare_Data[[#This Row],[Final_Bill]]&gt;=50000,"High",IF(Healthcare_Data[[#This Row],[Final_Bill]]&gt;=20000,"Medium","low"))</f>
        <v>High</v>
      </c>
    </row>
    <row r="584" spans="1:20" x14ac:dyDescent="0.3">
      <c r="A584" t="s">
        <v>639</v>
      </c>
      <c r="B584" s="3">
        <v>45872</v>
      </c>
      <c r="C584" t="s">
        <v>27</v>
      </c>
      <c r="D584" t="s">
        <v>28</v>
      </c>
      <c r="E584" t="s">
        <v>20</v>
      </c>
      <c r="F584" t="s">
        <v>21</v>
      </c>
      <c r="G584">
        <v>28</v>
      </c>
      <c r="H584" t="s">
        <v>41</v>
      </c>
      <c r="I584" t="s">
        <v>63</v>
      </c>
      <c r="J584" t="s">
        <v>24</v>
      </c>
      <c r="K584">
        <v>0</v>
      </c>
      <c r="L584" s="4">
        <v>9192</v>
      </c>
      <c r="M584">
        <v>500</v>
      </c>
      <c r="N584">
        <v>8692</v>
      </c>
      <c r="O584" t="s">
        <v>25</v>
      </c>
      <c r="P584">
        <v>3.2</v>
      </c>
      <c r="Q584">
        <v>116</v>
      </c>
      <c r="R584" t="str">
        <f>TEXT(Healthcare_Data[[#This Row],[Visit_Date]],"mmm")</f>
        <v>Aug</v>
      </c>
      <c r="S584">
        <f>MONTH(Healthcare_Data[[#This Row],[Visit_Date]])</f>
        <v>8</v>
      </c>
      <c r="T584" t="str">
        <f>IF(Healthcare_Data[[#This Row],[Final_Bill]]&gt;=50000,"High",IF(Healthcare_Data[[#This Row],[Final_Bill]]&gt;=20000,"Medium","low"))</f>
        <v>low</v>
      </c>
    </row>
    <row r="585" spans="1:20" x14ac:dyDescent="0.3">
      <c r="A585" t="s">
        <v>640</v>
      </c>
      <c r="B585" s="3">
        <v>45872</v>
      </c>
      <c r="C585" t="s">
        <v>67</v>
      </c>
      <c r="D585" t="s">
        <v>28</v>
      </c>
      <c r="E585" t="s">
        <v>20</v>
      </c>
      <c r="F585" t="s">
        <v>40</v>
      </c>
      <c r="G585">
        <v>61</v>
      </c>
      <c r="H585" t="s">
        <v>46</v>
      </c>
      <c r="I585" t="s">
        <v>57</v>
      </c>
      <c r="J585" t="s">
        <v>31</v>
      </c>
      <c r="K585">
        <v>0</v>
      </c>
      <c r="L585" s="4">
        <v>4565</v>
      </c>
      <c r="M585">
        <v>500</v>
      </c>
      <c r="N585">
        <v>4065</v>
      </c>
      <c r="O585" t="s">
        <v>32</v>
      </c>
      <c r="P585">
        <v>4.2</v>
      </c>
      <c r="Q585">
        <v>75</v>
      </c>
      <c r="R585" t="str">
        <f>TEXT(Healthcare_Data[[#This Row],[Visit_Date]],"mmm")</f>
        <v>Aug</v>
      </c>
      <c r="S585">
        <f>MONTH(Healthcare_Data[[#This Row],[Visit_Date]])</f>
        <v>8</v>
      </c>
      <c r="T585" t="str">
        <f>IF(Healthcare_Data[[#This Row],[Final_Bill]]&gt;=50000,"High",IF(Healthcare_Data[[#This Row],[Final_Bill]]&gt;=20000,"Medium","low"))</f>
        <v>low</v>
      </c>
    </row>
    <row r="586" spans="1:20" x14ac:dyDescent="0.3">
      <c r="A586" t="s">
        <v>641</v>
      </c>
      <c r="B586" s="3">
        <v>45873</v>
      </c>
      <c r="C586" t="s">
        <v>67</v>
      </c>
      <c r="D586" t="s">
        <v>39</v>
      </c>
      <c r="E586" t="s">
        <v>20</v>
      </c>
      <c r="F586" t="s">
        <v>21</v>
      </c>
      <c r="G586">
        <v>31</v>
      </c>
      <c r="H586" t="s">
        <v>56</v>
      </c>
      <c r="I586" t="s">
        <v>69</v>
      </c>
      <c r="J586" t="s">
        <v>31</v>
      </c>
      <c r="K586">
        <v>0</v>
      </c>
      <c r="L586" s="4">
        <v>9463</v>
      </c>
      <c r="M586">
        <v>500</v>
      </c>
      <c r="N586">
        <v>8963</v>
      </c>
      <c r="O586" t="s">
        <v>25</v>
      </c>
      <c r="P586">
        <v>4.4000000000000004</v>
      </c>
      <c r="Q586">
        <v>29</v>
      </c>
      <c r="R586" t="str">
        <f>TEXT(Healthcare_Data[[#This Row],[Visit_Date]],"mmm")</f>
        <v>Aug</v>
      </c>
      <c r="S586">
        <f>MONTH(Healthcare_Data[[#This Row],[Visit_Date]])</f>
        <v>8</v>
      </c>
      <c r="T586" t="str">
        <f>IF(Healthcare_Data[[#This Row],[Final_Bill]]&gt;=50000,"High",IF(Healthcare_Data[[#This Row],[Final_Bill]]&gt;=20000,"Medium","low"))</f>
        <v>low</v>
      </c>
    </row>
    <row r="587" spans="1:20" x14ac:dyDescent="0.3">
      <c r="A587" t="s">
        <v>642</v>
      </c>
      <c r="B587" s="3">
        <v>45873</v>
      </c>
      <c r="C587" t="s">
        <v>50</v>
      </c>
      <c r="D587" t="s">
        <v>28</v>
      </c>
      <c r="E587" t="s">
        <v>20</v>
      </c>
      <c r="F587" t="s">
        <v>40</v>
      </c>
      <c r="G587">
        <v>52</v>
      </c>
      <c r="H587" t="s">
        <v>29</v>
      </c>
      <c r="I587" t="s">
        <v>61</v>
      </c>
      <c r="J587" t="s">
        <v>24</v>
      </c>
      <c r="K587">
        <v>0</v>
      </c>
      <c r="L587" s="4">
        <v>15626</v>
      </c>
      <c r="M587">
        <v>0</v>
      </c>
      <c r="N587">
        <v>15626</v>
      </c>
      <c r="O587" t="s">
        <v>59</v>
      </c>
      <c r="P587">
        <v>3.2</v>
      </c>
      <c r="Q587">
        <v>72</v>
      </c>
      <c r="R587" t="str">
        <f>TEXT(Healthcare_Data[[#This Row],[Visit_Date]],"mmm")</f>
        <v>Aug</v>
      </c>
      <c r="S587">
        <f>MONTH(Healthcare_Data[[#This Row],[Visit_Date]])</f>
        <v>8</v>
      </c>
      <c r="T587" t="str">
        <f>IF(Healthcare_Data[[#This Row],[Final_Bill]]&gt;=50000,"High",IF(Healthcare_Data[[#This Row],[Final_Bill]]&gt;=20000,"Medium","low"))</f>
        <v>low</v>
      </c>
    </row>
    <row r="588" spans="1:20" x14ac:dyDescent="0.3">
      <c r="A588" t="s">
        <v>643</v>
      </c>
      <c r="B588" s="3">
        <v>45874</v>
      </c>
      <c r="C588" t="s">
        <v>54</v>
      </c>
      <c r="D588" t="s">
        <v>39</v>
      </c>
      <c r="E588" t="s">
        <v>20</v>
      </c>
      <c r="F588" t="s">
        <v>40</v>
      </c>
      <c r="G588">
        <v>39</v>
      </c>
      <c r="H588" t="s">
        <v>41</v>
      </c>
      <c r="I588" t="s">
        <v>30</v>
      </c>
      <c r="J588" t="s">
        <v>31</v>
      </c>
      <c r="K588">
        <v>0</v>
      </c>
      <c r="L588" s="4">
        <v>9131</v>
      </c>
      <c r="M588">
        <v>1500</v>
      </c>
      <c r="N588">
        <v>7631</v>
      </c>
      <c r="O588" t="s">
        <v>25</v>
      </c>
      <c r="P588">
        <v>3.1</v>
      </c>
      <c r="Q588">
        <v>109</v>
      </c>
      <c r="R588" t="str">
        <f>TEXT(Healthcare_Data[[#This Row],[Visit_Date]],"mmm")</f>
        <v>Aug</v>
      </c>
      <c r="S588">
        <f>MONTH(Healthcare_Data[[#This Row],[Visit_Date]])</f>
        <v>8</v>
      </c>
      <c r="T588" t="str">
        <f>IF(Healthcare_Data[[#This Row],[Final_Bill]]&gt;=50000,"High",IF(Healthcare_Data[[#This Row],[Final_Bill]]&gt;=20000,"Medium","low"))</f>
        <v>low</v>
      </c>
    </row>
    <row r="589" spans="1:20" x14ac:dyDescent="0.3">
      <c r="A589" t="s">
        <v>644</v>
      </c>
      <c r="B589" s="3">
        <v>45874</v>
      </c>
      <c r="C589" t="s">
        <v>44</v>
      </c>
      <c r="D589" t="s">
        <v>39</v>
      </c>
      <c r="E589" t="s">
        <v>54</v>
      </c>
      <c r="F589" t="s">
        <v>40</v>
      </c>
      <c r="G589">
        <v>75</v>
      </c>
      <c r="H589" t="s">
        <v>29</v>
      </c>
      <c r="I589" t="s">
        <v>72</v>
      </c>
      <c r="J589" t="s">
        <v>24</v>
      </c>
      <c r="K589">
        <v>0</v>
      </c>
      <c r="L589" s="4">
        <v>17476</v>
      </c>
      <c r="M589">
        <v>0</v>
      </c>
      <c r="N589">
        <v>17476</v>
      </c>
      <c r="O589" t="s">
        <v>25</v>
      </c>
      <c r="P589">
        <v>3.4</v>
      </c>
      <c r="Q589">
        <v>97</v>
      </c>
      <c r="R589" t="str">
        <f>TEXT(Healthcare_Data[[#This Row],[Visit_Date]],"mmm")</f>
        <v>Aug</v>
      </c>
      <c r="S589">
        <f>MONTH(Healthcare_Data[[#This Row],[Visit_Date]])</f>
        <v>8</v>
      </c>
      <c r="T589" t="str">
        <f>IF(Healthcare_Data[[#This Row],[Final_Bill]]&gt;=50000,"High",IF(Healthcare_Data[[#This Row],[Final_Bill]]&gt;=20000,"Medium","low"))</f>
        <v>low</v>
      </c>
    </row>
    <row r="590" spans="1:20" x14ac:dyDescent="0.3">
      <c r="A590" t="s">
        <v>645</v>
      </c>
      <c r="B590" s="3">
        <v>45874</v>
      </c>
      <c r="C590" t="s">
        <v>54</v>
      </c>
      <c r="D590" t="s">
        <v>39</v>
      </c>
      <c r="E590" t="s">
        <v>20</v>
      </c>
      <c r="F590" t="s">
        <v>21</v>
      </c>
      <c r="G590">
        <v>30</v>
      </c>
      <c r="H590" t="s">
        <v>65</v>
      </c>
      <c r="I590" t="s">
        <v>23</v>
      </c>
      <c r="J590" t="s">
        <v>58</v>
      </c>
      <c r="K590">
        <v>0</v>
      </c>
      <c r="L590" s="4">
        <v>4222</v>
      </c>
      <c r="M590">
        <v>1500</v>
      </c>
      <c r="N590">
        <v>2722</v>
      </c>
      <c r="O590" t="s">
        <v>25</v>
      </c>
      <c r="P590">
        <v>4.9000000000000004</v>
      </c>
      <c r="Q590">
        <v>45</v>
      </c>
      <c r="R590" t="str">
        <f>TEXT(Healthcare_Data[[#This Row],[Visit_Date]],"mmm")</f>
        <v>Aug</v>
      </c>
      <c r="S590">
        <f>MONTH(Healthcare_Data[[#This Row],[Visit_Date]])</f>
        <v>8</v>
      </c>
      <c r="T590" t="str">
        <f>IF(Healthcare_Data[[#This Row],[Final_Bill]]&gt;=50000,"High",IF(Healthcare_Data[[#This Row],[Final_Bill]]&gt;=20000,"Medium","low"))</f>
        <v>low</v>
      </c>
    </row>
    <row r="591" spans="1:20" x14ac:dyDescent="0.3">
      <c r="A591" t="s">
        <v>646</v>
      </c>
      <c r="B591" s="3">
        <v>45874</v>
      </c>
      <c r="C591" t="s">
        <v>44</v>
      </c>
      <c r="D591" t="s">
        <v>19</v>
      </c>
      <c r="E591" t="s">
        <v>20</v>
      </c>
      <c r="F591" t="s">
        <v>40</v>
      </c>
      <c r="G591">
        <v>52</v>
      </c>
      <c r="H591" t="s">
        <v>22</v>
      </c>
      <c r="I591" t="s">
        <v>42</v>
      </c>
      <c r="J591" t="s">
        <v>24</v>
      </c>
      <c r="K591">
        <v>0</v>
      </c>
      <c r="L591" s="4">
        <v>6537</v>
      </c>
      <c r="M591">
        <v>0</v>
      </c>
      <c r="N591">
        <v>6537</v>
      </c>
      <c r="O591" t="s">
        <v>25</v>
      </c>
      <c r="P591">
        <v>3.4</v>
      </c>
      <c r="Q591">
        <v>14</v>
      </c>
      <c r="R591" t="str">
        <f>TEXT(Healthcare_Data[[#This Row],[Visit_Date]],"mmm")</f>
        <v>Aug</v>
      </c>
      <c r="S591">
        <f>MONTH(Healthcare_Data[[#This Row],[Visit_Date]])</f>
        <v>8</v>
      </c>
      <c r="T591" t="str">
        <f>IF(Healthcare_Data[[#This Row],[Final_Bill]]&gt;=50000,"High",IF(Healthcare_Data[[#This Row],[Final_Bill]]&gt;=20000,"Medium","low"))</f>
        <v>low</v>
      </c>
    </row>
    <row r="592" spans="1:20" x14ac:dyDescent="0.3">
      <c r="A592" t="s">
        <v>647</v>
      </c>
      <c r="B592" s="3">
        <v>45874</v>
      </c>
      <c r="C592" t="s">
        <v>48</v>
      </c>
      <c r="D592" t="s">
        <v>34</v>
      </c>
      <c r="E592" t="s">
        <v>54</v>
      </c>
      <c r="F592" t="s">
        <v>21</v>
      </c>
      <c r="G592">
        <v>27</v>
      </c>
      <c r="H592" t="s">
        <v>35</v>
      </c>
      <c r="I592" t="s">
        <v>42</v>
      </c>
      <c r="J592" t="s">
        <v>24</v>
      </c>
      <c r="K592">
        <v>0</v>
      </c>
      <c r="L592" s="4">
        <v>30671</v>
      </c>
      <c r="M592">
        <v>500</v>
      </c>
      <c r="N592">
        <v>30171</v>
      </c>
      <c r="O592" t="s">
        <v>25</v>
      </c>
      <c r="P592">
        <v>4.3</v>
      </c>
      <c r="Q592">
        <v>110</v>
      </c>
      <c r="R592" t="str">
        <f>TEXT(Healthcare_Data[[#This Row],[Visit_Date]],"mmm")</f>
        <v>Aug</v>
      </c>
      <c r="S592">
        <f>MONTH(Healthcare_Data[[#This Row],[Visit_Date]])</f>
        <v>8</v>
      </c>
      <c r="T592" t="str">
        <f>IF(Healthcare_Data[[#This Row],[Final_Bill]]&gt;=50000,"High",IF(Healthcare_Data[[#This Row],[Final_Bill]]&gt;=20000,"Medium","low"))</f>
        <v>Medium</v>
      </c>
    </row>
    <row r="593" spans="1:20" x14ac:dyDescent="0.3">
      <c r="A593" t="s">
        <v>648</v>
      </c>
      <c r="B593" s="3">
        <v>45874</v>
      </c>
      <c r="C593" t="s">
        <v>50</v>
      </c>
      <c r="D593" t="s">
        <v>19</v>
      </c>
      <c r="E593" t="s">
        <v>20</v>
      </c>
      <c r="F593" t="s">
        <v>21</v>
      </c>
      <c r="G593">
        <v>32</v>
      </c>
      <c r="H593" t="s">
        <v>65</v>
      </c>
      <c r="I593" t="s">
        <v>30</v>
      </c>
      <c r="J593" t="s">
        <v>24</v>
      </c>
      <c r="K593">
        <v>0</v>
      </c>
      <c r="L593" s="4">
        <v>7851</v>
      </c>
      <c r="M593">
        <v>500</v>
      </c>
      <c r="N593">
        <v>7351</v>
      </c>
      <c r="O593" t="s">
        <v>25</v>
      </c>
      <c r="P593">
        <v>3</v>
      </c>
      <c r="Q593">
        <v>66</v>
      </c>
      <c r="R593" t="str">
        <f>TEXT(Healthcare_Data[[#This Row],[Visit_Date]],"mmm")</f>
        <v>Aug</v>
      </c>
      <c r="S593">
        <f>MONTH(Healthcare_Data[[#This Row],[Visit_Date]])</f>
        <v>8</v>
      </c>
      <c r="T593" t="str">
        <f>IF(Healthcare_Data[[#This Row],[Final_Bill]]&gt;=50000,"High",IF(Healthcare_Data[[#This Row],[Final_Bill]]&gt;=20000,"Medium","low"))</f>
        <v>low</v>
      </c>
    </row>
    <row r="594" spans="1:20" x14ac:dyDescent="0.3">
      <c r="A594" t="s">
        <v>649</v>
      </c>
      <c r="B594" s="3">
        <v>45875</v>
      </c>
      <c r="C594" t="s">
        <v>48</v>
      </c>
      <c r="D594" t="s">
        <v>19</v>
      </c>
      <c r="E594" t="s">
        <v>54</v>
      </c>
      <c r="F594" t="s">
        <v>40</v>
      </c>
      <c r="G594">
        <v>79</v>
      </c>
      <c r="H594" t="s">
        <v>22</v>
      </c>
      <c r="I594" t="s">
        <v>30</v>
      </c>
      <c r="J594" t="s">
        <v>36</v>
      </c>
      <c r="K594">
        <v>0</v>
      </c>
      <c r="L594" s="4">
        <v>15187</v>
      </c>
      <c r="M594">
        <v>1500</v>
      </c>
      <c r="N594">
        <v>13687</v>
      </c>
      <c r="O594" t="s">
        <v>25</v>
      </c>
      <c r="P594">
        <v>5</v>
      </c>
      <c r="Q594">
        <v>110</v>
      </c>
      <c r="R594" t="str">
        <f>TEXT(Healthcare_Data[[#This Row],[Visit_Date]],"mmm")</f>
        <v>Aug</v>
      </c>
      <c r="S594">
        <f>MONTH(Healthcare_Data[[#This Row],[Visit_Date]])</f>
        <v>8</v>
      </c>
      <c r="T594" t="str">
        <f>IF(Healthcare_Data[[#This Row],[Final_Bill]]&gt;=50000,"High",IF(Healthcare_Data[[#This Row],[Final_Bill]]&gt;=20000,"Medium","low"))</f>
        <v>low</v>
      </c>
    </row>
    <row r="595" spans="1:20" x14ac:dyDescent="0.3">
      <c r="A595" t="s">
        <v>650</v>
      </c>
      <c r="B595" s="3">
        <v>45875</v>
      </c>
      <c r="C595" t="s">
        <v>54</v>
      </c>
      <c r="D595" t="s">
        <v>19</v>
      </c>
      <c r="E595" t="s">
        <v>52</v>
      </c>
      <c r="F595" t="s">
        <v>21</v>
      </c>
      <c r="G595">
        <v>62</v>
      </c>
      <c r="H595" t="s">
        <v>29</v>
      </c>
      <c r="I595" t="s">
        <v>23</v>
      </c>
      <c r="J595" t="s">
        <v>24</v>
      </c>
      <c r="K595">
        <v>11</v>
      </c>
      <c r="L595" s="4">
        <v>33157</v>
      </c>
      <c r="M595">
        <v>0</v>
      </c>
      <c r="N595">
        <v>33157</v>
      </c>
      <c r="O595" t="s">
        <v>32</v>
      </c>
      <c r="P595">
        <v>4.4000000000000004</v>
      </c>
      <c r="Q595">
        <v>20</v>
      </c>
      <c r="R595" t="str">
        <f>TEXT(Healthcare_Data[[#This Row],[Visit_Date]],"mmm")</f>
        <v>Aug</v>
      </c>
      <c r="S595">
        <f>MONTH(Healthcare_Data[[#This Row],[Visit_Date]])</f>
        <v>8</v>
      </c>
      <c r="T595" t="str">
        <f>IF(Healthcare_Data[[#This Row],[Final_Bill]]&gt;=50000,"High",IF(Healthcare_Data[[#This Row],[Final_Bill]]&gt;=20000,"Medium","low"))</f>
        <v>Medium</v>
      </c>
    </row>
    <row r="596" spans="1:20" x14ac:dyDescent="0.3">
      <c r="A596" t="s">
        <v>651</v>
      </c>
      <c r="B596" s="3">
        <v>45875</v>
      </c>
      <c r="C596" t="s">
        <v>38</v>
      </c>
      <c r="D596" t="s">
        <v>28</v>
      </c>
      <c r="E596" t="s">
        <v>54</v>
      </c>
      <c r="F596" t="s">
        <v>21</v>
      </c>
      <c r="G596">
        <v>74</v>
      </c>
      <c r="H596" t="s">
        <v>56</v>
      </c>
      <c r="I596" t="s">
        <v>72</v>
      </c>
      <c r="J596" t="s">
        <v>36</v>
      </c>
      <c r="K596">
        <v>0</v>
      </c>
      <c r="L596" s="4">
        <v>11258</v>
      </c>
      <c r="M596">
        <v>1000</v>
      </c>
      <c r="N596">
        <v>10258</v>
      </c>
      <c r="O596" t="s">
        <v>32</v>
      </c>
      <c r="P596">
        <v>4.7</v>
      </c>
      <c r="Q596">
        <v>48</v>
      </c>
      <c r="R596" t="str">
        <f>TEXT(Healthcare_Data[[#This Row],[Visit_Date]],"mmm")</f>
        <v>Aug</v>
      </c>
      <c r="S596">
        <f>MONTH(Healthcare_Data[[#This Row],[Visit_Date]])</f>
        <v>8</v>
      </c>
      <c r="T596" t="str">
        <f>IF(Healthcare_Data[[#This Row],[Final_Bill]]&gt;=50000,"High",IF(Healthcare_Data[[#This Row],[Final_Bill]]&gt;=20000,"Medium","low"))</f>
        <v>low</v>
      </c>
    </row>
    <row r="597" spans="1:20" x14ac:dyDescent="0.3">
      <c r="A597" t="s">
        <v>652</v>
      </c>
      <c r="B597" s="3">
        <v>45875</v>
      </c>
      <c r="C597" t="s">
        <v>54</v>
      </c>
      <c r="D597" t="s">
        <v>19</v>
      </c>
      <c r="E597" t="s">
        <v>20</v>
      </c>
      <c r="F597" t="s">
        <v>40</v>
      </c>
      <c r="G597">
        <v>57</v>
      </c>
      <c r="H597" t="s">
        <v>115</v>
      </c>
      <c r="I597" t="s">
        <v>1057</v>
      </c>
      <c r="J597" t="s">
        <v>24</v>
      </c>
      <c r="K597">
        <v>0</v>
      </c>
      <c r="L597" s="4">
        <v>4907</v>
      </c>
      <c r="M597">
        <v>0</v>
      </c>
      <c r="N597">
        <v>4907</v>
      </c>
      <c r="O597" t="s">
        <v>25</v>
      </c>
      <c r="P597">
        <v>4.5</v>
      </c>
      <c r="Q597">
        <v>71</v>
      </c>
      <c r="R597" t="str">
        <f>TEXT(Healthcare_Data[[#This Row],[Visit_Date]],"mmm")</f>
        <v>Aug</v>
      </c>
      <c r="S597">
        <f>MONTH(Healthcare_Data[[#This Row],[Visit_Date]])</f>
        <v>8</v>
      </c>
      <c r="T597" t="str">
        <f>IF(Healthcare_Data[[#This Row],[Final_Bill]]&gt;=50000,"High",IF(Healthcare_Data[[#This Row],[Final_Bill]]&gt;=20000,"Medium","low"))</f>
        <v>low</v>
      </c>
    </row>
    <row r="598" spans="1:20" x14ac:dyDescent="0.3">
      <c r="A598" t="s">
        <v>653</v>
      </c>
      <c r="B598" s="3">
        <v>45875</v>
      </c>
      <c r="C598" t="s">
        <v>27</v>
      </c>
      <c r="D598" t="s">
        <v>34</v>
      </c>
      <c r="E598" t="s">
        <v>20</v>
      </c>
      <c r="F598" t="s">
        <v>21</v>
      </c>
      <c r="G598">
        <v>76</v>
      </c>
      <c r="H598" t="s">
        <v>41</v>
      </c>
      <c r="I598" t="s">
        <v>42</v>
      </c>
      <c r="J598" t="s">
        <v>58</v>
      </c>
      <c r="K598">
        <v>0</v>
      </c>
      <c r="L598" s="4">
        <v>16750</v>
      </c>
      <c r="M598">
        <v>0</v>
      </c>
      <c r="N598">
        <v>16750</v>
      </c>
      <c r="O598" t="s">
        <v>59</v>
      </c>
      <c r="P598">
        <v>4.3</v>
      </c>
      <c r="Q598">
        <v>19</v>
      </c>
      <c r="R598" t="str">
        <f>TEXT(Healthcare_Data[[#This Row],[Visit_Date]],"mmm")</f>
        <v>Aug</v>
      </c>
      <c r="S598">
        <f>MONTH(Healthcare_Data[[#This Row],[Visit_Date]])</f>
        <v>8</v>
      </c>
      <c r="T598" t="str">
        <f>IF(Healthcare_Data[[#This Row],[Final_Bill]]&gt;=50000,"High",IF(Healthcare_Data[[#This Row],[Final_Bill]]&gt;=20000,"Medium","low"))</f>
        <v>low</v>
      </c>
    </row>
    <row r="599" spans="1:20" x14ac:dyDescent="0.3">
      <c r="A599" t="s">
        <v>654</v>
      </c>
      <c r="B599" s="3">
        <v>45877</v>
      </c>
      <c r="C599" t="s">
        <v>54</v>
      </c>
      <c r="D599" t="s">
        <v>34</v>
      </c>
      <c r="E599" t="s">
        <v>20</v>
      </c>
      <c r="F599" t="s">
        <v>40</v>
      </c>
      <c r="G599">
        <v>25</v>
      </c>
      <c r="H599" t="s">
        <v>22</v>
      </c>
      <c r="I599" t="s">
        <v>61</v>
      </c>
      <c r="J599" t="s">
        <v>36</v>
      </c>
      <c r="K599">
        <v>0</v>
      </c>
      <c r="L599" s="4">
        <v>14910</v>
      </c>
      <c r="M599">
        <v>1000</v>
      </c>
      <c r="N599">
        <v>13910</v>
      </c>
      <c r="O599" t="s">
        <v>32</v>
      </c>
      <c r="P599">
        <v>3.5</v>
      </c>
      <c r="Q599">
        <v>71</v>
      </c>
      <c r="R599" t="str">
        <f>TEXT(Healthcare_Data[[#This Row],[Visit_Date]],"mmm")</f>
        <v>Aug</v>
      </c>
      <c r="S599">
        <f>MONTH(Healthcare_Data[[#This Row],[Visit_Date]])</f>
        <v>8</v>
      </c>
      <c r="T599" t="str">
        <f>IF(Healthcare_Data[[#This Row],[Final_Bill]]&gt;=50000,"High",IF(Healthcare_Data[[#This Row],[Final_Bill]]&gt;=20000,"Medium","low"))</f>
        <v>low</v>
      </c>
    </row>
    <row r="600" spans="1:20" x14ac:dyDescent="0.3">
      <c r="A600" t="s">
        <v>655</v>
      </c>
      <c r="B600" s="3">
        <v>45877</v>
      </c>
      <c r="C600" t="s">
        <v>48</v>
      </c>
      <c r="D600" t="s">
        <v>28</v>
      </c>
      <c r="E600" t="s">
        <v>54</v>
      </c>
      <c r="F600" t="s">
        <v>40</v>
      </c>
      <c r="G600">
        <v>30</v>
      </c>
      <c r="H600" t="s">
        <v>46</v>
      </c>
      <c r="I600" t="s">
        <v>42</v>
      </c>
      <c r="J600" t="s">
        <v>36</v>
      </c>
      <c r="K600">
        <v>0</v>
      </c>
      <c r="L600" s="4">
        <v>33675</v>
      </c>
      <c r="M600">
        <v>2000</v>
      </c>
      <c r="N600">
        <v>31675</v>
      </c>
      <c r="O600" t="s">
        <v>25</v>
      </c>
      <c r="P600">
        <v>2.7</v>
      </c>
      <c r="Q600">
        <v>65</v>
      </c>
      <c r="R600" t="str">
        <f>TEXT(Healthcare_Data[[#This Row],[Visit_Date]],"mmm")</f>
        <v>Aug</v>
      </c>
      <c r="S600">
        <f>MONTH(Healthcare_Data[[#This Row],[Visit_Date]])</f>
        <v>8</v>
      </c>
      <c r="T600" t="str">
        <f>IF(Healthcare_Data[[#This Row],[Final_Bill]]&gt;=50000,"High",IF(Healthcare_Data[[#This Row],[Final_Bill]]&gt;=20000,"Medium","low"))</f>
        <v>Medium</v>
      </c>
    </row>
    <row r="601" spans="1:20" x14ac:dyDescent="0.3">
      <c r="A601" t="s">
        <v>656</v>
      </c>
      <c r="B601" s="3">
        <v>45877</v>
      </c>
      <c r="C601" t="s">
        <v>50</v>
      </c>
      <c r="D601" t="s">
        <v>28</v>
      </c>
      <c r="E601" t="s">
        <v>52</v>
      </c>
      <c r="F601" t="s">
        <v>40</v>
      </c>
      <c r="G601">
        <v>69</v>
      </c>
      <c r="H601" t="s">
        <v>46</v>
      </c>
      <c r="I601" t="s">
        <v>72</v>
      </c>
      <c r="J601" t="s">
        <v>31</v>
      </c>
      <c r="K601">
        <v>8</v>
      </c>
      <c r="L601" s="4">
        <v>57678</v>
      </c>
      <c r="M601">
        <v>500</v>
      </c>
      <c r="N601">
        <v>57178</v>
      </c>
      <c r="O601" t="s">
        <v>25</v>
      </c>
      <c r="P601">
        <v>3.4</v>
      </c>
      <c r="Q601">
        <v>22</v>
      </c>
      <c r="R601" t="str">
        <f>TEXT(Healthcare_Data[[#This Row],[Visit_Date]],"mmm")</f>
        <v>Aug</v>
      </c>
      <c r="S601">
        <f>MONTH(Healthcare_Data[[#This Row],[Visit_Date]])</f>
        <v>8</v>
      </c>
      <c r="T601" t="str">
        <f>IF(Healthcare_Data[[#This Row],[Final_Bill]]&gt;=50000,"High",IF(Healthcare_Data[[#This Row],[Final_Bill]]&gt;=20000,"Medium","low"))</f>
        <v>High</v>
      </c>
    </row>
    <row r="602" spans="1:20" x14ac:dyDescent="0.3">
      <c r="A602" t="s">
        <v>657</v>
      </c>
      <c r="B602" s="3">
        <v>45877</v>
      </c>
      <c r="C602" t="s">
        <v>44</v>
      </c>
      <c r="D602" t="s">
        <v>28</v>
      </c>
      <c r="E602" t="s">
        <v>20</v>
      </c>
      <c r="F602" t="s">
        <v>40</v>
      </c>
      <c r="G602">
        <v>80</v>
      </c>
      <c r="H602" t="s">
        <v>46</v>
      </c>
      <c r="I602" t="s">
        <v>63</v>
      </c>
      <c r="J602" t="s">
        <v>31</v>
      </c>
      <c r="K602">
        <v>0</v>
      </c>
      <c r="L602" s="4">
        <v>5762</v>
      </c>
      <c r="M602">
        <v>500</v>
      </c>
      <c r="N602">
        <v>5262</v>
      </c>
      <c r="O602" t="s">
        <v>25</v>
      </c>
      <c r="P602">
        <v>3.1</v>
      </c>
      <c r="Q602">
        <v>81</v>
      </c>
      <c r="R602" t="str">
        <f>TEXT(Healthcare_Data[[#This Row],[Visit_Date]],"mmm")</f>
        <v>Aug</v>
      </c>
      <c r="S602">
        <f>MONTH(Healthcare_Data[[#This Row],[Visit_Date]])</f>
        <v>8</v>
      </c>
      <c r="T602" t="str">
        <f>IF(Healthcare_Data[[#This Row],[Final_Bill]]&gt;=50000,"High",IF(Healthcare_Data[[#This Row],[Final_Bill]]&gt;=20000,"Medium","low"))</f>
        <v>low</v>
      </c>
    </row>
    <row r="603" spans="1:20" x14ac:dyDescent="0.3">
      <c r="A603" t="s">
        <v>658</v>
      </c>
      <c r="B603" s="3">
        <v>45877</v>
      </c>
      <c r="C603" t="s">
        <v>44</v>
      </c>
      <c r="D603" t="s">
        <v>34</v>
      </c>
      <c r="E603" t="s">
        <v>20</v>
      </c>
      <c r="F603" t="s">
        <v>40</v>
      </c>
      <c r="G603">
        <v>33</v>
      </c>
      <c r="H603" t="s">
        <v>56</v>
      </c>
      <c r="I603" t="s">
        <v>42</v>
      </c>
      <c r="J603" t="s">
        <v>36</v>
      </c>
      <c r="K603">
        <v>0</v>
      </c>
      <c r="L603" s="4">
        <v>9123</v>
      </c>
      <c r="M603">
        <v>0</v>
      </c>
      <c r="N603">
        <v>9123</v>
      </c>
      <c r="O603" t="s">
        <v>25</v>
      </c>
      <c r="P603">
        <v>4.5</v>
      </c>
      <c r="Q603">
        <v>76</v>
      </c>
      <c r="R603" t="str">
        <f>TEXT(Healthcare_Data[[#This Row],[Visit_Date]],"mmm")</f>
        <v>Aug</v>
      </c>
      <c r="S603">
        <f>MONTH(Healthcare_Data[[#This Row],[Visit_Date]])</f>
        <v>8</v>
      </c>
      <c r="T603" t="str">
        <f>IF(Healthcare_Data[[#This Row],[Final_Bill]]&gt;=50000,"High",IF(Healthcare_Data[[#This Row],[Final_Bill]]&gt;=20000,"Medium","low"))</f>
        <v>low</v>
      </c>
    </row>
    <row r="604" spans="1:20" x14ac:dyDescent="0.3">
      <c r="A604" t="s">
        <v>659</v>
      </c>
      <c r="B604" s="3">
        <v>45877</v>
      </c>
      <c r="C604" t="s">
        <v>18</v>
      </c>
      <c r="D604" t="s">
        <v>19</v>
      </c>
      <c r="E604" t="s">
        <v>20</v>
      </c>
      <c r="F604" t="s">
        <v>40</v>
      </c>
      <c r="G604">
        <v>64</v>
      </c>
      <c r="H604" t="s">
        <v>22</v>
      </c>
      <c r="I604" t="s">
        <v>30</v>
      </c>
      <c r="J604" t="s">
        <v>24</v>
      </c>
      <c r="K604">
        <v>0</v>
      </c>
      <c r="L604" s="4">
        <v>10205</v>
      </c>
      <c r="M604">
        <v>0</v>
      </c>
      <c r="N604">
        <v>10205</v>
      </c>
      <c r="O604" t="s">
        <v>25</v>
      </c>
      <c r="P604">
        <v>4.4000000000000004</v>
      </c>
      <c r="Q604">
        <v>42</v>
      </c>
      <c r="R604" t="str">
        <f>TEXT(Healthcare_Data[[#This Row],[Visit_Date]],"mmm")</f>
        <v>Aug</v>
      </c>
      <c r="S604">
        <f>MONTH(Healthcare_Data[[#This Row],[Visit_Date]])</f>
        <v>8</v>
      </c>
      <c r="T604" t="str">
        <f>IF(Healthcare_Data[[#This Row],[Final_Bill]]&gt;=50000,"High",IF(Healthcare_Data[[#This Row],[Final_Bill]]&gt;=20000,"Medium","low"))</f>
        <v>low</v>
      </c>
    </row>
    <row r="605" spans="1:20" x14ac:dyDescent="0.3">
      <c r="A605" t="s">
        <v>660</v>
      </c>
      <c r="B605" s="3">
        <v>45877</v>
      </c>
      <c r="C605" t="s">
        <v>67</v>
      </c>
      <c r="D605" t="s">
        <v>28</v>
      </c>
      <c r="E605" t="s">
        <v>20</v>
      </c>
      <c r="F605" t="s">
        <v>21</v>
      </c>
      <c r="G605">
        <v>42</v>
      </c>
      <c r="H605" t="s">
        <v>41</v>
      </c>
      <c r="I605" t="s">
        <v>63</v>
      </c>
      <c r="J605" t="s">
        <v>24</v>
      </c>
      <c r="K605">
        <v>0</v>
      </c>
      <c r="L605" s="4">
        <v>10244</v>
      </c>
      <c r="M605">
        <v>0</v>
      </c>
      <c r="N605">
        <v>10244</v>
      </c>
      <c r="O605" t="s">
        <v>25</v>
      </c>
      <c r="P605">
        <v>2.6</v>
      </c>
      <c r="Q605">
        <v>50</v>
      </c>
      <c r="R605" t="str">
        <f>TEXT(Healthcare_Data[[#This Row],[Visit_Date]],"mmm")</f>
        <v>Aug</v>
      </c>
      <c r="S605">
        <f>MONTH(Healthcare_Data[[#This Row],[Visit_Date]])</f>
        <v>8</v>
      </c>
      <c r="T605" t="str">
        <f>IF(Healthcare_Data[[#This Row],[Final_Bill]]&gt;=50000,"High",IF(Healthcare_Data[[#This Row],[Final_Bill]]&gt;=20000,"Medium","low"))</f>
        <v>low</v>
      </c>
    </row>
    <row r="606" spans="1:20" x14ac:dyDescent="0.3">
      <c r="A606" t="s">
        <v>661</v>
      </c>
      <c r="B606" s="3">
        <v>45878</v>
      </c>
      <c r="C606" t="s">
        <v>54</v>
      </c>
      <c r="D606" t="s">
        <v>28</v>
      </c>
      <c r="E606" t="s">
        <v>20</v>
      </c>
      <c r="F606" t="s">
        <v>40</v>
      </c>
      <c r="G606">
        <v>29</v>
      </c>
      <c r="H606" t="s">
        <v>115</v>
      </c>
      <c r="I606" t="s">
        <v>69</v>
      </c>
      <c r="J606" t="s">
        <v>31</v>
      </c>
      <c r="K606">
        <v>0</v>
      </c>
      <c r="L606" s="4">
        <v>3536</v>
      </c>
      <c r="M606">
        <v>0</v>
      </c>
      <c r="N606">
        <v>3536</v>
      </c>
      <c r="O606" t="s">
        <v>25</v>
      </c>
      <c r="P606">
        <v>3.4</v>
      </c>
      <c r="Q606">
        <v>51</v>
      </c>
      <c r="R606" t="str">
        <f>TEXT(Healthcare_Data[[#This Row],[Visit_Date]],"mmm")</f>
        <v>Aug</v>
      </c>
      <c r="S606">
        <f>MONTH(Healthcare_Data[[#This Row],[Visit_Date]])</f>
        <v>8</v>
      </c>
      <c r="T606" t="str">
        <f>IF(Healthcare_Data[[#This Row],[Final_Bill]]&gt;=50000,"High",IF(Healthcare_Data[[#This Row],[Final_Bill]]&gt;=20000,"Medium","low"))</f>
        <v>low</v>
      </c>
    </row>
    <row r="607" spans="1:20" x14ac:dyDescent="0.3">
      <c r="A607" t="s">
        <v>662</v>
      </c>
      <c r="B607" s="3">
        <v>45879</v>
      </c>
      <c r="C607" t="s">
        <v>27</v>
      </c>
      <c r="D607" t="s">
        <v>51</v>
      </c>
      <c r="E607" t="s">
        <v>54</v>
      </c>
      <c r="F607" t="s">
        <v>40</v>
      </c>
      <c r="G607">
        <v>52</v>
      </c>
      <c r="H607" t="s">
        <v>115</v>
      </c>
      <c r="I607" t="s">
        <v>30</v>
      </c>
      <c r="J607" t="s">
        <v>36</v>
      </c>
      <c r="K607">
        <v>0</v>
      </c>
      <c r="L607" s="4">
        <v>23343</v>
      </c>
      <c r="M607">
        <v>0</v>
      </c>
      <c r="N607">
        <v>23343</v>
      </c>
      <c r="O607" t="s">
        <v>25</v>
      </c>
      <c r="P607">
        <v>2.7</v>
      </c>
      <c r="Q607">
        <v>58</v>
      </c>
      <c r="R607" t="str">
        <f>TEXT(Healthcare_Data[[#This Row],[Visit_Date]],"mmm")</f>
        <v>Aug</v>
      </c>
      <c r="S607">
        <f>MONTH(Healthcare_Data[[#This Row],[Visit_Date]])</f>
        <v>8</v>
      </c>
      <c r="T607" t="str">
        <f>IF(Healthcare_Data[[#This Row],[Final_Bill]]&gt;=50000,"High",IF(Healthcare_Data[[#This Row],[Final_Bill]]&gt;=20000,"Medium","low"))</f>
        <v>Medium</v>
      </c>
    </row>
    <row r="608" spans="1:20" x14ac:dyDescent="0.3">
      <c r="A608" t="s">
        <v>663</v>
      </c>
      <c r="B608" s="3">
        <v>45879</v>
      </c>
      <c r="C608" t="s">
        <v>44</v>
      </c>
      <c r="D608" t="s">
        <v>51</v>
      </c>
      <c r="E608" t="s">
        <v>20</v>
      </c>
      <c r="F608" t="s">
        <v>21</v>
      </c>
      <c r="G608">
        <v>57</v>
      </c>
      <c r="H608" t="s">
        <v>29</v>
      </c>
      <c r="I608" t="s">
        <v>42</v>
      </c>
      <c r="J608" t="s">
        <v>36</v>
      </c>
      <c r="K608">
        <v>0</v>
      </c>
      <c r="L608" s="4">
        <v>8369</v>
      </c>
      <c r="M608">
        <v>2000</v>
      </c>
      <c r="N608">
        <v>6369</v>
      </c>
      <c r="O608" t="s">
        <v>25</v>
      </c>
      <c r="P608">
        <v>2.9</v>
      </c>
      <c r="Q608">
        <v>29</v>
      </c>
      <c r="R608" t="str">
        <f>TEXT(Healthcare_Data[[#This Row],[Visit_Date]],"mmm")</f>
        <v>Aug</v>
      </c>
      <c r="S608">
        <f>MONTH(Healthcare_Data[[#This Row],[Visit_Date]])</f>
        <v>8</v>
      </c>
      <c r="T608" t="str">
        <f>IF(Healthcare_Data[[#This Row],[Final_Bill]]&gt;=50000,"High",IF(Healthcare_Data[[#This Row],[Final_Bill]]&gt;=20000,"Medium","low"))</f>
        <v>low</v>
      </c>
    </row>
    <row r="609" spans="1:20" x14ac:dyDescent="0.3">
      <c r="A609" t="s">
        <v>664</v>
      </c>
      <c r="B609" s="3">
        <v>45879</v>
      </c>
      <c r="C609" t="s">
        <v>18</v>
      </c>
      <c r="D609" t="s">
        <v>19</v>
      </c>
      <c r="E609" t="s">
        <v>54</v>
      </c>
      <c r="F609" t="s">
        <v>21</v>
      </c>
      <c r="G609">
        <v>34</v>
      </c>
      <c r="H609" t="s">
        <v>35</v>
      </c>
      <c r="I609" t="s">
        <v>42</v>
      </c>
      <c r="J609" t="s">
        <v>31</v>
      </c>
      <c r="K609">
        <v>0</v>
      </c>
      <c r="L609" s="4">
        <v>20663</v>
      </c>
      <c r="M609">
        <v>1000</v>
      </c>
      <c r="N609">
        <v>19663</v>
      </c>
      <c r="O609" t="s">
        <v>25</v>
      </c>
      <c r="P609">
        <v>3.3</v>
      </c>
      <c r="Q609">
        <v>25</v>
      </c>
      <c r="R609" t="str">
        <f>TEXT(Healthcare_Data[[#This Row],[Visit_Date]],"mmm")</f>
        <v>Aug</v>
      </c>
      <c r="S609">
        <f>MONTH(Healthcare_Data[[#This Row],[Visit_Date]])</f>
        <v>8</v>
      </c>
      <c r="T609" t="str">
        <f>IF(Healthcare_Data[[#This Row],[Final_Bill]]&gt;=50000,"High",IF(Healthcare_Data[[#This Row],[Final_Bill]]&gt;=20000,"Medium","low"))</f>
        <v>low</v>
      </c>
    </row>
    <row r="610" spans="1:20" x14ac:dyDescent="0.3">
      <c r="A610" t="s">
        <v>665</v>
      </c>
      <c r="B610" s="3">
        <v>45880</v>
      </c>
      <c r="C610" t="s">
        <v>48</v>
      </c>
      <c r="D610" t="s">
        <v>34</v>
      </c>
      <c r="E610" t="s">
        <v>20</v>
      </c>
      <c r="F610" t="s">
        <v>21</v>
      </c>
      <c r="G610">
        <v>70</v>
      </c>
      <c r="H610" t="s">
        <v>22</v>
      </c>
      <c r="I610" t="s">
        <v>57</v>
      </c>
      <c r="J610" t="s">
        <v>31</v>
      </c>
      <c r="K610">
        <v>0</v>
      </c>
      <c r="L610" s="4">
        <v>9144</v>
      </c>
      <c r="M610">
        <v>0</v>
      </c>
      <c r="N610">
        <v>9144</v>
      </c>
      <c r="O610" t="s">
        <v>25</v>
      </c>
      <c r="P610">
        <v>4.7</v>
      </c>
      <c r="Q610">
        <v>68</v>
      </c>
      <c r="R610" t="str">
        <f>TEXT(Healthcare_Data[[#This Row],[Visit_Date]],"mmm")</f>
        <v>Aug</v>
      </c>
      <c r="S610">
        <f>MONTH(Healthcare_Data[[#This Row],[Visit_Date]])</f>
        <v>8</v>
      </c>
      <c r="T610" t="str">
        <f>IF(Healthcare_Data[[#This Row],[Final_Bill]]&gt;=50000,"High",IF(Healthcare_Data[[#This Row],[Final_Bill]]&gt;=20000,"Medium","low"))</f>
        <v>low</v>
      </c>
    </row>
    <row r="611" spans="1:20" x14ac:dyDescent="0.3">
      <c r="A611" t="s">
        <v>666</v>
      </c>
      <c r="B611" s="3">
        <v>45880</v>
      </c>
      <c r="C611" t="s">
        <v>67</v>
      </c>
      <c r="D611" t="s">
        <v>39</v>
      </c>
      <c r="E611" t="s">
        <v>54</v>
      </c>
      <c r="F611" t="s">
        <v>21</v>
      </c>
      <c r="G611">
        <v>25</v>
      </c>
      <c r="H611" t="s">
        <v>29</v>
      </c>
      <c r="I611" t="s">
        <v>23</v>
      </c>
      <c r="J611" t="s">
        <v>24</v>
      </c>
      <c r="K611">
        <v>0</v>
      </c>
      <c r="L611" s="4">
        <v>27551</v>
      </c>
      <c r="M611">
        <v>0</v>
      </c>
      <c r="N611">
        <v>27551</v>
      </c>
      <c r="O611" t="s">
        <v>25</v>
      </c>
      <c r="P611">
        <v>4.8</v>
      </c>
      <c r="Q611">
        <v>100</v>
      </c>
      <c r="R611" t="str">
        <f>TEXT(Healthcare_Data[[#This Row],[Visit_Date]],"mmm")</f>
        <v>Aug</v>
      </c>
      <c r="S611">
        <f>MONTH(Healthcare_Data[[#This Row],[Visit_Date]])</f>
        <v>8</v>
      </c>
      <c r="T611" t="str">
        <f>IF(Healthcare_Data[[#This Row],[Final_Bill]]&gt;=50000,"High",IF(Healthcare_Data[[#This Row],[Final_Bill]]&gt;=20000,"Medium","low"))</f>
        <v>Medium</v>
      </c>
    </row>
    <row r="612" spans="1:20" x14ac:dyDescent="0.3">
      <c r="A612" t="s">
        <v>667</v>
      </c>
      <c r="B612" s="3">
        <v>45880</v>
      </c>
      <c r="C612" t="s">
        <v>38</v>
      </c>
      <c r="D612" t="s">
        <v>28</v>
      </c>
      <c r="E612" t="s">
        <v>54</v>
      </c>
      <c r="F612" t="s">
        <v>40</v>
      </c>
      <c r="G612">
        <v>25</v>
      </c>
      <c r="H612" t="s">
        <v>56</v>
      </c>
      <c r="I612" t="s">
        <v>69</v>
      </c>
      <c r="J612" t="s">
        <v>31</v>
      </c>
      <c r="K612">
        <v>0</v>
      </c>
      <c r="L612" s="4">
        <v>44656</v>
      </c>
      <c r="M612">
        <v>2000</v>
      </c>
      <c r="N612">
        <v>42656</v>
      </c>
      <c r="O612" t="s">
        <v>25</v>
      </c>
      <c r="P612">
        <v>2.7</v>
      </c>
      <c r="Q612">
        <v>24</v>
      </c>
      <c r="R612" t="str">
        <f>TEXT(Healthcare_Data[[#This Row],[Visit_Date]],"mmm")</f>
        <v>Aug</v>
      </c>
      <c r="S612">
        <f>MONTH(Healthcare_Data[[#This Row],[Visit_Date]])</f>
        <v>8</v>
      </c>
      <c r="T612" t="str">
        <f>IF(Healthcare_Data[[#This Row],[Final_Bill]]&gt;=50000,"High",IF(Healthcare_Data[[#This Row],[Final_Bill]]&gt;=20000,"Medium","low"))</f>
        <v>Medium</v>
      </c>
    </row>
    <row r="613" spans="1:20" x14ac:dyDescent="0.3">
      <c r="A613" t="s">
        <v>668</v>
      </c>
      <c r="B613" s="3">
        <v>45880</v>
      </c>
      <c r="C613" t="s">
        <v>38</v>
      </c>
      <c r="D613" t="s">
        <v>19</v>
      </c>
      <c r="E613" t="s">
        <v>20</v>
      </c>
      <c r="F613" t="s">
        <v>40</v>
      </c>
      <c r="G613">
        <v>68</v>
      </c>
      <c r="H613" t="s">
        <v>46</v>
      </c>
      <c r="I613" t="s">
        <v>63</v>
      </c>
      <c r="J613" t="s">
        <v>36</v>
      </c>
      <c r="K613">
        <v>0</v>
      </c>
      <c r="L613" s="4">
        <v>9371</v>
      </c>
      <c r="M613">
        <v>2000</v>
      </c>
      <c r="N613">
        <v>7371</v>
      </c>
      <c r="O613" t="s">
        <v>25</v>
      </c>
      <c r="P613">
        <v>4.2</v>
      </c>
      <c r="Q613">
        <v>77</v>
      </c>
      <c r="R613" t="str">
        <f>TEXT(Healthcare_Data[[#This Row],[Visit_Date]],"mmm")</f>
        <v>Aug</v>
      </c>
      <c r="S613">
        <f>MONTH(Healthcare_Data[[#This Row],[Visit_Date]])</f>
        <v>8</v>
      </c>
      <c r="T613" t="str">
        <f>IF(Healthcare_Data[[#This Row],[Final_Bill]]&gt;=50000,"High",IF(Healthcare_Data[[#This Row],[Final_Bill]]&gt;=20000,"Medium","low"))</f>
        <v>low</v>
      </c>
    </row>
    <row r="614" spans="1:20" x14ac:dyDescent="0.3">
      <c r="A614" t="s">
        <v>669</v>
      </c>
      <c r="B614" s="3">
        <v>45880</v>
      </c>
      <c r="C614" t="s">
        <v>48</v>
      </c>
      <c r="D614" t="s">
        <v>51</v>
      </c>
      <c r="E614" t="s">
        <v>54</v>
      </c>
      <c r="F614" t="s">
        <v>21</v>
      </c>
      <c r="G614">
        <v>66</v>
      </c>
      <c r="H614" t="s">
        <v>56</v>
      </c>
      <c r="I614" t="s">
        <v>61</v>
      </c>
      <c r="J614" t="s">
        <v>24</v>
      </c>
      <c r="K614">
        <v>0</v>
      </c>
      <c r="L614" s="4">
        <v>27093</v>
      </c>
      <c r="M614">
        <v>500</v>
      </c>
      <c r="N614">
        <v>26593</v>
      </c>
      <c r="O614" t="s">
        <v>32</v>
      </c>
      <c r="P614">
        <v>2.5</v>
      </c>
      <c r="Q614">
        <v>64</v>
      </c>
      <c r="R614" t="str">
        <f>TEXT(Healthcare_Data[[#This Row],[Visit_Date]],"mmm")</f>
        <v>Aug</v>
      </c>
      <c r="S614">
        <f>MONTH(Healthcare_Data[[#This Row],[Visit_Date]])</f>
        <v>8</v>
      </c>
      <c r="T614" t="str">
        <f>IF(Healthcare_Data[[#This Row],[Final_Bill]]&gt;=50000,"High",IF(Healthcare_Data[[#This Row],[Final_Bill]]&gt;=20000,"Medium","low"))</f>
        <v>Medium</v>
      </c>
    </row>
    <row r="615" spans="1:20" x14ac:dyDescent="0.3">
      <c r="A615" t="s">
        <v>670</v>
      </c>
      <c r="B615" s="3">
        <v>45881</v>
      </c>
      <c r="C615" t="s">
        <v>44</v>
      </c>
      <c r="D615" t="s">
        <v>28</v>
      </c>
      <c r="E615" t="s">
        <v>52</v>
      </c>
      <c r="F615" t="s">
        <v>40</v>
      </c>
      <c r="G615">
        <v>67</v>
      </c>
      <c r="H615" t="s">
        <v>46</v>
      </c>
      <c r="I615" t="s">
        <v>23</v>
      </c>
      <c r="J615" t="s">
        <v>24</v>
      </c>
      <c r="K615">
        <v>12</v>
      </c>
      <c r="L615" s="4">
        <v>54894</v>
      </c>
      <c r="M615">
        <v>1000</v>
      </c>
      <c r="N615">
        <v>53894</v>
      </c>
      <c r="O615" t="s">
        <v>25</v>
      </c>
      <c r="P615">
        <v>3.3</v>
      </c>
      <c r="Q615">
        <v>16</v>
      </c>
      <c r="R615" t="str">
        <f>TEXT(Healthcare_Data[[#This Row],[Visit_Date]],"mmm")</f>
        <v>Aug</v>
      </c>
      <c r="S615">
        <f>MONTH(Healthcare_Data[[#This Row],[Visit_Date]])</f>
        <v>8</v>
      </c>
      <c r="T615" t="str">
        <f>IF(Healthcare_Data[[#This Row],[Final_Bill]]&gt;=50000,"High",IF(Healthcare_Data[[#This Row],[Final_Bill]]&gt;=20000,"Medium","low"))</f>
        <v>High</v>
      </c>
    </row>
    <row r="616" spans="1:20" x14ac:dyDescent="0.3">
      <c r="A616" t="s">
        <v>671</v>
      </c>
      <c r="B616" s="3">
        <v>45881</v>
      </c>
      <c r="C616" t="s">
        <v>44</v>
      </c>
      <c r="D616" t="s">
        <v>19</v>
      </c>
      <c r="E616" t="s">
        <v>20</v>
      </c>
      <c r="F616" t="s">
        <v>40</v>
      </c>
      <c r="G616">
        <v>45</v>
      </c>
      <c r="H616" t="s">
        <v>22</v>
      </c>
      <c r="I616" t="s">
        <v>23</v>
      </c>
      <c r="J616" t="s">
        <v>58</v>
      </c>
      <c r="K616">
        <v>0</v>
      </c>
      <c r="L616" s="4">
        <v>10094</v>
      </c>
      <c r="M616">
        <v>1000</v>
      </c>
      <c r="N616">
        <v>9094</v>
      </c>
      <c r="O616" t="s">
        <v>25</v>
      </c>
      <c r="P616">
        <v>3.7</v>
      </c>
      <c r="Q616">
        <v>108</v>
      </c>
      <c r="R616" t="str">
        <f>TEXT(Healthcare_Data[[#This Row],[Visit_Date]],"mmm")</f>
        <v>Aug</v>
      </c>
      <c r="S616">
        <f>MONTH(Healthcare_Data[[#This Row],[Visit_Date]])</f>
        <v>8</v>
      </c>
      <c r="T616" t="str">
        <f>IF(Healthcare_Data[[#This Row],[Final_Bill]]&gt;=50000,"High",IF(Healthcare_Data[[#This Row],[Final_Bill]]&gt;=20000,"Medium","low"))</f>
        <v>low</v>
      </c>
    </row>
    <row r="617" spans="1:20" x14ac:dyDescent="0.3">
      <c r="A617" t="s">
        <v>672</v>
      </c>
      <c r="B617" s="3">
        <v>45881</v>
      </c>
      <c r="C617" t="s">
        <v>38</v>
      </c>
      <c r="D617" t="s">
        <v>51</v>
      </c>
      <c r="E617" t="s">
        <v>20</v>
      </c>
      <c r="F617" t="s">
        <v>21</v>
      </c>
      <c r="G617">
        <v>40</v>
      </c>
      <c r="H617" t="s">
        <v>22</v>
      </c>
      <c r="I617" t="s">
        <v>57</v>
      </c>
      <c r="J617" t="s">
        <v>36</v>
      </c>
      <c r="K617">
        <v>0</v>
      </c>
      <c r="L617" s="4">
        <v>7414</v>
      </c>
      <c r="M617">
        <v>1000</v>
      </c>
      <c r="N617">
        <v>6414</v>
      </c>
      <c r="O617" t="s">
        <v>25</v>
      </c>
      <c r="P617">
        <v>4.3</v>
      </c>
      <c r="Q617">
        <v>12</v>
      </c>
      <c r="R617" t="str">
        <f>TEXT(Healthcare_Data[[#This Row],[Visit_Date]],"mmm")</f>
        <v>Aug</v>
      </c>
      <c r="S617">
        <f>MONTH(Healthcare_Data[[#This Row],[Visit_Date]])</f>
        <v>8</v>
      </c>
      <c r="T617" t="str">
        <f>IF(Healthcare_Data[[#This Row],[Final_Bill]]&gt;=50000,"High",IF(Healthcare_Data[[#This Row],[Final_Bill]]&gt;=20000,"Medium","low"))</f>
        <v>low</v>
      </c>
    </row>
    <row r="618" spans="1:20" x14ac:dyDescent="0.3">
      <c r="A618" t="s">
        <v>673</v>
      </c>
      <c r="B618" s="3">
        <v>45881</v>
      </c>
      <c r="C618" t="s">
        <v>44</v>
      </c>
      <c r="D618" t="s">
        <v>19</v>
      </c>
      <c r="E618" t="s">
        <v>52</v>
      </c>
      <c r="F618" t="s">
        <v>21</v>
      </c>
      <c r="G618">
        <v>64</v>
      </c>
      <c r="H618" t="s">
        <v>65</v>
      </c>
      <c r="I618" t="s">
        <v>61</v>
      </c>
      <c r="J618" t="s">
        <v>24</v>
      </c>
      <c r="K618">
        <v>10</v>
      </c>
      <c r="L618" s="4">
        <v>39134</v>
      </c>
      <c r="M618">
        <v>1000</v>
      </c>
      <c r="N618">
        <v>38134</v>
      </c>
      <c r="O618" t="s">
        <v>25</v>
      </c>
      <c r="P618">
        <v>4.5</v>
      </c>
      <c r="Q618">
        <v>100</v>
      </c>
      <c r="R618" t="str">
        <f>TEXT(Healthcare_Data[[#This Row],[Visit_Date]],"mmm")</f>
        <v>Aug</v>
      </c>
      <c r="S618">
        <f>MONTH(Healthcare_Data[[#This Row],[Visit_Date]])</f>
        <v>8</v>
      </c>
      <c r="T618" t="str">
        <f>IF(Healthcare_Data[[#This Row],[Final_Bill]]&gt;=50000,"High",IF(Healthcare_Data[[#This Row],[Final_Bill]]&gt;=20000,"Medium","low"))</f>
        <v>Medium</v>
      </c>
    </row>
    <row r="619" spans="1:20" x14ac:dyDescent="0.3">
      <c r="A619" t="s">
        <v>674</v>
      </c>
      <c r="B619" s="3">
        <v>45882</v>
      </c>
      <c r="C619" t="s">
        <v>48</v>
      </c>
      <c r="D619" t="s">
        <v>28</v>
      </c>
      <c r="E619" t="s">
        <v>52</v>
      </c>
      <c r="F619" t="s">
        <v>21</v>
      </c>
      <c r="G619">
        <v>20</v>
      </c>
      <c r="H619" t="s">
        <v>65</v>
      </c>
      <c r="I619" t="s">
        <v>30</v>
      </c>
      <c r="J619" t="s">
        <v>24</v>
      </c>
      <c r="K619">
        <v>4</v>
      </c>
      <c r="L619" s="4">
        <v>54620</v>
      </c>
      <c r="M619">
        <v>1000</v>
      </c>
      <c r="N619">
        <v>53620</v>
      </c>
      <c r="O619" t="s">
        <v>25</v>
      </c>
      <c r="P619">
        <v>2.7</v>
      </c>
      <c r="Q619">
        <v>94</v>
      </c>
      <c r="R619" t="str">
        <f>TEXT(Healthcare_Data[[#This Row],[Visit_Date]],"mmm")</f>
        <v>Aug</v>
      </c>
      <c r="S619">
        <f>MONTH(Healthcare_Data[[#This Row],[Visit_Date]])</f>
        <v>8</v>
      </c>
      <c r="T619" t="str">
        <f>IF(Healthcare_Data[[#This Row],[Final_Bill]]&gt;=50000,"High",IF(Healthcare_Data[[#This Row],[Final_Bill]]&gt;=20000,"Medium","low"))</f>
        <v>High</v>
      </c>
    </row>
    <row r="620" spans="1:20" x14ac:dyDescent="0.3">
      <c r="A620" t="s">
        <v>675</v>
      </c>
      <c r="B620" s="3">
        <v>45882</v>
      </c>
      <c r="C620" t="s">
        <v>48</v>
      </c>
      <c r="D620" t="s">
        <v>39</v>
      </c>
      <c r="E620" t="s">
        <v>54</v>
      </c>
      <c r="F620" t="s">
        <v>40</v>
      </c>
      <c r="G620">
        <v>30</v>
      </c>
      <c r="H620" t="s">
        <v>65</v>
      </c>
      <c r="I620" t="s">
        <v>61</v>
      </c>
      <c r="J620" t="s">
        <v>58</v>
      </c>
      <c r="K620">
        <v>0</v>
      </c>
      <c r="L620" s="4">
        <v>9105</v>
      </c>
      <c r="M620">
        <v>0</v>
      </c>
      <c r="N620">
        <v>9105</v>
      </c>
      <c r="O620" t="s">
        <v>59</v>
      </c>
      <c r="P620">
        <v>2.6</v>
      </c>
      <c r="Q620">
        <v>17</v>
      </c>
      <c r="R620" t="str">
        <f>TEXT(Healthcare_Data[[#This Row],[Visit_Date]],"mmm")</f>
        <v>Aug</v>
      </c>
      <c r="S620">
        <f>MONTH(Healthcare_Data[[#This Row],[Visit_Date]])</f>
        <v>8</v>
      </c>
      <c r="T620" t="str">
        <f>IF(Healthcare_Data[[#This Row],[Final_Bill]]&gt;=50000,"High",IF(Healthcare_Data[[#This Row],[Final_Bill]]&gt;=20000,"Medium","low"))</f>
        <v>low</v>
      </c>
    </row>
    <row r="621" spans="1:20" x14ac:dyDescent="0.3">
      <c r="A621" t="s">
        <v>676</v>
      </c>
      <c r="B621" s="3">
        <v>45882</v>
      </c>
      <c r="C621" t="s">
        <v>18</v>
      </c>
      <c r="D621" t="s">
        <v>34</v>
      </c>
      <c r="E621" t="s">
        <v>52</v>
      </c>
      <c r="F621" t="s">
        <v>21</v>
      </c>
      <c r="G621">
        <v>65</v>
      </c>
      <c r="H621" t="s">
        <v>115</v>
      </c>
      <c r="I621" t="s">
        <v>69</v>
      </c>
      <c r="J621" t="s">
        <v>58</v>
      </c>
      <c r="K621">
        <v>14</v>
      </c>
      <c r="L621" s="4">
        <v>73585</v>
      </c>
      <c r="M621">
        <v>0</v>
      </c>
      <c r="N621">
        <v>73585</v>
      </c>
      <c r="O621" t="s">
        <v>25</v>
      </c>
      <c r="P621">
        <v>4.2</v>
      </c>
      <c r="Q621">
        <v>51</v>
      </c>
      <c r="R621" t="str">
        <f>TEXT(Healthcare_Data[[#This Row],[Visit_Date]],"mmm")</f>
        <v>Aug</v>
      </c>
      <c r="S621">
        <f>MONTH(Healthcare_Data[[#This Row],[Visit_Date]])</f>
        <v>8</v>
      </c>
      <c r="T621" t="str">
        <f>IF(Healthcare_Data[[#This Row],[Final_Bill]]&gt;=50000,"High",IF(Healthcare_Data[[#This Row],[Final_Bill]]&gt;=20000,"Medium","low"))</f>
        <v>High</v>
      </c>
    </row>
    <row r="622" spans="1:20" x14ac:dyDescent="0.3">
      <c r="A622" t="s">
        <v>677</v>
      </c>
      <c r="B622" s="3">
        <v>45882</v>
      </c>
      <c r="C622" t="s">
        <v>18</v>
      </c>
      <c r="D622" t="s">
        <v>28</v>
      </c>
      <c r="E622" t="s">
        <v>54</v>
      </c>
      <c r="F622" t="s">
        <v>40</v>
      </c>
      <c r="G622">
        <v>70</v>
      </c>
      <c r="H622" t="s">
        <v>22</v>
      </c>
      <c r="I622" t="s">
        <v>42</v>
      </c>
      <c r="J622" t="s">
        <v>24</v>
      </c>
      <c r="K622">
        <v>0</v>
      </c>
      <c r="L622" s="4">
        <v>12331</v>
      </c>
      <c r="M622">
        <v>500</v>
      </c>
      <c r="N622">
        <v>11831</v>
      </c>
      <c r="O622" t="s">
        <v>25</v>
      </c>
      <c r="P622">
        <v>3.3</v>
      </c>
      <c r="Q622">
        <v>90</v>
      </c>
      <c r="R622" t="str">
        <f>TEXT(Healthcare_Data[[#This Row],[Visit_Date]],"mmm")</f>
        <v>Aug</v>
      </c>
      <c r="S622">
        <f>MONTH(Healthcare_Data[[#This Row],[Visit_Date]])</f>
        <v>8</v>
      </c>
      <c r="T622" t="str">
        <f>IF(Healthcare_Data[[#This Row],[Final_Bill]]&gt;=50000,"High",IF(Healthcare_Data[[#This Row],[Final_Bill]]&gt;=20000,"Medium","low"))</f>
        <v>low</v>
      </c>
    </row>
    <row r="623" spans="1:20" x14ac:dyDescent="0.3">
      <c r="A623" t="s">
        <v>678</v>
      </c>
      <c r="B623" s="3">
        <v>45883</v>
      </c>
      <c r="C623" t="s">
        <v>18</v>
      </c>
      <c r="D623" t="s">
        <v>39</v>
      </c>
      <c r="E623" t="s">
        <v>20</v>
      </c>
      <c r="F623" t="s">
        <v>21</v>
      </c>
      <c r="G623">
        <v>76</v>
      </c>
      <c r="H623" t="s">
        <v>35</v>
      </c>
      <c r="I623" t="s">
        <v>57</v>
      </c>
      <c r="J623" t="s">
        <v>36</v>
      </c>
      <c r="K623">
        <v>0</v>
      </c>
      <c r="L623" s="4">
        <v>2745</v>
      </c>
      <c r="M623">
        <v>0</v>
      </c>
      <c r="N623">
        <v>2745</v>
      </c>
      <c r="O623" t="s">
        <v>25</v>
      </c>
      <c r="P623">
        <v>4.9000000000000004</v>
      </c>
      <c r="Q623">
        <v>45</v>
      </c>
      <c r="R623" t="str">
        <f>TEXT(Healthcare_Data[[#This Row],[Visit_Date]],"mmm")</f>
        <v>Aug</v>
      </c>
      <c r="S623">
        <f>MONTH(Healthcare_Data[[#This Row],[Visit_Date]])</f>
        <v>8</v>
      </c>
      <c r="T623" t="str">
        <f>IF(Healthcare_Data[[#This Row],[Final_Bill]]&gt;=50000,"High",IF(Healthcare_Data[[#This Row],[Final_Bill]]&gt;=20000,"Medium","low"))</f>
        <v>low</v>
      </c>
    </row>
    <row r="624" spans="1:20" x14ac:dyDescent="0.3">
      <c r="A624" t="s">
        <v>679</v>
      </c>
      <c r="B624" s="3">
        <v>45883</v>
      </c>
      <c r="C624" t="s">
        <v>50</v>
      </c>
      <c r="D624" t="s">
        <v>19</v>
      </c>
      <c r="E624" t="s">
        <v>54</v>
      </c>
      <c r="F624" t="s">
        <v>40</v>
      </c>
      <c r="G624">
        <v>62</v>
      </c>
      <c r="H624" t="s">
        <v>22</v>
      </c>
      <c r="I624" t="s">
        <v>57</v>
      </c>
      <c r="J624" t="s">
        <v>24</v>
      </c>
      <c r="K624">
        <v>0</v>
      </c>
      <c r="L624" s="4">
        <v>23082</v>
      </c>
      <c r="M624">
        <v>2000</v>
      </c>
      <c r="N624">
        <v>21082</v>
      </c>
      <c r="O624" t="s">
        <v>25</v>
      </c>
      <c r="P624">
        <v>4.5</v>
      </c>
      <c r="Q624">
        <v>97</v>
      </c>
      <c r="R624" t="str">
        <f>TEXT(Healthcare_Data[[#This Row],[Visit_Date]],"mmm")</f>
        <v>Aug</v>
      </c>
      <c r="S624">
        <f>MONTH(Healthcare_Data[[#This Row],[Visit_Date]])</f>
        <v>8</v>
      </c>
      <c r="T624" t="str">
        <f>IF(Healthcare_Data[[#This Row],[Final_Bill]]&gt;=50000,"High",IF(Healthcare_Data[[#This Row],[Final_Bill]]&gt;=20000,"Medium","low"))</f>
        <v>Medium</v>
      </c>
    </row>
    <row r="625" spans="1:20" x14ac:dyDescent="0.3">
      <c r="A625" t="s">
        <v>680</v>
      </c>
      <c r="B625" s="3">
        <v>45883</v>
      </c>
      <c r="C625" t="s">
        <v>50</v>
      </c>
      <c r="D625" t="s">
        <v>39</v>
      </c>
      <c r="E625" t="s">
        <v>20</v>
      </c>
      <c r="F625" t="s">
        <v>40</v>
      </c>
      <c r="G625">
        <v>65</v>
      </c>
      <c r="H625" t="s">
        <v>65</v>
      </c>
      <c r="I625" t="s">
        <v>63</v>
      </c>
      <c r="J625" t="s">
        <v>36</v>
      </c>
      <c r="K625">
        <v>0</v>
      </c>
      <c r="L625" s="4">
        <v>15128</v>
      </c>
      <c r="M625">
        <v>0</v>
      </c>
      <c r="N625">
        <v>15128</v>
      </c>
      <c r="O625" t="s">
        <v>25</v>
      </c>
      <c r="P625">
        <v>2.9</v>
      </c>
      <c r="Q625">
        <v>115</v>
      </c>
      <c r="R625" t="str">
        <f>TEXT(Healthcare_Data[[#This Row],[Visit_Date]],"mmm")</f>
        <v>Aug</v>
      </c>
      <c r="S625">
        <f>MONTH(Healthcare_Data[[#This Row],[Visit_Date]])</f>
        <v>8</v>
      </c>
      <c r="T625" t="str">
        <f>IF(Healthcare_Data[[#This Row],[Final_Bill]]&gt;=50000,"High",IF(Healthcare_Data[[#This Row],[Final_Bill]]&gt;=20000,"Medium","low"))</f>
        <v>low</v>
      </c>
    </row>
    <row r="626" spans="1:20" x14ac:dyDescent="0.3">
      <c r="A626" t="s">
        <v>681</v>
      </c>
      <c r="B626" s="3">
        <v>45884</v>
      </c>
      <c r="C626" t="s">
        <v>50</v>
      </c>
      <c r="D626" t="s">
        <v>28</v>
      </c>
      <c r="E626" t="s">
        <v>20</v>
      </c>
      <c r="F626" t="s">
        <v>40</v>
      </c>
      <c r="G626">
        <v>72</v>
      </c>
      <c r="H626" t="s">
        <v>35</v>
      </c>
      <c r="I626" t="s">
        <v>61</v>
      </c>
      <c r="J626" t="s">
        <v>58</v>
      </c>
      <c r="K626">
        <v>0</v>
      </c>
      <c r="L626" s="4">
        <v>13760</v>
      </c>
      <c r="M626">
        <v>1000</v>
      </c>
      <c r="N626">
        <v>12760</v>
      </c>
      <c r="O626" t="s">
        <v>25</v>
      </c>
      <c r="P626">
        <v>3.2</v>
      </c>
      <c r="Q626">
        <v>91</v>
      </c>
      <c r="R626" t="str">
        <f>TEXT(Healthcare_Data[[#This Row],[Visit_Date]],"mmm")</f>
        <v>Aug</v>
      </c>
      <c r="S626">
        <f>MONTH(Healthcare_Data[[#This Row],[Visit_Date]])</f>
        <v>8</v>
      </c>
      <c r="T626" t="str">
        <f>IF(Healthcare_Data[[#This Row],[Final_Bill]]&gt;=50000,"High",IF(Healthcare_Data[[#This Row],[Final_Bill]]&gt;=20000,"Medium","low"))</f>
        <v>low</v>
      </c>
    </row>
    <row r="627" spans="1:20" x14ac:dyDescent="0.3">
      <c r="A627" t="s">
        <v>682</v>
      </c>
      <c r="B627" s="3">
        <v>45884</v>
      </c>
      <c r="C627" t="s">
        <v>50</v>
      </c>
      <c r="D627" t="s">
        <v>39</v>
      </c>
      <c r="E627" t="s">
        <v>52</v>
      </c>
      <c r="F627" t="s">
        <v>21</v>
      </c>
      <c r="G627">
        <v>48</v>
      </c>
      <c r="H627" t="s">
        <v>22</v>
      </c>
      <c r="I627" t="s">
        <v>23</v>
      </c>
      <c r="J627" t="s">
        <v>24</v>
      </c>
      <c r="K627">
        <v>13</v>
      </c>
      <c r="L627" s="4">
        <v>71125</v>
      </c>
      <c r="M627">
        <v>2000</v>
      </c>
      <c r="N627">
        <v>69125</v>
      </c>
      <c r="O627" t="s">
        <v>25</v>
      </c>
      <c r="P627">
        <v>3.8</v>
      </c>
      <c r="Q627">
        <v>12</v>
      </c>
      <c r="R627" t="str">
        <f>TEXT(Healthcare_Data[[#This Row],[Visit_Date]],"mmm")</f>
        <v>Aug</v>
      </c>
      <c r="S627">
        <f>MONTH(Healthcare_Data[[#This Row],[Visit_Date]])</f>
        <v>8</v>
      </c>
      <c r="T627" t="str">
        <f>IF(Healthcare_Data[[#This Row],[Final_Bill]]&gt;=50000,"High",IF(Healthcare_Data[[#This Row],[Final_Bill]]&gt;=20000,"Medium","low"))</f>
        <v>High</v>
      </c>
    </row>
    <row r="628" spans="1:20" x14ac:dyDescent="0.3">
      <c r="A628" t="s">
        <v>683</v>
      </c>
      <c r="B628" s="3">
        <v>45884</v>
      </c>
      <c r="C628" t="s">
        <v>67</v>
      </c>
      <c r="D628" t="s">
        <v>39</v>
      </c>
      <c r="E628" t="s">
        <v>54</v>
      </c>
      <c r="F628" t="s">
        <v>40</v>
      </c>
      <c r="G628">
        <v>18</v>
      </c>
      <c r="H628" t="s">
        <v>56</v>
      </c>
      <c r="I628" t="s">
        <v>42</v>
      </c>
      <c r="J628" t="s">
        <v>24</v>
      </c>
      <c r="K628">
        <v>0</v>
      </c>
      <c r="L628" s="4">
        <v>42332</v>
      </c>
      <c r="M628">
        <v>0</v>
      </c>
      <c r="N628">
        <v>42332</v>
      </c>
      <c r="O628" t="s">
        <v>32</v>
      </c>
      <c r="P628">
        <v>3.5</v>
      </c>
      <c r="Q628">
        <v>28</v>
      </c>
      <c r="R628" t="str">
        <f>TEXT(Healthcare_Data[[#This Row],[Visit_Date]],"mmm")</f>
        <v>Aug</v>
      </c>
      <c r="S628">
        <f>MONTH(Healthcare_Data[[#This Row],[Visit_Date]])</f>
        <v>8</v>
      </c>
      <c r="T628" t="str">
        <f>IF(Healthcare_Data[[#This Row],[Final_Bill]]&gt;=50000,"High",IF(Healthcare_Data[[#This Row],[Final_Bill]]&gt;=20000,"Medium","low"))</f>
        <v>Medium</v>
      </c>
    </row>
    <row r="629" spans="1:20" x14ac:dyDescent="0.3">
      <c r="A629" t="s">
        <v>684</v>
      </c>
      <c r="B629" s="3">
        <v>45884</v>
      </c>
      <c r="C629" t="s">
        <v>38</v>
      </c>
      <c r="D629" t="s">
        <v>28</v>
      </c>
      <c r="E629" t="s">
        <v>54</v>
      </c>
      <c r="F629" t="s">
        <v>21</v>
      </c>
      <c r="G629">
        <v>43</v>
      </c>
      <c r="H629" t="s">
        <v>56</v>
      </c>
      <c r="I629" t="s">
        <v>42</v>
      </c>
      <c r="J629" t="s">
        <v>36</v>
      </c>
      <c r="K629">
        <v>0</v>
      </c>
      <c r="L629" s="4">
        <v>27733</v>
      </c>
      <c r="M629">
        <v>0</v>
      </c>
      <c r="N629">
        <v>27733</v>
      </c>
      <c r="O629" t="s">
        <v>25</v>
      </c>
      <c r="P629">
        <v>2.8</v>
      </c>
      <c r="Q629">
        <v>64</v>
      </c>
      <c r="R629" t="str">
        <f>TEXT(Healthcare_Data[[#This Row],[Visit_Date]],"mmm")</f>
        <v>Aug</v>
      </c>
      <c r="S629">
        <f>MONTH(Healthcare_Data[[#This Row],[Visit_Date]])</f>
        <v>8</v>
      </c>
      <c r="T629" t="str">
        <f>IF(Healthcare_Data[[#This Row],[Final_Bill]]&gt;=50000,"High",IF(Healthcare_Data[[#This Row],[Final_Bill]]&gt;=20000,"Medium","low"))</f>
        <v>Medium</v>
      </c>
    </row>
    <row r="630" spans="1:20" x14ac:dyDescent="0.3">
      <c r="A630" t="s">
        <v>685</v>
      </c>
      <c r="B630" s="3">
        <v>45884</v>
      </c>
      <c r="C630" t="s">
        <v>44</v>
      </c>
      <c r="D630" t="s">
        <v>34</v>
      </c>
      <c r="E630" t="s">
        <v>52</v>
      </c>
      <c r="F630" t="s">
        <v>21</v>
      </c>
      <c r="G630">
        <v>75</v>
      </c>
      <c r="H630" t="s">
        <v>115</v>
      </c>
      <c r="I630" t="s">
        <v>69</v>
      </c>
      <c r="J630" t="s">
        <v>24</v>
      </c>
      <c r="K630">
        <v>1</v>
      </c>
      <c r="L630" s="4">
        <v>57549</v>
      </c>
      <c r="M630">
        <v>500</v>
      </c>
      <c r="N630">
        <v>57049</v>
      </c>
      <c r="O630" t="s">
        <v>25</v>
      </c>
      <c r="P630">
        <v>3</v>
      </c>
      <c r="Q630">
        <v>60</v>
      </c>
      <c r="R630" t="str">
        <f>TEXT(Healthcare_Data[[#This Row],[Visit_Date]],"mmm")</f>
        <v>Aug</v>
      </c>
      <c r="S630">
        <f>MONTH(Healthcare_Data[[#This Row],[Visit_Date]])</f>
        <v>8</v>
      </c>
      <c r="T630" t="str">
        <f>IF(Healthcare_Data[[#This Row],[Final_Bill]]&gt;=50000,"High",IF(Healthcare_Data[[#This Row],[Final_Bill]]&gt;=20000,"Medium","low"))</f>
        <v>High</v>
      </c>
    </row>
    <row r="631" spans="1:20" x14ac:dyDescent="0.3">
      <c r="A631" t="s">
        <v>686</v>
      </c>
      <c r="B631" s="3">
        <v>45885</v>
      </c>
      <c r="C631" t="s">
        <v>27</v>
      </c>
      <c r="D631" t="s">
        <v>34</v>
      </c>
      <c r="E631" t="s">
        <v>54</v>
      </c>
      <c r="F631" t="s">
        <v>40</v>
      </c>
      <c r="G631">
        <v>72</v>
      </c>
      <c r="H631" t="s">
        <v>46</v>
      </c>
      <c r="I631" t="s">
        <v>63</v>
      </c>
      <c r="J631" t="s">
        <v>58</v>
      </c>
      <c r="K631">
        <v>0</v>
      </c>
      <c r="L631" s="4">
        <v>9754</v>
      </c>
      <c r="M631">
        <v>0</v>
      </c>
      <c r="N631">
        <v>9754</v>
      </c>
      <c r="O631" t="s">
        <v>25</v>
      </c>
      <c r="P631">
        <v>3.4</v>
      </c>
      <c r="Q631">
        <v>51</v>
      </c>
      <c r="R631" t="str">
        <f>TEXT(Healthcare_Data[[#This Row],[Visit_Date]],"mmm")</f>
        <v>Aug</v>
      </c>
      <c r="S631">
        <f>MONTH(Healthcare_Data[[#This Row],[Visit_Date]])</f>
        <v>8</v>
      </c>
      <c r="T631" t="str">
        <f>IF(Healthcare_Data[[#This Row],[Final_Bill]]&gt;=50000,"High",IF(Healthcare_Data[[#This Row],[Final_Bill]]&gt;=20000,"Medium","low"))</f>
        <v>low</v>
      </c>
    </row>
    <row r="632" spans="1:20" x14ac:dyDescent="0.3">
      <c r="A632" t="s">
        <v>687</v>
      </c>
      <c r="B632" s="3">
        <v>45885</v>
      </c>
      <c r="C632" t="s">
        <v>67</v>
      </c>
      <c r="D632" t="s">
        <v>19</v>
      </c>
      <c r="E632" t="s">
        <v>52</v>
      </c>
      <c r="F632" t="s">
        <v>21</v>
      </c>
      <c r="G632">
        <v>60</v>
      </c>
      <c r="H632" t="s">
        <v>35</v>
      </c>
      <c r="I632" t="s">
        <v>69</v>
      </c>
      <c r="J632" t="s">
        <v>58</v>
      </c>
      <c r="K632">
        <v>13</v>
      </c>
      <c r="L632" s="4">
        <v>54913</v>
      </c>
      <c r="M632">
        <v>1000</v>
      </c>
      <c r="N632">
        <v>53913</v>
      </c>
      <c r="O632" t="s">
        <v>25</v>
      </c>
      <c r="P632">
        <v>4.9000000000000004</v>
      </c>
      <c r="Q632">
        <v>28</v>
      </c>
      <c r="R632" t="str">
        <f>TEXT(Healthcare_Data[[#This Row],[Visit_Date]],"mmm")</f>
        <v>Aug</v>
      </c>
      <c r="S632">
        <f>MONTH(Healthcare_Data[[#This Row],[Visit_Date]])</f>
        <v>8</v>
      </c>
      <c r="T632" t="str">
        <f>IF(Healthcare_Data[[#This Row],[Final_Bill]]&gt;=50000,"High",IF(Healthcare_Data[[#This Row],[Final_Bill]]&gt;=20000,"Medium","low"))</f>
        <v>High</v>
      </c>
    </row>
    <row r="633" spans="1:20" x14ac:dyDescent="0.3">
      <c r="A633" t="s">
        <v>688</v>
      </c>
      <c r="B633" s="3">
        <v>45886</v>
      </c>
      <c r="C633" t="s">
        <v>48</v>
      </c>
      <c r="D633" t="s">
        <v>19</v>
      </c>
      <c r="E633" t="s">
        <v>20</v>
      </c>
      <c r="F633" t="s">
        <v>40</v>
      </c>
      <c r="G633">
        <v>53</v>
      </c>
      <c r="H633" t="s">
        <v>29</v>
      </c>
      <c r="I633" t="s">
        <v>69</v>
      </c>
      <c r="J633" t="s">
        <v>24</v>
      </c>
      <c r="K633">
        <v>0</v>
      </c>
      <c r="L633" s="4">
        <v>19420</v>
      </c>
      <c r="M633">
        <v>1000</v>
      </c>
      <c r="N633">
        <v>18420</v>
      </c>
      <c r="O633" t="s">
        <v>25</v>
      </c>
      <c r="P633">
        <v>3.6</v>
      </c>
      <c r="Q633">
        <v>79</v>
      </c>
      <c r="R633" t="str">
        <f>TEXT(Healthcare_Data[[#This Row],[Visit_Date]],"mmm")</f>
        <v>Aug</v>
      </c>
      <c r="S633">
        <f>MONTH(Healthcare_Data[[#This Row],[Visit_Date]])</f>
        <v>8</v>
      </c>
      <c r="T633" t="str">
        <f>IF(Healthcare_Data[[#This Row],[Final_Bill]]&gt;=50000,"High",IF(Healthcare_Data[[#This Row],[Final_Bill]]&gt;=20000,"Medium","low"))</f>
        <v>low</v>
      </c>
    </row>
    <row r="634" spans="1:20" x14ac:dyDescent="0.3">
      <c r="A634" t="s">
        <v>689</v>
      </c>
      <c r="B634" s="3">
        <v>45886</v>
      </c>
      <c r="C634" t="s">
        <v>18</v>
      </c>
      <c r="D634" t="s">
        <v>39</v>
      </c>
      <c r="E634" t="s">
        <v>20</v>
      </c>
      <c r="F634" t="s">
        <v>40</v>
      </c>
      <c r="G634">
        <v>57</v>
      </c>
      <c r="H634" t="s">
        <v>56</v>
      </c>
      <c r="I634" t="s">
        <v>57</v>
      </c>
      <c r="J634" t="s">
        <v>1057</v>
      </c>
      <c r="K634">
        <v>0</v>
      </c>
      <c r="L634" s="4">
        <v>11722</v>
      </c>
      <c r="M634">
        <v>1000</v>
      </c>
      <c r="N634">
        <v>10722</v>
      </c>
      <c r="O634" t="s">
        <v>25</v>
      </c>
      <c r="P634">
        <v>4.4000000000000004</v>
      </c>
      <c r="Q634">
        <v>119</v>
      </c>
      <c r="R634" t="str">
        <f>TEXT(Healthcare_Data[[#This Row],[Visit_Date]],"mmm")</f>
        <v>Aug</v>
      </c>
      <c r="S634">
        <f>MONTH(Healthcare_Data[[#This Row],[Visit_Date]])</f>
        <v>8</v>
      </c>
      <c r="T634" t="str">
        <f>IF(Healthcare_Data[[#This Row],[Final_Bill]]&gt;=50000,"High",IF(Healthcare_Data[[#This Row],[Final_Bill]]&gt;=20000,"Medium","low"))</f>
        <v>low</v>
      </c>
    </row>
    <row r="635" spans="1:20" x14ac:dyDescent="0.3">
      <c r="A635" t="s">
        <v>690</v>
      </c>
      <c r="B635" s="3">
        <v>45886</v>
      </c>
      <c r="C635" t="s">
        <v>50</v>
      </c>
      <c r="D635" t="s">
        <v>19</v>
      </c>
      <c r="E635" t="s">
        <v>20</v>
      </c>
      <c r="F635" t="s">
        <v>21</v>
      </c>
      <c r="G635">
        <v>32</v>
      </c>
      <c r="H635" t="s">
        <v>115</v>
      </c>
      <c r="I635" t="s">
        <v>61</v>
      </c>
      <c r="J635" t="s">
        <v>31</v>
      </c>
      <c r="K635">
        <v>0</v>
      </c>
      <c r="L635" s="4">
        <v>2037</v>
      </c>
      <c r="M635">
        <v>500</v>
      </c>
      <c r="N635">
        <v>1537</v>
      </c>
      <c r="O635" t="s">
        <v>25</v>
      </c>
      <c r="P635">
        <v>4.7</v>
      </c>
      <c r="Q635">
        <v>118</v>
      </c>
      <c r="R635" t="str">
        <f>TEXT(Healthcare_Data[[#This Row],[Visit_Date]],"mmm")</f>
        <v>Aug</v>
      </c>
      <c r="S635">
        <f>MONTH(Healthcare_Data[[#This Row],[Visit_Date]])</f>
        <v>8</v>
      </c>
      <c r="T635" t="str">
        <f>IF(Healthcare_Data[[#This Row],[Final_Bill]]&gt;=50000,"High",IF(Healthcare_Data[[#This Row],[Final_Bill]]&gt;=20000,"Medium","low"))</f>
        <v>low</v>
      </c>
    </row>
    <row r="636" spans="1:20" x14ac:dyDescent="0.3">
      <c r="A636" t="s">
        <v>691</v>
      </c>
      <c r="B636" s="3">
        <v>45886</v>
      </c>
      <c r="C636" t="s">
        <v>67</v>
      </c>
      <c r="D636" t="s">
        <v>19</v>
      </c>
      <c r="E636" t="s">
        <v>52</v>
      </c>
      <c r="F636" t="s">
        <v>40</v>
      </c>
      <c r="G636">
        <v>30</v>
      </c>
      <c r="H636" t="s">
        <v>56</v>
      </c>
      <c r="I636" t="s">
        <v>72</v>
      </c>
      <c r="J636" t="s">
        <v>36</v>
      </c>
      <c r="K636">
        <v>3</v>
      </c>
      <c r="L636" s="4">
        <v>72646</v>
      </c>
      <c r="M636">
        <v>0</v>
      </c>
      <c r="N636">
        <v>72646</v>
      </c>
      <c r="O636" t="s">
        <v>25</v>
      </c>
      <c r="P636">
        <v>5</v>
      </c>
      <c r="Q636">
        <v>94</v>
      </c>
      <c r="R636" t="str">
        <f>TEXT(Healthcare_Data[[#This Row],[Visit_Date]],"mmm")</f>
        <v>Aug</v>
      </c>
      <c r="S636">
        <f>MONTH(Healthcare_Data[[#This Row],[Visit_Date]])</f>
        <v>8</v>
      </c>
      <c r="T636" t="str">
        <f>IF(Healthcare_Data[[#This Row],[Final_Bill]]&gt;=50000,"High",IF(Healthcare_Data[[#This Row],[Final_Bill]]&gt;=20000,"Medium","low"))</f>
        <v>High</v>
      </c>
    </row>
    <row r="637" spans="1:20" x14ac:dyDescent="0.3">
      <c r="A637" t="s">
        <v>692</v>
      </c>
      <c r="B637" s="3">
        <v>45886</v>
      </c>
      <c r="C637" t="s">
        <v>27</v>
      </c>
      <c r="D637" t="s">
        <v>39</v>
      </c>
      <c r="E637" t="s">
        <v>20</v>
      </c>
      <c r="F637" t="s">
        <v>21</v>
      </c>
      <c r="G637">
        <v>70</v>
      </c>
      <c r="H637" t="s">
        <v>115</v>
      </c>
      <c r="I637" t="s">
        <v>57</v>
      </c>
      <c r="J637" t="s">
        <v>36</v>
      </c>
      <c r="K637">
        <v>0</v>
      </c>
      <c r="L637" s="4">
        <v>4966</v>
      </c>
      <c r="M637">
        <v>1000</v>
      </c>
      <c r="N637">
        <v>3966</v>
      </c>
      <c r="O637" t="s">
        <v>25</v>
      </c>
      <c r="P637">
        <v>4.8</v>
      </c>
      <c r="Q637">
        <v>16</v>
      </c>
      <c r="R637" t="str">
        <f>TEXT(Healthcare_Data[[#This Row],[Visit_Date]],"mmm")</f>
        <v>Aug</v>
      </c>
      <c r="S637">
        <f>MONTH(Healthcare_Data[[#This Row],[Visit_Date]])</f>
        <v>8</v>
      </c>
      <c r="T637" t="str">
        <f>IF(Healthcare_Data[[#This Row],[Final_Bill]]&gt;=50000,"High",IF(Healthcare_Data[[#This Row],[Final_Bill]]&gt;=20000,"Medium","low"))</f>
        <v>low</v>
      </c>
    </row>
    <row r="638" spans="1:20" x14ac:dyDescent="0.3">
      <c r="A638" t="s">
        <v>693</v>
      </c>
      <c r="B638" s="3">
        <v>45887</v>
      </c>
      <c r="C638" t="s">
        <v>54</v>
      </c>
      <c r="D638" t="s">
        <v>51</v>
      </c>
      <c r="E638" t="s">
        <v>20</v>
      </c>
      <c r="F638" t="s">
        <v>21</v>
      </c>
      <c r="G638">
        <v>35</v>
      </c>
      <c r="H638" t="s">
        <v>56</v>
      </c>
      <c r="I638" t="s">
        <v>69</v>
      </c>
      <c r="J638" t="s">
        <v>24</v>
      </c>
      <c r="K638">
        <v>0</v>
      </c>
      <c r="L638" s="4">
        <v>10827</v>
      </c>
      <c r="M638">
        <v>1000</v>
      </c>
      <c r="N638">
        <v>9827</v>
      </c>
      <c r="O638" t="s">
        <v>25</v>
      </c>
      <c r="P638">
        <v>4.0999999999999996</v>
      </c>
      <c r="Q638">
        <v>69</v>
      </c>
      <c r="R638" t="str">
        <f>TEXT(Healthcare_Data[[#This Row],[Visit_Date]],"mmm")</f>
        <v>Aug</v>
      </c>
      <c r="S638">
        <f>MONTH(Healthcare_Data[[#This Row],[Visit_Date]])</f>
        <v>8</v>
      </c>
      <c r="T638" t="str">
        <f>IF(Healthcare_Data[[#This Row],[Final_Bill]]&gt;=50000,"High",IF(Healthcare_Data[[#This Row],[Final_Bill]]&gt;=20000,"Medium","low"))</f>
        <v>low</v>
      </c>
    </row>
    <row r="639" spans="1:20" x14ac:dyDescent="0.3">
      <c r="A639" t="s">
        <v>694</v>
      </c>
      <c r="B639" s="3">
        <v>45887</v>
      </c>
      <c r="C639" t="s">
        <v>18</v>
      </c>
      <c r="D639" t="s">
        <v>28</v>
      </c>
      <c r="E639" t="s">
        <v>20</v>
      </c>
      <c r="F639" t="s">
        <v>40</v>
      </c>
      <c r="G639">
        <v>71</v>
      </c>
      <c r="H639" t="s">
        <v>35</v>
      </c>
      <c r="I639" t="s">
        <v>42</v>
      </c>
      <c r="J639" t="s">
        <v>36</v>
      </c>
      <c r="K639">
        <v>0</v>
      </c>
      <c r="L639" s="4">
        <v>10180</v>
      </c>
      <c r="M639">
        <v>0</v>
      </c>
      <c r="N639">
        <v>10180</v>
      </c>
      <c r="O639" t="s">
        <v>25</v>
      </c>
      <c r="P639">
        <v>3.3</v>
      </c>
      <c r="Q639">
        <v>18</v>
      </c>
      <c r="R639" t="str">
        <f>TEXT(Healthcare_Data[[#This Row],[Visit_Date]],"mmm")</f>
        <v>Aug</v>
      </c>
      <c r="S639">
        <f>MONTH(Healthcare_Data[[#This Row],[Visit_Date]])</f>
        <v>8</v>
      </c>
      <c r="T639" t="str">
        <f>IF(Healthcare_Data[[#This Row],[Final_Bill]]&gt;=50000,"High",IF(Healthcare_Data[[#This Row],[Final_Bill]]&gt;=20000,"Medium","low"))</f>
        <v>low</v>
      </c>
    </row>
    <row r="640" spans="1:20" x14ac:dyDescent="0.3">
      <c r="A640" t="s">
        <v>695</v>
      </c>
      <c r="B640" s="3">
        <v>45888</v>
      </c>
      <c r="C640" t="s">
        <v>44</v>
      </c>
      <c r="D640" t="s">
        <v>19</v>
      </c>
      <c r="E640" t="s">
        <v>20</v>
      </c>
      <c r="F640" t="s">
        <v>21</v>
      </c>
      <c r="G640">
        <v>74</v>
      </c>
      <c r="H640" t="s">
        <v>56</v>
      </c>
      <c r="I640" t="s">
        <v>30</v>
      </c>
      <c r="J640" t="s">
        <v>24</v>
      </c>
      <c r="K640">
        <v>0</v>
      </c>
      <c r="L640" s="4">
        <v>6353</v>
      </c>
      <c r="M640">
        <v>500</v>
      </c>
      <c r="N640">
        <v>5853</v>
      </c>
      <c r="O640" t="s">
        <v>25</v>
      </c>
      <c r="P640">
        <v>2.9</v>
      </c>
      <c r="Q640">
        <v>82</v>
      </c>
      <c r="R640" t="str">
        <f>TEXT(Healthcare_Data[[#This Row],[Visit_Date]],"mmm")</f>
        <v>Aug</v>
      </c>
      <c r="S640">
        <f>MONTH(Healthcare_Data[[#This Row],[Visit_Date]])</f>
        <v>8</v>
      </c>
      <c r="T640" t="str">
        <f>IF(Healthcare_Data[[#This Row],[Final_Bill]]&gt;=50000,"High",IF(Healthcare_Data[[#This Row],[Final_Bill]]&gt;=20000,"Medium","low"))</f>
        <v>low</v>
      </c>
    </row>
    <row r="641" spans="1:20" x14ac:dyDescent="0.3">
      <c r="A641" t="s">
        <v>696</v>
      </c>
      <c r="B641" s="3">
        <v>45888</v>
      </c>
      <c r="C641" t="s">
        <v>27</v>
      </c>
      <c r="D641" t="s">
        <v>19</v>
      </c>
      <c r="E641" t="s">
        <v>20</v>
      </c>
      <c r="F641" t="s">
        <v>21</v>
      </c>
      <c r="G641">
        <v>35</v>
      </c>
      <c r="H641" t="s">
        <v>65</v>
      </c>
      <c r="I641" t="s">
        <v>57</v>
      </c>
      <c r="J641" t="s">
        <v>36</v>
      </c>
      <c r="K641">
        <v>0</v>
      </c>
      <c r="L641" s="4">
        <v>4544</v>
      </c>
      <c r="M641">
        <v>0</v>
      </c>
      <c r="N641">
        <v>4544</v>
      </c>
      <c r="O641" t="s">
        <v>25</v>
      </c>
      <c r="P641">
        <v>4.8</v>
      </c>
      <c r="Q641">
        <v>34</v>
      </c>
      <c r="R641" t="str">
        <f>TEXT(Healthcare_Data[[#This Row],[Visit_Date]],"mmm")</f>
        <v>Aug</v>
      </c>
      <c r="S641">
        <f>MONTH(Healthcare_Data[[#This Row],[Visit_Date]])</f>
        <v>8</v>
      </c>
      <c r="T641" t="str">
        <f>IF(Healthcare_Data[[#This Row],[Final_Bill]]&gt;=50000,"High",IF(Healthcare_Data[[#This Row],[Final_Bill]]&gt;=20000,"Medium","low"))</f>
        <v>low</v>
      </c>
    </row>
    <row r="642" spans="1:20" x14ac:dyDescent="0.3">
      <c r="A642" t="s">
        <v>697</v>
      </c>
      <c r="B642" s="3">
        <v>45888</v>
      </c>
      <c r="C642" t="s">
        <v>48</v>
      </c>
      <c r="D642" t="s">
        <v>34</v>
      </c>
      <c r="E642" t="s">
        <v>54</v>
      </c>
      <c r="F642" t="s">
        <v>21</v>
      </c>
      <c r="G642">
        <v>45</v>
      </c>
      <c r="H642" t="s">
        <v>46</v>
      </c>
      <c r="I642" t="s">
        <v>30</v>
      </c>
      <c r="J642" t="s">
        <v>58</v>
      </c>
      <c r="K642">
        <v>0</v>
      </c>
      <c r="L642" s="4">
        <v>10196</v>
      </c>
      <c r="M642">
        <v>2000</v>
      </c>
      <c r="N642">
        <v>8196</v>
      </c>
      <c r="O642" t="s">
        <v>25</v>
      </c>
      <c r="P642">
        <v>3.1</v>
      </c>
      <c r="Q642">
        <v>103</v>
      </c>
      <c r="R642" t="str">
        <f>TEXT(Healthcare_Data[[#This Row],[Visit_Date]],"mmm")</f>
        <v>Aug</v>
      </c>
      <c r="S642">
        <f>MONTH(Healthcare_Data[[#This Row],[Visit_Date]])</f>
        <v>8</v>
      </c>
      <c r="T642" t="str">
        <f>IF(Healthcare_Data[[#This Row],[Final_Bill]]&gt;=50000,"High",IF(Healthcare_Data[[#This Row],[Final_Bill]]&gt;=20000,"Medium","low"))</f>
        <v>low</v>
      </c>
    </row>
    <row r="643" spans="1:20" x14ac:dyDescent="0.3">
      <c r="A643" t="s">
        <v>698</v>
      </c>
      <c r="B643" s="3">
        <v>45888</v>
      </c>
      <c r="C643" t="s">
        <v>38</v>
      </c>
      <c r="D643" t="s">
        <v>19</v>
      </c>
      <c r="E643" t="s">
        <v>20</v>
      </c>
      <c r="F643" t="s">
        <v>40</v>
      </c>
      <c r="G643">
        <v>32</v>
      </c>
      <c r="H643" t="s">
        <v>35</v>
      </c>
      <c r="I643" t="s">
        <v>61</v>
      </c>
      <c r="J643" t="s">
        <v>24</v>
      </c>
      <c r="K643">
        <v>0</v>
      </c>
      <c r="L643" s="4">
        <v>12267</v>
      </c>
      <c r="M643">
        <v>0</v>
      </c>
      <c r="N643">
        <v>12267</v>
      </c>
      <c r="O643" t="s">
        <v>25</v>
      </c>
      <c r="P643">
        <v>4.3</v>
      </c>
      <c r="Q643">
        <v>79</v>
      </c>
      <c r="R643" t="str">
        <f>TEXT(Healthcare_Data[[#This Row],[Visit_Date]],"mmm")</f>
        <v>Aug</v>
      </c>
      <c r="S643">
        <f>MONTH(Healthcare_Data[[#This Row],[Visit_Date]])</f>
        <v>8</v>
      </c>
      <c r="T643" t="str">
        <f>IF(Healthcare_Data[[#This Row],[Final_Bill]]&gt;=50000,"High",IF(Healthcare_Data[[#This Row],[Final_Bill]]&gt;=20000,"Medium","low"))</f>
        <v>low</v>
      </c>
    </row>
    <row r="644" spans="1:20" x14ac:dyDescent="0.3">
      <c r="A644" t="s">
        <v>699</v>
      </c>
      <c r="B644" s="3">
        <v>45888</v>
      </c>
      <c r="C644" t="s">
        <v>44</v>
      </c>
      <c r="D644" t="s">
        <v>19</v>
      </c>
      <c r="E644" t="s">
        <v>20</v>
      </c>
      <c r="F644" t="s">
        <v>40</v>
      </c>
      <c r="G644">
        <v>71</v>
      </c>
      <c r="H644" t="s">
        <v>115</v>
      </c>
      <c r="I644" t="s">
        <v>23</v>
      </c>
      <c r="J644" t="s">
        <v>24</v>
      </c>
      <c r="K644">
        <v>0</v>
      </c>
      <c r="L644" s="4">
        <v>13377</v>
      </c>
      <c r="M644">
        <v>1500</v>
      </c>
      <c r="N644">
        <v>11877</v>
      </c>
      <c r="O644" t="s">
        <v>25</v>
      </c>
      <c r="P644">
        <v>5</v>
      </c>
      <c r="Q644">
        <v>86</v>
      </c>
      <c r="R644" t="str">
        <f>TEXT(Healthcare_Data[[#This Row],[Visit_Date]],"mmm")</f>
        <v>Aug</v>
      </c>
      <c r="S644">
        <f>MONTH(Healthcare_Data[[#This Row],[Visit_Date]])</f>
        <v>8</v>
      </c>
      <c r="T644" t="str">
        <f>IF(Healthcare_Data[[#This Row],[Final_Bill]]&gt;=50000,"High",IF(Healthcare_Data[[#This Row],[Final_Bill]]&gt;=20000,"Medium","low"))</f>
        <v>low</v>
      </c>
    </row>
    <row r="645" spans="1:20" x14ac:dyDescent="0.3">
      <c r="A645" t="s">
        <v>700</v>
      </c>
      <c r="B645" s="3">
        <v>45890</v>
      </c>
      <c r="C645" t="s">
        <v>67</v>
      </c>
      <c r="D645" t="s">
        <v>34</v>
      </c>
      <c r="E645" t="s">
        <v>52</v>
      </c>
      <c r="F645" t="s">
        <v>21</v>
      </c>
      <c r="G645">
        <v>26</v>
      </c>
      <c r="H645" t="s">
        <v>35</v>
      </c>
      <c r="I645" t="s">
        <v>69</v>
      </c>
      <c r="J645" t="s">
        <v>31</v>
      </c>
      <c r="K645">
        <v>9</v>
      </c>
      <c r="L645" s="4">
        <v>71180</v>
      </c>
      <c r="M645">
        <v>0</v>
      </c>
      <c r="N645">
        <v>71180</v>
      </c>
      <c r="O645" t="s">
        <v>25</v>
      </c>
      <c r="P645">
        <v>3.5</v>
      </c>
      <c r="Q645">
        <v>13</v>
      </c>
      <c r="R645" t="str">
        <f>TEXT(Healthcare_Data[[#This Row],[Visit_Date]],"mmm")</f>
        <v>Aug</v>
      </c>
      <c r="S645">
        <f>MONTH(Healthcare_Data[[#This Row],[Visit_Date]])</f>
        <v>8</v>
      </c>
      <c r="T645" t="str">
        <f>IF(Healthcare_Data[[#This Row],[Final_Bill]]&gt;=50000,"High",IF(Healthcare_Data[[#This Row],[Final_Bill]]&gt;=20000,"Medium","low"))</f>
        <v>High</v>
      </c>
    </row>
    <row r="646" spans="1:20" x14ac:dyDescent="0.3">
      <c r="A646" t="s">
        <v>701</v>
      </c>
      <c r="B646" s="3">
        <v>45890</v>
      </c>
      <c r="C646" t="s">
        <v>44</v>
      </c>
      <c r="D646" t="s">
        <v>19</v>
      </c>
      <c r="E646" t="s">
        <v>20</v>
      </c>
      <c r="F646" t="s">
        <v>21</v>
      </c>
      <c r="G646">
        <v>50</v>
      </c>
      <c r="H646" t="s">
        <v>46</v>
      </c>
      <c r="I646" t="s">
        <v>63</v>
      </c>
      <c r="J646" t="s">
        <v>36</v>
      </c>
      <c r="K646">
        <v>0</v>
      </c>
      <c r="L646" s="4">
        <v>2062</v>
      </c>
      <c r="M646">
        <v>0</v>
      </c>
      <c r="N646">
        <v>2062</v>
      </c>
      <c r="O646" t="s">
        <v>25</v>
      </c>
      <c r="P646">
        <v>4.9000000000000004</v>
      </c>
      <c r="Q646">
        <v>77</v>
      </c>
      <c r="R646" t="str">
        <f>TEXT(Healthcare_Data[[#This Row],[Visit_Date]],"mmm")</f>
        <v>Aug</v>
      </c>
      <c r="S646">
        <f>MONTH(Healthcare_Data[[#This Row],[Visit_Date]])</f>
        <v>8</v>
      </c>
      <c r="T646" t="str">
        <f>IF(Healthcare_Data[[#This Row],[Final_Bill]]&gt;=50000,"High",IF(Healthcare_Data[[#This Row],[Final_Bill]]&gt;=20000,"Medium","low"))</f>
        <v>low</v>
      </c>
    </row>
    <row r="647" spans="1:20" x14ac:dyDescent="0.3">
      <c r="A647" t="s">
        <v>702</v>
      </c>
      <c r="B647" s="3">
        <v>45890</v>
      </c>
      <c r="C647" t="s">
        <v>48</v>
      </c>
      <c r="D647" t="s">
        <v>34</v>
      </c>
      <c r="E647" t="s">
        <v>54</v>
      </c>
      <c r="F647" t="s">
        <v>40</v>
      </c>
      <c r="G647">
        <v>77</v>
      </c>
      <c r="H647" t="s">
        <v>65</v>
      </c>
      <c r="I647" t="s">
        <v>23</v>
      </c>
      <c r="J647" t="s">
        <v>24</v>
      </c>
      <c r="K647">
        <v>0</v>
      </c>
      <c r="L647" s="4">
        <v>29586</v>
      </c>
      <c r="M647">
        <v>0</v>
      </c>
      <c r="N647">
        <v>29586</v>
      </c>
      <c r="O647" t="s">
        <v>32</v>
      </c>
      <c r="P647">
        <v>4.9000000000000004</v>
      </c>
      <c r="Q647">
        <v>97</v>
      </c>
      <c r="R647" t="str">
        <f>TEXT(Healthcare_Data[[#This Row],[Visit_Date]],"mmm")</f>
        <v>Aug</v>
      </c>
      <c r="S647">
        <f>MONTH(Healthcare_Data[[#This Row],[Visit_Date]])</f>
        <v>8</v>
      </c>
      <c r="T647" t="str">
        <f>IF(Healthcare_Data[[#This Row],[Final_Bill]]&gt;=50000,"High",IF(Healthcare_Data[[#This Row],[Final_Bill]]&gt;=20000,"Medium","low"))</f>
        <v>Medium</v>
      </c>
    </row>
    <row r="648" spans="1:20" x14ac:dyDescent="0.3">
      <c r="A648" t="s">
        <v>703</v>
      </c>
      <c r="B648" s="3">
        <v>45890</v>
      </c>
      <c r="C648" t="s">
        <v>67</v>
      </c>
      <c r="D648" t="s">
        <v>51</v>
      </c>
      <c r="E648" t="s">
        <v>20</v>
      </c>
      <c r="F648" t="s">
        <v>40</v>
      </c>
      <c r="G648">
        <v>29</v>
      </c>
      <c r="H648" t="s">
        <v>29</v>
      </c>
      <c r="I648" t="s">
        <v>30</v>
      </c>
      <c r="J648" t="s">
        <v>31</v>
      </c>
      <c r="K648">
        <v>0</v>
      </c>
      <c r="L648" s="4">
        <v>12103</v>
      </c>
      <c r="M648">
        <v>0</v>
      </c>
      <c r="N648">
        <v>12103</v>
      </c>
      <c r="O648" t="s">
        <v>59</v>
      </c>
      <c r="P648">
        <v>3.2</v>
      </c>
      <c r="Q648">
        <v>92</v>
      </c>
      <c r="R648" t="str">
        <f>TEXT(Healthcare_Data[[#This Row],[Visit_Date]],"mmm")</f>
        <v>Aug</v>
      </c>
      <c r="S648">
        <f>MONTH(Healthcare_Data[[#This Row],[Visit_Date]])</f>
        <v>8</v>
      </c>
      <c r="T648" t="str">
        <f>IF(Healthcare_Data[[#This Row],[Final_Bill]]&gt;=50000,"High",IF(Healthcare_Data[[#This Row],[Final_Bill]]&gt;=20000,"Medium","low"))</f>
        <v>low</v>
      </c>
    </row>
    <row r="649" spans="1:20" x14ac:dyDescent="0.3">
      <c r="A649" t="s">
        <v>704</v>
      </c>
      <c r="B649" s="3">
        <v>45890</v>
      </c>
      <c r="C649" t="s">
        <v>44</v>
      </c>
      <c r="D649" t="s">
        <v>34</v>
      </c>
      <c r="E649" t="s">
        <v>52</v>
      </c>
      <c r="F649" t="s">
        <v>40</v>
      </c>
      <c r="G649">
        <v>56</v>
      </c>
      <c r="H649" t="s">
        <v>65</v>
      </c>
      <c r="I649" t="s">
        <v>63</v>
      </c>
      <c r="J649" t="s">
        <v>24</v>
      </c>
      <c r="K649">
        <v>8</v>
      </c>
      <c r="L649" s="4">
        <v>40103</v>
      </c>
      <c r="M649">
        <v>500</v>
      </c>
      <c r="N649">
        <v>39603</v>
      </c>
      <c r="O649" t="s">
        <v>25</v>
      </c>
      <c r="P649">
        <v>4.7</v>
      </c>
      <c r="Q649">
        <v>22</v>
      </c>
      <c r="R649" t="str">
        <f>TEXT(Healthcare_Data[[#This Row],[Visit_Date]],"mmm")</f>
        <v>Aug</v>
      </c>
      <c r="S649">
        <f>MONTH(Healthcare_Data[[#This Row],[Visit_Date]])</f>
        <v>8</v>
      </c>
      <c r="T649" t="str">
        <f>IF(Healthcare_Data[[#This Row],[Final_Bill]]&gt;=50000,"High",IF(Healthcare_Data[[#This Row],[Final_Bill]]&gt;=20000,"Medium","low"))</f>
        <v>Medium</v>
      </c>
    </row>
    <row r="650" spans="1:20" x14ac:dyDescent="0.3">
      <c r="A650" t="s">
        <v>705</v>
      </c>
      <c r="B650" s="3">
        <v>45890</v>
      </c>
      <c r="C650" t="s">
        <v>54</v>
      </c>
      <c r="D650" t="s">
        <v>39</v>
      </c>
      <c r="E650" t="s">
        <v>20</v>
      </c>
      <c r="F650" t="s">
        <v>21</v>
      </c>
      <c r="G650">
        <v>28</v>
      </c>
      <c r="H650" t="s">
        <v>41</v>
      </c>
      <c r="I650" t="s">
        <v>72</v>
      </c>
      <c r="J650" t="s">
        <v>31</v>
      </c>
      <c r="K650">
        <v>0</v>
      </c>
      <c r="L650" s="4">
        <v>5098</v>
      </c>
      <c r="M650">
        <v>0</v>
      </c>
      <c r="N650">
        <v>5098</v>
      </c>
      <c r="O650" t="s">
        <v>25</v>
      </c>
      <c r="P650">
        <v>4.5999999999999996</v>
      </c>
      <c r="Q650">
        <v>25</v>
      </c>
      <c r="R650" t="str">
        <f>TEXT(Healthcare_Data[[#This Row],[Visit_Date]],"mmm")</f>
        <v>Aug</v>
      </c>
      <c r="S650">
        <f>MONTH(Healthcare_Data[[#This Row],[Visit_Date]])</f>
        <v>8</v>
      </c>
      <c r="T650" t="str">
        <f>IF(Healthcare_Data[[#This Row],[Final_Bill]]&gt;=50000,"High",IF(Healthcare_Data[[#This Row],[Final_Bill]]&gt;=20000,"Medium","low"))</f>
        <v>low</v>
      </c>
    </row>
    <row r="651" spans="1:20" x14ac:dyDescent="0.3">
      <c r="A651" t="s">
        <v>706</v>
      </c>
      <c r="B651" s="3">
        <v>45890</v>
      </c>
      <c r="C651" t="s">
        <v>38</v>
      </c>
      <c r="D651" t="s">
        <v>28</v>
      </c>
      <c r="E651" t="s">
        <v>20</v>
      </c>
      <c r="F651" t="s">
        <v>40</v>
      </c>
      <c r="G651">
        <v>74</v>
      </c>
      <c r="H651" t="s">
        <v>22</v>
      </c>
      <c r="I651" t="s">
        <v>23</v>
      </c>
      <c r="J651" t="s">
        <v>24</v>
      </c>
      <c r="K651">
        <v>0</v>
      </c>
      <c r="L651" s="4">
        <v>6431</v>
      </c>
      <c r="M651">
        <v>1500</v>
      </c>
      <c r="N651">
        <v>4931</v>
      </c>
      <c r="O651" t="s">
        <v>25</v>
      </c>
      <c r="P651">
        <v>3.7</v>
      </c>
      <c r="Q651">
        <v>35</v>
      </c>
      <c r="R651" t="str">
        <f>TEXT(Healthcare_Data[[#This Row],[Visit_Date]],"mmm")</f>
        <v>Aug</v>
      </c>
      <c r="S651">
        <f>MONTH(Healthcare_Data[[#This Row],[Visit_Date]])</f>
        <v>8</v>
      </c>
      <c r="T651" t="str">
        <f>IF(Healthcare_Data[[#This Row],[Final_Bill]]&gt;=50000,"High",IF(Healthcare_Data[[#This Row],[Final_Bill]]&gt;=20000,"Medium","low"))</f>
        <v>low</v>
      </c>
    </row>
    <row r="652" spans="1:20" x14ac:dyDescent="0.3">
      <c r="A652" t="s">
        <v>707</v>
      </c>
      <c r="B652" s="3">
        <v>45890</v>
      </c>
      <c r="C652" t="s">
        <v>48</v>
      </c>
      <c r="D652" t="s">
        <v>19</v>
      </c>
      <c r="E652" t="s">
        <v>52</v>
      </c>
      <c r="F652" t="s">
        <v>21</v>
      </c>
      <c r="G652">
        <v>33</v>
      </c>
      <c r="H652" t="s">
        <v>115</v>
      </c>
      <c r="I652" t="s">
        <v>72</v>
      </c>
      <c r="J652" t="s">
        <v>24</v>
      </c>
      <c r="K652">
        <v>14</v>
      </c>
      <c r="L652" s="4">
        <v>37414</v>
      </c>
      <c r="M652">
        <v>2000</v>
      </c>
      <c r="N652">
        <v>35414</v>
      </c>
      <c r="O652" t="s">
        <v>25</v>
      </c>
      <c r="P652">
        <v>4.8</v>
      </c>
      <c r="Q652">
        <v>43</v>
      </c>
      <c r="R652" t="str">
        <f>TEXT(Healthcare_Data[[#This Row],[Visit_Date]],"mmm")</f>
        <v>Aug</v>
      </c>
      <c r="S652">
        <f>MONTH(Healthcare_Data[[#This Row],[Visit_Date]])</f>
        <v>8</v>
      </c>
      <c r="T652" t="str">
        <f>IF(Healthcare_Data[[#This Row],[Final_Bill]]&gt;=50000,"High",IF(Healthcare_Data[[#This Row],[Final_Bill]]&gt;=20000,"Medium","low"))</f>
        <v>Medium</v>
      </c>
    </row>
    <row r="653" spans="1:20" x14ac:dyDescent="0.3">
      <c r="A653" t="s">
        <v>708</v>
      </c>
      <c r="B653" s="3">
        <v>45891</v>
      </c>
      <c r="C653" t="s">
        <v>54</v>
      </c>
      <c r="D653" t="s">
        <v>39</v>
      </c>
      <c r="E653" t="s">
        <v>20</v>
      </c>
      <c r="F653" t="s">
        <v>21</v>
      </c>
      <c r="G653">
        <v>34</v>
      </c>
      <c r="H653" t="s">
        <v>115</v>
      </c>
      <c r="I653" t="s">
        <v>63</v>
      </c>
      <c r="J653" t="s">
        <v>24</v>
      </c>
      <c r="K653">
        <v>0</v>
      </c>
      <c r="L653" s="4">
        <v>9500</v>
      </c>
      <c r="M653">
        <v>1000</v>
      </c>
      <c r="N653">
        <v>8500</v>
      </c>
      <c r="O653" t="s">
        <v>25</v>
      </c>
      <c r="P653">
        <v>2.6</v>
      </c>
      <c r="Q653">
        <v>116</v>
      </c>
      <c r="R653" t="str">
        <f>TEXT(Healthcare_Data[[#This Row],[Visit_Date]],"mmm")</f>
        <v>Aug</v>
      </c>
      <c r="S653">
        <f>MONTH(Healthcare_Data[[#This Row],[Visit_Date]])</f>
        <v>8</v>
      </c>
      <c r="T653" t="str">
        <f>IF(Healthcare_Data[[#This Row],[Final_Bill]]&gt;=50000,"High",IF(Healthcare_Data[[#This Row],[Final_Bill]]&gt;=20000,"Medium","low"))</f>
        <v>low</v>
      </c>
    </row>
    <row r="654" spans="1:20" x14ac:dyDescent="0.3">
      <c r="A654" t="s">
        <v>709</v>
      </c>
      <c r="B654" s="3">
        <v>45892</v>
      </c>
      <c r="C654" t="s">
        <v>48</v>
      </c>
      <c r="D654" t="s">
        <v>34</v>
      </c>
      <c r="E654" t="s">
        <v>20</v>
      </c>
      <c r="F654" t="s">
        <v>40</v>
      </c>
      <c r="G654">
        <v>56</v>
      </c>
      <c r="H654" t="s">
        <v>35</v>
      </c>
      <c r="I654" t="s">
        <v>30</v>
      </c>
      <c r="J654" t="s">
        <v>24</v>
      </c>
      <c r="K654">
        <v>0</v>
      </c>
      <c r="L654" s="4">
        <v>4546</v>
      </c>
      <c r="M654">
        <v>0</v>
      </c>
      <c r="N654">
        <v>4546</v>
      </c>
      <c r="O654" t="s">
        <v>25</v>
      </c>
      <c r="P654">
        <v>3.6</v>
      </c>
      <c r="Q654">
        <v>86</v>
      </c>
      <c r="R654" t="str">
        <f>TEXT(Healthcare_Data[[#This Row],[Visit_Date]],"mmm")</f>
        <v>Aug</v>
      </c>
      <c r="S654">
        <f>MONTH(Healthcare_Data[[#This Row],[Visit_Date]])</f>
        <v>8</v>
      </c>
      <c r="T654" t="str">
        <f>IF(Healthcare_Data[[#This Row],[Final_Bill]]&gt;=50000,"High",IF(Healthcare_Data[[#This Row],[Final_Bill]]&gt;=20000,"Medium","low"))</f>
        <v>low</v>
      </c>
    </row>
    <row r="655" spans="1:20" x14ac:dyDescent="0.3">
      <c r="A655" t="s">
        <v>710</v>
      </c>
      <c r="B655" s="3">
        <v>45892</v>
      </c>
      <c r="C655" t="s">
        <v>50</v>
      </c>
      <c r="D655" t="s">
        <v>34</v>
      </c>
      <c r="E655" t="s">
        <v>52</v>
      </c>
      <c r="F655" t="s">
        <v>21</v>
      </c>
      <c r="G655">
        <v>20</v>
      </c>
      <c r="H655" t="s">
        <v>56</v>
      </c>
      <c r="I655" t="s">
        <v>30</v>
      </c>
      <c r="J655" t="s">
        <v>31</v>
      </c>
      <c r="K655">
        <v>6</v>
      </c>
      <c r="L655" s="4">
        <v>27213</v>
      </c>
      <c r="M655">
        <v>500</v>
      </c>
      <c r="N655">
        <v>26713</v>
      </c>
      <c r="O655" t="s">
        <v>32</v>
      </c>
      <c r="P655">
        <v>4.9000000000000004</v>
      </c>
      <c r="Q655">
        <v>6</v>
      </c>
      <c r="R655" t="str">
        <f>TEXT(Healthcare_Data[[#This Row],[Visit_Date]],"mmm")</f>
        <v>Aug</v>
      </c>
      <c r="S655">
        <f>MONTH(Healthcare_Data[[#This Row],[Visit_Date]])</f>
        <v>8</v>
      </c>
      <c r="T655" t="str">
        <f>IF(Healthcare_Data[[#This Row],[Final_Bill]]&gt;=50000,"High",IF(Healthcare_Data[[#This Row],[Final_Bill]]&gt;=20000,"Medium","low"))</f>
        <v>Medium</v>
      </c>
    </row>
    <row r="656" spans="1:20" x14ac:dyDescent="0.3">
      <c r="A656" t="s">
        <v>711</v>
      </c>
      <c r="B656" s="3">
        <v>45893</v>
      </c>
      <c r="C656" t="s">
        <v>38</v>
      </c>
      <c r="D656" t="s">
        <v>34</v>
      </c>
      <c r="E656" t="s">
        <v>20</v>
      </c>
      <c r="F656" t="s">
        <v>21</v>
      </c>
      <c r="G656">
        <v>29</v>
      </c>
      <c r="H656" t="s">
        <v>35</v>
      </c>
      <c r="I656" t="s">
        <v>30</v>
      </c>
      <c r="J656" t="s">
        <v>24</v>
      </c>
      <c r="K656">
        <v>0</v>
      </c>
      <c r="L656" s="4">
        <v>16359</v>
      </c>
      <c r="M656">
        <v>1000</v>
      </c>
      <c r="N656">
        <v>15359</v>
      </c>
      <c r="O656" t="s">
        <v>25</v>
      </c>
      <c r="P656">
        <v>4.0999999999999996</v>
      </c>
      <c r="Q656">
        <v>37</v>
      </c>
      <c r="R656" t="str">
        <f>TEXT(Healthcare_Data[[#This Row],[Visit_Date]],"mmm")</f>
        <v>Aug</v>
      </c>
      <c r="S656">
        <f>MONTH(Healthcare_Data[[#This Row],[Visit_Date]])</f>
        <v>8</v>
      </c>
      <c r="T656" t="str">
        <f>IF(Healthcare_Data[[#This Row],[Final_Bill]]&gt;=50000,"High",IF(Healthcare_Data[[#This Row],[Final_Bill]]&gt;=20000,"Medium","low"))</f>
        <v>low</v>
      </c>
    </row>
    <row r="657" spans="1:20" x14ac:dyDescent="0.3">
      <c r="A657" t="s">
        <v>712</v>
      </c>
      <c r="B657" s="3">
        <v>45893</v>
      </c>
      <c r="C657" t="s">
        <v>54</v>
      </c>
      <c r="D657" t="s">
        <v>19</v>
      </c>
      <c r="E657" t="s">
        <v>20</v>
      </c>
      <c r="F657" t="s">
        <v>21</v>
      </c>
      <c r="G657">
        <v>33</v>
      </c>
      <c r="H657" t="s">
        <v>35</v>
      </c>
      <c r="I657" t="s">
        <v>63</v>
      </c>
      <c r="J657" t="s">
        <v>24</v>
      </c>
      <c r="K657">
        <v>0</v>
      </c>
      <c r="L657" s="4">
        <v>11871</v>
      </c>
      <c r="M657">
        <v>0</v>
      </c>
      <c r="N657">
        <v>11871</v>
      </c>
      <c r="O657" t="s">
        <v>25</v>
      </c>
      <c r="P657">
        <v>2.8</v>
      </c>
      <c r="Q657">
        <v>98</v>
      </c>
      <c r="R657" t="str">
        <f>TEXT(Healthcare_Data[[#This Row],[Visit_Date]],"mmm")</f>
        <v>Aug</v>
      </c>
      <c r="S657">
        <f>MONTH(Healthcare_Data[[#This Row],[Visit_Date]])</f>
        <v>8</v>
      </c>
      <c r="T657" t="str">
        <f>IF(Healthcare_Data[[#This Row],[Final_Bill]]&gt;=50000,"High",IF(Healthcare_Data[[#This Row],[Final_Bill]]&gt;=20000,"Medium","low"))</f>
        <v>low</v>
      </c>
    </row>
    <row r="658" spans="1:20" x14ac:dyDescent="0.3">
      <c r="A658" t="s">
        <v>713</v>
      </c>
      <c r="B658" s="3">
        <v>45893</v>
      </c>
      <c r="C658" t="s">
        <v>50</v>
      </c>
      <c r="D658" t="s">
        <v>19</v>
      </c>
      <c r="E658" t="s">
        <v>20</v>
      </c>
      <c r="F658" t="s">
        <v>40</v>
      </c>
      <c r="G658">
        <v>32</v>
      </c>
      <c r="H658" t="s">
        <v>22</v>
      </c>
      <c r="I658" t="s">
        <v>42</v>
      </c>
      <c r="J658" t="s">
        <v>36</v>
      </c>
      <c r="K658">
        <v>0</v>
      </c>
      <c r="L658" s="4">
        <v>10453</v>
      </c>
      <c r="M658">
        <v>0</v>
      </c>
      <c r="N658">
        <v>10453</v>
      </c>
      <c r="O658" t="s">
        <v>25</v>
      </c>
      <c r="P658">
        <v>3.7</v>
      </c>
      <c r="Q658">
        <v>10</v>
      </c>
      <c r="R658" t="str">
        <f>TEXT(Healthcare_Data[[#This Row],[Visit_Date]],"mmm")</f>
        <v>Aug</v>
      </c>
      <c r="S658">
        <f>MONTH(Healthcare_Data[[#This Row],[Visit_Date]])</f>
        <v>8</v>
      </c>
      <c r="T658" t="str">
        <f>IF(Healthcare_Data[[#This Row],[Final_Bill]]&gt;=50000,"High",IF(Healthcare_Data[[#This Row],[Final_Bill]]&gt;=20000,"Medium","low"))</f>
        <v>low</v>
      </c>
    </row>
    <row r="659" spans="1:20" x14ac:dyDescent="0.3">
      <c r="A659" t="s">
        <v>714</v>
      </c>
      <c r="B659" s="3">
        <v>45894</v>
      </c>
      <c r="C659" t="s">
        <v>18</v>
      </c>
      <c r="D659" t="s">
        <v>39</v>
      </c>
      <c r="E659" t="s">
        <v>20</v>
      </c>
      <c r="F659" t="s">
        <v>40</v>
      </c>
      <c r="G659">
        <v>21</v>
      </c>
      <c r="H659" t="s">
        <v>35</v>
      </c>
      <c r="I659" t="s">
        <v>63</v>
      </c>
      <c r="J659" t="s">
        <v>36</v>
      </c>
      <c r="K659">
        <v>0</v>
      </c>
      <c r="L659" s="4">
        <v>8016</v>
      </c>
      <c r="M659">
        <v>500</v>
      </c>
      <c r="N659">
        <v>7516</v>
      </c>
      <c r="O659" t="s">
        <v>59</v>
      </c>
      <c r="P659">
        <v>2.6</v>
      </c>
      <c r="Q659">
        <v>110</v>
      </c>
      <c r="R659" t="str">
        <f>TEXT(Healthcare_Data[[#This Row],[Visit_Date]],"mmm")</f>
        <v>Aug</v>
      </c>
      <c r="S659">
        <f>MONTH(Healthcare_Data[[#This Row],[Visit_Date]])</f>
        <v>8</v>
      </c>
      <c r="T659" t="str">
        <f>IF(Healthcare_Data[[#This Row],[Final_Bill]]&gt;=50000,"High",IF(Healthcare_Data[[#This Row],[Final_Bill]]&gt;=20000,"Medium","low"))</f>
        <v>low</v>
      </c>
    </row>
    <row r="660" spans="1:20" x14ac:dyDescent="0.3">
      <c r="A660" t="s">
        <v>715</v>
      </c>
      <c r="B660" s="3">
        <v>45894</v>
      </c>
      <c r="C660" t="s">
        <v>54</v>
      </c>
      <c r="D660" t="s">
        <v>28</v>
      </c>
      <c r="E660" t="s">
        <v>54</v>
      </c>
      <c r="F660" t="s">
        <v>40</v>
      </c>
      <c r="G660">
        <v>45</v>
      </c>
      <c r="H660" t="s">
        <v>29</v>
      </c>
      <c r="I660" t="s">
        <v>57</v>
      </c>
      <c r="J660" t="s">
        <v>24</v>
      </c>
      <c r="K660">
        <v>0</v>
      </c>
      <c r="L660" s="4">
        <v>21932</v>
      </c>
      <c r="M660">
        <v>2000</v>
      </c>
      <c r="N660">
        <v>19932</v>
      </c>
      <c r="O660" t="s">
        <v>59</v>
      </c>
      <c r="P660">
        <v>2.7</v>
      </c>
      <c r="Q660">
        <v>102</v>
      </c>
      <c r="R660" t="str">
        <f>TEXT(Healthcare_Data[[#This Row],[Visit_Date]],"mmm")</f>
        <v>Aug</v>
      </c>
      <c r="S660">
        <f>MONTH(Healthcare_Data[[#This Row],[Visit_Date]])</f>
        <v>8</v>
      </c>
      <c r="T660" t="str">
        <f>IF(Healthcare_Data[[#This Row],[Final_Bill]]&gt;=50000,"High",IF(Healthcare_Data[[#This Row],[Final_Bill]]&gt;=20000,"Medium","low"))</f>
        <v>low</v>
      </c>
    </row>
    <row r="661" spans="1:20" x14ac:dyDescent="0.3">
      <c r="A661" t="s">
        <v>716</v>
      </c>
      <c r="B661" s="3">
        <v>45894</v>
      </c>
      <c r="C661" t="s">
        <v>18</v>
      </c>
      <c r="D661" t="s">
        <v>34</v>
      </c>
      <c r="E661" t="s">
        <v>20</v>
      </c>
      <c r="F661" t="s">
        <v>40</v>
      </c>
      <c r="G661">
        <v>59</v>
      </c>
      <c r="H661" t="s">
        <v>22</v>
      </c>
      <c r="I661" t="s">
        <v>69</v>
      </c>
      <c r="J661" t="s">
        <v>24</v>
      </c>
      <c r="K661">
        <v>0</v>
      </c>
      <c r="L661" s="4">
        <v>18028</v>
      </c>
      <c r="M661">
        <v>0</v>
      </c>
      <c r="N661">
        <v>18028</v>
      </c>
      <c r="O661" t="s">
        <v>25</v>
      </c>
      <c r="P661">
        <v>3.1</v>
      </c>
      <c r="Q661">
        <v>105</v>
      </c>
      <c r="R661" t="str">
        <f>TEXT(Healthcare_Data[[#This Row],[Visit_Date]],"mmm")</f>
        <v>Aug</v>
      </c>
      <c r="S661">
        <f>MONTH(Healthcare_Data[[#This Row],[Visit_Date]])</f>
        <v>8</v>
      </c>
      <c r="T661" t="str">
        <f>IF(Healthcare_Data[[#This Row],[Final_Bill]]&gt;=50000,"High",IF(Healthcare_Data[[#This Row],[Final_Bill]]&gt;=20000,"Medium","low"))</f>
        <v>low</v>
      </c>
    </row>
    <row r="662" spans="1:20" x14ac:dyDescent="0.3">
      <c r="A662" t="s">
        <v>717</v>
      </c>
      <c r="B662" s="3">
        <v>45895</v>
      </c>
      <c r="C662" t="s">
        <v>50</v>
      </c>
      <c r="D662" t="s">
        <v>28</v>
      </c>
      <c r="E662" t="s">
        <v>52</v>
      </c>
      <c r="F662" t="s">
        <v>21</v>
      </c>
      <c r="G662">
        <v>38</v>
      </c>
      <c r="H662" t="s">
        <v>56</v>
      </c>
      <c r="I662" t="s">
        <v>30</v>
      </c>
      <c r="J662" t="s">
        <v>31</v>
      </c>
      <c r="K662">
        <v>9</v>
      </c>
      <c r="L662" s="4">
        <v>58407</v>
      </c>
      <c r="M662">
        <v>0</v>
      </c>
      <c r="N662">
        <v>58407</v>
      </c>
      <c r="O662" t="s">
        <v>25</v>
      </c>
      <c r="P662">
        <v>3.7</v>
      </c>
      <c r="Q662">
        <v>76</v>
      </c>
      <c r="R662" t="str">
        <f>TEXT(Healthcare_Data[[#This Row],[Visit_Date]],"mmm")</f>
        <v>Aug</v>
      </c>
      <c r="S662">
        <f>MONTH(Healthcare_Data[[#This Row],[Visit_Date]])</f>
        <v>8</v>
      </c>
      <c r="T662" t="str">
        <f>IF(Healthcare_Data[[#This Row],[Final_Bill]]&gt;=50000,"High",IF(Healthcare_Data[[#This Row],[Final_Bill]]&gt;=20000,"Medium","low"))</f>
        <v>High</v>
      </c>
    </row>
    <row r="663" spans="1:20" x14ac:dyDescent="0.3">
      <c r="A663" t="s">
        <v>718</v>
      </c>
      <c r="B663" s="3">
        <v>45895</v>
      </c>
      <c r="C663" t="s">
        <v>50</v>
      </c>
      <c r="D663" t="s">
        <v>39</v>
      </c>
      <c r="E663" t="s">
        <v>52</v>
      </c>
      <c r="F663" t="s">
        <v>40</v>
      </c>
      <c r="G663">
        <v>75</v>
      </c>
      <c r="H663" t="s">
        <v>22</v>
      </c>
      <c r="I663" t="s">
        <v>57</v>
      </c>
      <c r="J663" t="s">
        <v>24</v>
      </c>
      <c r="K663">
        <v>7</v>
      </c>
      <c r="L663" s="4">
        <v>58054</v>
      </c>
      <c r="M663">
        <v>1000</v>
      </c>
      <c r="N663">
        <v>57054</v>
      </c>
      <c r="O663" t="s">
        <v>25</v>
      </c>
      <c r="P663">
        <v>3.2</v>
      </c>
      <c r="Q663">
        <v>10</v>
      </c>
      <c r="R663" t="str">
        <f>TEXT(Healthcare_Data[[#This Row],[Visit_Date]],"mmm")</f>
        <v>Aug</v>
      </c>
      <c r="S663">
        <f>MONTH(Healthcare_Data[[#This Row],[Visit_Date]])</f>
        <v>8</v>
      </c>
      <c r="T663" t="str">
        <f>IF(Healthcare_Data[[#This Row],[Final_Bill]]&gt;=50000,"High",IF(Healthcare_Data[[#This Row],[Final_Bill]]&gt;=20000,"Medium","low"))</f>
        <v>High</v>
      </c>
    </row>
    <row r="664" spans="1:20" x14ac:dyDescent="0.3">
      <c r="A664" t="s">
        <v>719</v>
      </c>
      <c r="B664" s="3">
        <v>45895</v>
      </c>
      <c r="C664" t="s">
        <v>18</v>
      </c>
      <c r="D664" t="s">
        <v>28</v>
      </c>
      <c r="E664" t="s">
        <v>20</v>
      </c>
      <c r="F664" t="s">
        <v>40</v>
      </c>
      <c r="G664">
        <v>46</v>
      </c>
      <c r="H664" t="s">
        <v>41</v>
      </c>
      <c r="I664" t="s">
        <v>57</v>
      </c>
      <c r="J664" t="s">
        <v>36</v>
      </c>
      <c r="K664">
        <v>0</v>
      </c>
      <c r="L664" s="4">
        <v>7435</v>
      </c>
      <c r="M664">
        <v>500</v>
      </c>
      <c r="N664">
        <v>6935</v>
      </c>
      <c r="O664" t="s">
        <v>32</v>
      </c>
      <c r="P664">
        <v>2.8</v>
      </c>
      <c r="Q664">
        <v>43</v>
      </c>
      <c r="R664" t="str">
        <f>TEXT(Healthcare_Data[[#This Row],[Visit_Date]],"mmm")</f>
        <v>Aug</v>
      </c>
      <c r="S664">
        <f>MONTH(Healthcare_Data[[#This Row],[Visit_Date]])</f>
        <v>8</v>
      </c>
      <c r="T664" t="str">
        <f>IF(Healthcare_Data[[#This Row],[Final_Bill]]&gt;=50000,"High",IF(Healthcare_Data[[#This Row],[Final_Bill]]&gt;=20000,"Medium","low"))</f>
        <v>low</v>
      </c>
    </row>
    <row r="665" spans="1:20" x14ac:dyDescent="0.3">
      <c r="A665" t="s">
        <v>720</v>
      </c>
      <c r="B665" s="3">
        <v>45896</v>
      </c>
      <c r="C665" t="s">
        <v>54</v>
      </c>
      <c r="D665" t="s">
        <v>51</v>
      </c>
      <c r="E665" t="s">
        <v>20</v>
      </c>
      <c r="F665" t="s">
        <v>21</v>
      </c>
      <c r="G665">
        <v>76</v>
      </c>
      <c r="H665" t="s">
        <v>46</v>
      </c>
      <c r="I665" t="s">
        <v>72</v>
      </c>
      <c r="J665" t="s">
        <v>31</v>
      </c>
      <c r="K665">
        <v>0</v>
      </c>
      <c r="L665" s="4">
        <v>17380</v>
      </c>
      <c r="M665">
        <v>1000</v>
      </c>
      <c r="N665">
        <v>16380</v>
      </c>
      <c r="O665" t="s">
        <v>25</v>
      </c>
      <c r="P665">
        <v>2.8</v>
      </c>
      <c r="Q665">
        <v>14</v>
      </c>
      <c r="R665" t="str">
        <f>TEXT(Healthcare_Data[[#This Row],[Visit_Date]],"mmm")</f>
        <v>Aug</v>
      </c>
      <c r="S665">
        <f>MONTH(Healthcare_Data[[#This Row],[Visit_Date]])</f>
        <v>8</v>
      </c>
      <c r="T665" t="str">
        <f>IF(Healthcare_Data[[#This Row],[Final_Bill]]&gt;=50000,"High",IF(Healthcare_Data[[#This Row],[Final_Bill]]&gt;=20000,"Medium","low"))</f>
        <v>low</v>
      </c>
    </row>
    <row r="666" spans="1:20" x14ac:dyDescent="0.3">
      <c r="A666" t="s">
        <v>721</v>
      </c>
      <c r="B666" s="3">
        <v>45896</v>
      </c>
      <c r="C666" t="s">
        <v>18</v>
      </c>
      <c r="D666" t="s">
        <v>34</v>
      </c>
      <c r="E666" t="s">
        <v>20</v>
      </c>
      <c r="F666" t="s">
        <v>21</v>
      </c>
      <c r="G666">
        <v>39</v>
      </c>
      <c r="H666" t="s">
        <v>56</v>
      </c>
      <c r="I666" t="s">
        <v>61</v>
      </c>
      <c r="J666" t="s">
        <v>58</v>
      </c>
      <c r="K666">
        <v>0</v>
      </c>
      <c r="L666" s="4">
        <v>14112</v>
      </c>
      <c r="M666">
        <v>0</v>
      </c>
      <c r="N666">
        <v>14112</v>
      </c>
      <c r="O666" t="s">
        <v>25</v>
      </c>
      <c r="P666">
        <v>4.2</v>
      </c>
      <c r="Q666">
        <v>68</v>
      </c>
      <c r="R666" t="str">
        <f>TEXT(Healthcare_Data[[#This Row],[Visit_Date]],"mmm")</f>
        <v>Aug</v>
      </c>
      <c r="S666">
        <f>MONTH(Healthcare_Data[[#This Row],[Visit_Date]])</f>
        <v>8</v>
      </c>
      <c r="T666" t="str">
        <f>IF(Healthcare_Data[[#This Row],[Final_Bill]]&gt;=50000,"High",IF(Healthcare_Data[[#This Row],[Final_Bill]]&gt;=20000,"Medium","low"))</f>
        <v>low</v>
      </c>
    </row>
    <row r="667" spans="1:20" x14ac:dyDescent="0.3">
      <c r="A667" t="s">
        <v>722</v>
      </c>
      <c r="B667" s="3">
        <v>45896</v>
      </c>
      <c r="C667" t="s">
        <v>44</v>
      </c>
      <c r="D667" t="s">
        <v>34</v>
      </c>
      <c r="E667" t="s">
        <v>20</v>
      </c>
      <c r="F667" t="s">
        <v>40</v>
      </c>
      <c r="G667">
        <v>22</v>
      </c>
      <c r="H667" t="s">
        <v>46</v>
      </c>
      <c r="I667" t="s">
        <v>57</v>
      </c>
      <c r="J667" t="s">
        <v>36</v>
      </c>
      <c r="K667">
        <v>0</v>
      </c>
      <c r="L667" s="4">
        <v>4939</v>
      </c>
      <c r="M667">
        <v>0</v>
      </c>
      <c r="N667">
        <v>4939</v>
      </c>
      <c r="O667" t="s">
        <v>25</v>
      </c>
      <c r="P667">
        <v>2.9</v>
      </c>
      <c r="Q667">
        <v>45</v>
      </c>
      <c r="R667" t="str">
        <f>TEXT(Healthcare_Data[[#This Row],[Visit_Date]],"mmm")</f>
        <v>Aug</v>
      </c>
      <c r="S667">
        <f>MONTH(Healthcare_Data[[#This Row],[Visit_Date]])</f>
        <v>8</v>
      </c>
      <c r="T667" t="str">
        <f>IF(Healthcare_Data[[#This Row],[Final_Bill]]&gt;=50000,"High",IF(Healthcare_Data[[#This Row],[Final_Bill]]&gt;=20000,"Medium","low"))</f>
        <v>low</v>
      </c>
    </row>
    <row r="668" spans="1:20" x14ac:dyDescent="0.3">
      <c r="A668" t="s">
        <v>723</v>
      </c>
      <c r="B668" s="3">
        <v>45896</v>
      </c>
      <c r="C668" t="s">
        <v>54</v>
      </c>
      <c r="D668" t="s">
        <v>34</v>
      </c>
      <c r="E668" t="s">
        <v>20</v>
      </c>
      <c r="F668" t="s">
        <v>40</v>
      </c>
      <c r="G668">
        <v>18</v>
      </c>
      <c r="H668" t="s">
        <v>46</v>
      </c>
      <c r="I668" t="s">
        <v>30</v>
      </c>
      <c r="J668" t="s">
        <v>24</v>
      </c>
      <c r="K668">
        <v>0</v>
      </c>
      <c r="L668" s="4">
        <v>7290</v>
      </c>
      <c r="M668">
        <v>1500</v>
      </c>
      <c r="N668">
        <v>5790</v>
      </c>
      <c r="O668" t="s">
        <v>25</v>
      </c>
      <c r="P668">
        <v>3.3</v>
      </c>
      <c r="Q668">
        <v>97</v>
      </c>
      <c r="R668" t="str">
        <f>TEXT(Healthcare_Data[[#This Row],[Visit_Date]],"mmm")</f>
        <v>Aug</v>
      </c>
      <c r="S668">
        <f>MONTH(Healthcare_Data[[#This Row],[Visit_Date]])</f>
        <v>8</v>
      </c>
      <c r="T668" t="str">
        <f>IF(Healthcare_Data[[#This Row],[Final_Bill]]&gt;=50000,"High",IF(Healthcare_Data[[#This Row],[Final_Bill]]&gt;=20000,"Medium","low"))</f>
        <v>low</v>
      </c>
    </row>
    <row r="669" spans="1:20" x14ac:dyDescent="0.3">
      <c r="A669" t="s">
        <v>724</v>
      </c>
      <c r="B669" s="3">
        <v>45896</v>
      </c>
      <c r="C669" t="s">
        <v>18</v>
      </c>
      <c r="D669" t="s">
        <v>28</v>
      </c>
      <c r="E669" t="s">
        <v>20</v>
      </c>
      <c r="F669" t="s">
        <v>40</v>
      </c>
      <c r="G669">
        <v>50</v>
      </c>
      <c r="H669" t="s">
        <v>56</v>
      </c>
      <c r="I669" t="s">
        <v>61</v>
      </c>
      <c r="J669" t="s">
        <v>31</v>
      </c>
      <c r="K669">
        <v>0</v>
      </c>
      <c r="L669" s="4">
        <v>15693</v>
      </c>
      <c r="M669">
        <v>500</v>
      </c>
      <c r="N669">
        <v>15193</v>
      </c>
      <c r="O669" t="s">
        <v>59</v>
      </c>
      <c r="P669">
        <v>2.9</v>
      </c>
      <c r="Q669">
        <v>66</v>
      </c>
      <c r="R669" t="str">
        <f>TEXT(Healthcare_Data[[#This Row],[Visit_Date]],"mmm")</f>
        <v>Aug</v>
      </c>
      <c r="S669">
        <f>MONTH(Healthcare_Data[[#This Row],[Visit_Date]])</f>
        <v>8</v>
      </c>
      <c r="T669" t="str">
        <f>IF(Healthcare_Data[[#This Row],[Final_Bill]]&gt;=50000,"High",IF(Healthcare_Data[[#This Row],[Final_Bill]]&gt;=20000,"Medium","low"))</f>
        <v>low</v>
      </c>
    </row>
    <row r="670" spans="1:20" x14ac:dyDescent="0.3">
      <c r="A670" t="s">
        <v>725</v>
      </c>
      <c r="B670" s="3">
        <v>45897</v>
      </c>
      <c r="C670" t="s">
        <v>50</v>
      </c>
      <c r="D670" t="s">
        <v>39</v>
      </c>
      <c r="E670" t="s">
        <v>20</v>
      </c>
      <c r="F670" t="s">
        <v>21</v>
      </c>
      <c r="G670">
        <v>31</v>
      </c>
      <c r="H670" t="s">
        <v>22</v>
      </c>
      <c r="I670" t="s">
        <v>72</v>
      </c>
      <c r="J670" t="s">
        <v>24</v>
      </c>
      <c r="K670">
        <v>0</v>
      </c>
      <c r="L670" s="4">
        <v>19318</v>
      </c>
      <c r="M670">
        <v>0</v>
      </c>
      <c r="N670">
        <v>19318</v>
      </c>
      <c r="O670" t="s">
        <v>25</v>
      </c>
      <c r="P670">
        <v>4.0999999999999996</v>
      </c>
      <c r="Q670">
        <v>80</v>
      </c>
      <c r="R670" t="str">
        <f>TEXT(Healthcare_Data[[#This Row],[Visit_Date]],"mmm")</f>
        <v>Aug</v>
      </c>
      <c r="S670">
        <f>MONTH(Healthcare_Data[[#This Row],[Visit_Date]])</f>
        <v>8</v>
      </c>
      <c r="T670" t="str">
        <f>IF(Healthcare_Data[[#This Row],[Final_Bill]]&gt;=50000,"High",IF(Healthcare_Data[[#This Row],[Final_Bill]]&gt;=20000,"Medium","low"))</f>
        <v>low</v>
      </c>
    </row>
    <row r="671" spans="1:20" x14ac:dyDescent="0.3">
      <c r="A671" t="s">
        <v>726</v>
      </c>
      <c r="B671" s="3">
        <v>45897</v>
      </c>
      <c r="C671" t="s">
        <v>50</v>
      </c>
      <c r="D671" t="s">
        <v>39</v>
      </c>
      <c r="E671" t="s">
        <v>20</v>
      </c>
      <c r="F671" t="s">
        <v>40</v>
      </c>
      <c r="G671">
        <v>61</v>
      </c>
      <c r="H671" t="s">
        <v>56</v>
      </c>
      <c r="I671" t="s">
        <v>57</v>
      </c>
      <c r="J671" t="s">
        <v>31</v>
      </c>
      <c r="K671">
        <v>0</v>
      </c>
      <c r="L671" s="4">
        <v>7625</v>
      </c>
      <c r="M671">
        <v>0</v>
      </c>
      <c r="N671">
        <v>7625</v>
      </c>
      <c r="O671" t="s">
        <v>32</v>
      </c>
      <c r="P671">
        <v>3.3</v>
      </c>
      <c r="Q671">
        <v>66</v>
      </c>
      <c r="R671" t="str">
        <f>TEXT(Healthcare_Data[[#This Row],[Visit_Date]],"mmm")</f>
        <v>Aug</v>
      </c>
      <c r="S671">
        <f>MONTH(Healthcare_Data[[#This Row],[Visit_Date]])</f>
        <v>8</v>
      </c>
      <c r="T671" t="str">
        <f>IF(Healthcare_Data[[#This Row],[Final_Bill]]&gt;=50000,"High",IF(Healthcare_Data[[#This Row],[Final_Bill]]&gt;=20000,"Medium","low"))</f>
        <v>low</v>
      </c>
    </row>
    <row r="672" spans="1:20" x14ac:dyDescent="0.3">
      <c r="A672" t="s">
        <v>727</v>
      </c>
      <c r="B672" s="3">
        <v>45897</v>
      </c>
      <c r="C672" t="s">
        <v>50</v>
      </c>
      <c r="D672" t="s">
        <v>51</v>
      </c>
      <c r="E672" t="s">
        <v>52</v>
      </c>
      <c r="F672" t="s">
        <v>21</v>
      </c>
      <c r="G672">
        <v>28</v>
      </c>
      <c r="H672" t="s">
        <v>56</v>
      </c>
      <c r="I672" t="s">
        <v>61</v>
      </c>
      <c r="J672" t="s">
        <v>24</v>
      </c>
      <c r="K672">
        <v>9</v>
      </c>
      <c r="L672" s="4">
        <v>71977</v>
      </c>
      <c r="M672">
        <v>2000</v>
      </c>
      <c r="N672">
        <v>69977</v>
      </c>
      <c r="O672" t="s">
        <v>25</v>
      </c>
      <c r="P672">
        <v>3.6</v>
      </c>
      <c r="Q672">
        <v>39</v>
      </c>
      <c r="R672" t="str">
        <f>TEXT(Healthcare_Data[[#This Row],[Visit_Date]],"mmm")</f>
        <v>Aug</v>
      </c>
      <c r="S672">
        <f>MONTH(Healthcare_Data[[#This Row],[Visit_Date]])</f>
        <v>8</v>
      </c>
      <c r="T672" t="str">
        <f>IF(Healthcare_Data[[#This Row],[Final_Bill]]&gt;=50000,"High",IF(Healthcare_Data[[#This Row],[Final_Bill]]&gt;=20000,"Medium","low"))</f>
        <v>High</v>
      </c>
    </row>
    <row r="673" spans="1:20" x14ac:dyDescent="0.3">
      <c r="A673" t="s">
        <v>728</v>
      </c>
      <c r="B673" s="3">
        <v>45898</v>
      </c>
      <c r="C673" t="s">
        <v>27</v>
      </c>
      <c r="D673" t="s">
        <v>28</v>
      </c>
      <c r="E673" t="s">
        <v>52</v>
      </c>
      <c r="F673" t="s">
        <v>21</v>
      </c>
      <c r="G673">
        <v>68</v>
      </c>
      <c r="H673" t="s">
        <v>115</v>
      </c>
      <c r="I673" t="s">
        <v>69</v>
      </c>
      <c r="J673" t="s">
        <v>24</v>
      </c>
      <c r="K673">
        <v>4</v>
      </c>
      <c r="L673" s="4">
        <v>57465</v>
      </c>
      <c r="M673">
        <v>0</v>
      </c>
      <c r="N673">
        <v>57465</v>
      </c>
      <c r="O673" t="s">
        <v>32</v>
      </c>
      <c r="P673">
        <v>2.5</v>
      </c>
      <c r="Q673">
        <v>50</v>
      </c>
      <c r="R673" t="str">
        <f>TEXT(Healthcare_Data[[#This Row],[Visit_Date]],"mmm")</f>
        <v>Aug</v>
      </c>
      <c r="S673">
        <f>MONTH(Healthcare_Data[[#This Row],[Visit_Date]])</f>
        <v>8</v>
      </c>
      <c r="T673" t="str">
        <f>IF(Healthcare_Data[[#This Row],[Final_Bill]]&gt;=50000,"High",IF(Healthcare_Data[[#This Row],[Final_Bill]]&gt;=20000,"Medium","low"))</f>
        <v>High</v>
      </c>
    </row>
    <row r="674" spans="1:20" x14ac:dyDescent="0.3">
      <c r="A674" t="s">
        <v>729</v>
      </c>
      <c r="B674" s="3">
        <v>45899</v>
      </c>
      <c r="C674" t="s">
        <v>38</v>
      </c>
      <c r="D674" t="s">
        <v>19</v>
      </c>
      <c r="E674" t="s">
        <v>52</v>
      </c>
      <c r="F674" t="s">
        <v>40</v>
      </c>
      <c r="G674">
        <v>61</v>
      </c>
      <c r="H674" t="s">
        <v>29</v>
      </c>
      <c r="I674" t="s">
        <v>23</v>
      </c>
      <c r="J674" t="s">
        <v>58</v>
      </c>
      <c r="K674">
        <v>7</v>
      </c>
      <c r="L674" s="4">
        <v>72320</v>
      </c>
      <c r="M674">
        <v>1000</v>
      </c>
      <c r="N674">
        <v>71320</v>
      </c>
      <c r="O674" t="s">
        <v>25</v>
      </c>
      <c r="P674">
        <v>4.3</v>
      </c>
      <c r="Q674">
        <v>12</v>
      </c>
      <c r="R674" t="str">
        <f>TEXT(Healthcare_Data[[#This Row],[Visit_Date]],"mmm")</f>
        <v>Aug</v>
      </c>
      <c r="S674">
        <f>MONTH(Healthcare_Data[[#This Row],[Visit_Date]])</f>
        <v>8</v>
      </c>
      <c r="T674" t="str">
        <f>IF(Healthcare_Data[[#This Row],[Final_Bill]]&gt;=50000,"High",IF(Healthcare_Data[[#This Row],[Final_Bill]]&gt;=20000,"Medium","low"))</f>
        <v>High</v>
      </c>
    </row>
    <row r="675" spans="1:20" x14ac:dyDescent="0.3">
      <c r="A675" t="s">
        <v>730</v>
      </c>
      <c r="B675" s="3">
        <v>45899</v>
      </c>
      <c r="C675" t="s">
        <v>38</v>
      </c>
      <c r="D675" t="s">
        <v>51</v>
      </c>
      <c r="E675" t="s">
        <v>52</v>
      </c>
      <c r="F675" t="s">
        <v>21</v>
      </c>
      <c r="G675">
        <v>69</v>
      </c>
      <c r="H675" t="s">
        <v>41</v>
      </c>
      <c r="I675" t="s">
        <v>69</v>
      </c>
      <c r="J675" t="s">
        <v>36</v>
      </c>
      <c r="K675">
        <v>1</v>
      </c>
      <c r="L675" s="4">
        <v>32772</v>
      </c>
      <c r="M675">
        <v>500</v>
      </c>
      <c r="N675">
        <v>32272</v>
      </c>
      <c r="O675" t="s">
        <v>25</v>
      </c>
      <c r="P675">
        <v>2.8</v>
      </c>
      <c r="Q675">
        <v>18</v>
      </c>
      <c r="R675" t="str">
        <f>TEXT(Healthcare_Data[[#This Row],[Visit_Date]],"mmm")</f>
        <v>Aug</v>
      </c>
      <c r="S675">
        <f>MONTH(Healthcare_Data[[#This Row],[Visit_Date]])</f>
        <v>8</v>
      </c>
      <c r="T675" t="str">
        <f>IF(Healthcare_Data[[#This Row],[Final_Bill]]&gt;=50000,"High",IF(Healthcare_Data[[#This Row],[Final_Bill]]&gt;=20000,"Medium","low"))</f>
        <v>Medium</v>
      </c>
    </row>
    <row r="676" spans="1:20" x14ac:dyDescent="0.3">
      <c r="A676" t="s">
        <v>731</v>
      </c>
      <c r="B676" s="3">
        <v>45899</v>
      </c>
      <c r="C676" t="s">
        <v>67</v>
      </c>
      <c r="D676" t="s">
        <v>19</v>
      </c>
      <c r="E676" t="s">
        <v>20</v>
      </c>
      <c r="F676" t="s">
        <v>21</v>
      </c>
      <c r="G676">
        <v>51</v>
      </c>
      <c r="H676" t="s">
        <v>41</v>
      </c>
      <c r="I676" t="s">
        <v>63</v>
      </c>
      <c r="J676" t="s">
        <v>58</v>
      </c>
      <c r="K676">
        <v>0</v>
      </c>
      <c r="L676" s="4">
        <v>19748</v>
      </c>
      <c r="M676">
        <v>0</v>
      </c>
      <c r="N676">
        <v>19748</v>
      </c>
      <c r="O676" t="s">
        <v>25</v>
      </c>
      <c r="P676">
        <v>4</v>
      </c>
      <c r="Q676">
        <v>70</v>
      </c>
      <c r="R676" t="str">
        <f>TEXT(Healthcare_Data[[#This Row],[Visit_Date]],"mmm")</f>
        <v>Aug</v>
      </c>
      <c r="S676">
        <f>MONTH(Healthcare_Data[[#This Row],[Visit_Date]])</f>
        <v>8</v>
      </c>
      <c r="T676" t="str">
        <f>IF(Healthcare_Data[[#This Row],[Final_Bill]]&gt;=50000,"High",IF(Healthcare_Data[[#This Row],[Final_Bill]]&gt;=20000,"Medium","low"))</f>
        <v>low</v>
      </c>
    </row>
    <row r="677" spans="1:20" x14ac:dyDescent="0.3">
      <c r="A677" t="s">
        <v>732</v>
      </c>
      <c r="B677" s="3">
        <v>45899</v>
      </c>
      <c r="C677" t="s">
        <v>27</v>
      </c>
      <c r="D677" t="s">
        <v>19</v>
      </c>
      <c r="E677" t="s">
        <v>54</v>
      </c>
      <c r="F677" t="s">
        <v>21</v>
      </c>
      <c r="G677">
        <v>33</v>
      </c>
      <c r="H677" t="s">
        <v>41</v>
      </c>
      <c r="I677" t="s">
        <v>42</v>
      </c>
      <c r="J677" t="s">
        <v>36</v>
      </c>
      <c r="K677">
        <v>0</v>
      </c>
      <c r="L677" s="4">
        <v>30745</v>
      </c>
      <c r="M677">
        <v>500</v>
      </c>
      <c r="N677">
        <v>30245</v>
      </c>
      <c r="O677" t="s">
        <v>25</v>
      </c>
      <c r="P677">
        <v>3.1</v>
      </c>
      <c r="Q677">
        <v>53</v>
      </c>
      <c r="R677" t="str">
        <f>TEXT(Healthcare_Data[[#This Row],[Visit_Date]],"mmm")</f>
        <v>Aug</v>
      </c>
      <c r="S677">
        <f>MONTH(Healthcare_Data[[#This Row],[Visit_Date]])</f>
        <v>8</v>
      </c>
      <c r="T677" t="str">
        <f>IF(Healthcare_Data[[#This Row],[Final_Bill]]&gt;=50000,"High",IF(Healthcare_Data[[#This Row],[Final_Bill]]&gt;=20000,"Medium","low"))</f>
        <v>Medium</v>
      </c>
    </row>
    <row r="678" spans="1:20" x14ac:dyDescent="0.3">
      <c r="A678" t="s">
        <v>733</v>
      </c>
      <c r="B678" s="3">
        <v>45900</v>
      </c>
      <c r="C678" t="s">
        <v>67</v>
      </c>
      <c r="D678" t="s">
        <v>34</v>
      </c>
      <c r="E678" t="s">
        <v>52</v>
      </c>
      <c r="F678" t="s">
        <v>40</v>
      </c>
      <c r="G678">
        <v>26</v>
      </c>
      <c r="H678" t="s">
        <v>115</v>
      </c>
      <c r="I678" t="s">
        <v>42</v>
      </c>
      <c r="J678" t="s">
        <v>24</v>
      </c>
      <c r="K678">
        <v>1</v>
      </c>
      <c r="L678" s="4">
        <v>15916</v>
      </c>
      <c r="M678">
        <v>500</v>
      </c>
      <c r="N678">
        <v>15416</v>
      </c>
      <c r="O678" t="s">
        <v>25</v>
      </c>
      <c r="P678">
        <v>3.1</v>
      </c>
      <c r="Q678">
        <v>52</v>
      </c>
      <c r="R678" t="str">
        <f>TEXT(Healthcare_Data[[#This Row],[Visit_Date]],"mmm")</f>
        <v>Aug</v>
      </c>
      <c r="S678">
        <f>MONTH(Healthcare_Data[[#This Row],[Visit_Date]])</f>
        <v>8</v>
      </c>
      <c r="T678" t="str">
        <f>IF(Healthcare_Data[[#This Row],[Final_Bill]]&gt;=50000,"High",IF(Healthcare_Data[[#This Row],[Final_Bill]]&gt;=20000,"Medium","low"))</f>
        <v>low</v>
      </c>
    </row>
    <row r="679" spans="1:20" x14ac:dyDescent="0.3">
      <c r="A679" t="s">
        <v>734</v>
      </c>
      <c r="B679" s="3">
        <v>45900</v>
      </c>
      <c r="C679" t="s">
        <v>48</v>
      </c>
      <c r="D679" t="s">
        <v>28</v>
      </c>
      <c r="E679" t="s">
        <v>20</v>
      </c>
      <c r="F679" t="s">
        <v>21</v>
      </c>
      <c r="G679">
        <v>78</v>
      </c>
      <c r="H679" t="s">
        <v>56</v>
      </c>
      <c r="I679" t="s">
        <v>57</v>
      </c>
      <c r="J679" t="s">
        <v>24</v>
      </c>
      <c r="K679">
        <v>0</v>
      </c>
      <c r="L679" s="4">
        <v>7663</v>
      </c>
      <c r="M679">
        <v>500</v>
      </c>
      <c r="N679">
        <v>7163</v>
      </c>
      <c r="O679" t="s">
        <v>25</v>
      </c>
      <c r="P679">
        <v>4.2</v>
      </c>
      <c r="Q679">
        <v>12</v>
      </c>
      <c r="R679" t="str">
        <f>TEXT(Healthcare_Data[[#This Row],[Visit_Date]],"mmm")</f>
        <v>Aug</v>
      </c>
      <c r="S679">
        <f>MONTH(Healthcare_Data[[#This Row],[Visit_Date]])</f>
        <v>8</v>
      </c>
      <c r="T679" t="str">
        <f>IF(Healthcare_Data[[#This Row],[Final_Bill]]&gt;=50000,"High",IF(Healthcare_Data[[#This Row],[Final_Bill]]&gt;=20000,"Medium","low"))</f>
        <v>low</v>
      </c>
    </row>
    <row r="680" spans="1:20" x14ac:dyDescent="0.3">
      <c r="A680" t="s">
        <v>735</v>
      </c>
      <c r="B680" s="3">
        <v>45901</v>
      </c>
      <c r="C680" t="s">
        <v>50</v>
      </c>
      <c r="D680" t="s">
        <v>39</v>
      </c>
      <c r="E680" t="s">
        <v>20</v>
      </c>
      <c r="F680" t="s">
        <v>21</v>
      </c>
      <c r="G680">
        <v>34</v>
      </c>
      <c r="H680" t="s">
        <v>65</v>
      </c>
      <c r="I680" t="s">
        <v>30</v>
      </c>
      <c r="J680" t="s">
        <v>24</v>
      </c>
      <c r="K680">
        <v>0</v>
      </c>
      <c r="L680" s="4">
        <v>8878</v>
      </c>
      <c r="M680">
        <v>0</v>
      </c>
      <c r="N680">
        <v>8878</v>
      </c>
      <c r="O680" t="s">
        <v>25</v>
      </c>
      <c r="P680">
        <v>5</v>
      </c>
      <c r="Q680">
        <v>17</v>
      </c>
      <c r="R680" t="str">
        <f>TEXT(Healthcare_Data[[#This Row],[Visit_Date]],"mmm")</f>
        <v>Sep</v>
      </c>
      <c r="S680">
        <f>MONTH(Healthcare_Data[[#This Row],[Visit_Date]])</f>
        <v>9</v>
      </c>
      <c r="T680" t="str">
        <f>IF(Healthcare_Data[[#This Row],[Final_Bill]]&gt;=50000,"High",IF(Healthcare_Data[[#This Row],[Final_Bill]]&gt;=20000,"Medium","low"))</f>
        <v>low</v>
      </c>
    </row>
    <row r="681" spans="1:20" x14ac:dyDescent="0.3">
      <c r="A681" t="s">
        <v>736</v>
      </c>
      <c r="B681" s="3">
        <v>45903</v>
      </c>
      <c r="C681" t="s">
        <v>50</v>
      </c>
      <c r="D681" t="s">
        <v>28</v>
      </c>
      <c r="E681" t="s">
        <v>20</v>
      </c>
      <c r="F681" t="s">
        <v>21</v>
      </c>
      <c r="G681">
        <v>50</v>
      </c>
      <c r="H681" t="s">
        <v>22</v>
      </c>
      <c r="I681" t="s">
        <v>72</v>
      </c>
      <c r="J681" t="s">
        <v>24</v>
      </c>
      <c r="K681">
        <v>0</v>
      </c>
      <c r="L681" s="4">
        <v>4928</v>
      </c>
      <c r="M681">
        <v>500</v>
      </c>
      <c r="N681">
        <v>4428</v>
      </c>
      <c r="O681" t="s">
        <v>25</v>
      </c>
      <c r="P681">
        <v>5</v>
      </c>
      <c r="Q681">
        <v>31</v>
      </c>
      <c r="R681" t="str">
        <f>TEXT(Healthcare_Data[[#This Row],[Visit_Date]],"mmm")</f>
        <v>Sep</v>
      </c>
      <c r="S681">
        <f>MONTH(Healthcare_Data[[#This Row],[Visit_Date]])</f>
        <v>9</v>
      </c>
      <c r="T681" t="str">
        <f>IF(Healthcare_Data[[#This Row],[Final_Bill]]&gt;=50000,"High",IF(Healthcare_Data[[#This Row],[Final_Bill]]&gt;=20000,"Medium","low"))</f>
        <v>low</v>
      </c>
    </row>
    <row r="682" spans="1:20" x14ac:dyDescent="0.3">
      <c r="A682" t="s">
        <v>737</v>
      </c>
      <c r="B682" s="3">
        <v>45903</v>
      </c>
      <c r="C682" t="s">
        <v>44</v>
      </c>
      <c r="D682" t="s">
        <v>34</v>
      </c>
      <c r="E682" t="s">
        <v>20</v>
      </c>
      <c r="F682" t="s">
        <v>21</v>
      </c>
      <c r="G682">
        <v>22</v>
      </c>
      <c r="H682" t="s">
        <v>46</v>
      </c>
      <c r="I682" t="s">
        <v>30</v>
      </c>
      <c r="J682" t="s">
        <v>58</v>
      </c>
      <c r="K682">
        <v>0</v>
      </c>
      <c r="L682" s="4">
        <v>14438</v>
      </c>
      <c r="M682">
        <v>0</v>
      </c>
      <c r="N682">
        <v>14438</v>
      </c>
      <c r="O682" t="s">
        <v>32</v>
      </c>
      <c r="P682">
        <v>4.0999999999999996</v>
      </c>
      <c r="Q682">
        <v>94</v>
      </c>
      <c r="R682" t="str">
        <f>TEXT(Healthcare_Data[[#This Row],[Visit_Date]],"mmm")</f>
        <v>Sep</v>
      </c>
      <c r="S682">
        <f>MONTH(Healthcare_Data[[#This Row],[Visit_Date]])</f>
        <v>9</v>
      </c>
      <c r="T682" t="str">
        <f>IF(Healthcare_Data[[#This Row],[Final_Bill]]&gt;=50000,"High",IF(Healthcare_Data[[#This Row],[Final_Bill]]&gt;=20000,"Medium","low"))</f>
        <v>low</v>
      </c>
    </row>
    <row r="683" spans="1:20" x14ac:dyDescent="0.3">
      <c r="A683" t="s">
        <v>738</v>
      </c>
      <c r="B683" s="3">
        <v>45904</v>
      </c>
      <c r="C683" t="s">
        <v>67</v>
      </c>
      <c r="D683" t="s">
        <v>19</v>
      </c>
      <c r="E683" t="s">
        <v>52</v>
      </c>
      <c r="F683" t="s">
        <v>21</v>
      </c>
      <c r="G683">
        <v>33</v>
      </c>
      <c r="H683" t="s">
        <v>41</v>
      </c>
      <c r="I683" t="s">
        <v>63</v>
      </c>
      <c r="J683" t="s">
        <v>24</v>
      </c>
      <c r="K683">
        <v>2</v>
      </c>
      <c r="L683" s="4">
        <v>51584</v>
      </c>
      <c r="M683">
        <v>2000</v>
      </c>
      <c r="N683">
        <v>49584</v>
      </c>
      <c r="O683" t="s">
        <v>25</v>
      </c>
      <c r="P683">
        <v>2.8</v>
      </c>
      <c r="Q683">
        <v>57</v>
      </c>
      <c r="R683" t="str">
        <f>TEXT(Healthcare_Data[[#This Row],[Visit_Date]],"mmm")</f>
        <v>Sep</v>
      </c>
      <c r="S683">
        <f>MONTH(Healthcare_Data[[#This Row],[Visit_Date]])</f>
        <v>9</v>
      </c>
      <c r="T683" t="str">
        <f>IF(Healthcare_Data[[#This Row],[Final_Bill]]&gt;=50000,"High",IF(Healthcare_Data[[#This Row],[Final_Bill]]&gt;=20000,"Medium","low"))</f>
        <v>Medium</v>
      </c>
    </row>
    <row r="684" spans="1:20" x14ac:dyDescent="0.3">
      <c r="A684" t="s">
        <v>739</v>
      </c>
      <c r="B684" s="3">
        <v>45904</v>
      </c>
      <c r="C684" t="s">
        <v>38</v>
      </c>
      <c r="D684" t="s">
        <v>51</v>
      </c>
      <c r="E684" t="s">
        <v>52</v>
      </c>
      <c r="F684" t="s">
        <v>40</v>
      </c>
      <c r="G684">
        <v>40</v>
      </c>
      <c r="H684" t="s">
        <v>35</v>
      </c>
      <c r="I684" t="s">
        <v>57</v>
      </c>
      <c r="J684" t="s">
        <v>24</v>
      </c>
      <c r="K684">
        <v>3</v>
      </c>
      <c r="L684" s="4">
        <v>48617</v>
      </c>
      <c r="M684">
        <v>0</v>
      </c>
      <c r="N684">
        <v>48617</v>
      </c>
      <c r="O684" t="s">
        <v>25</v>
      </c>
      <c r="P684">
        <v>3.3</v>
      </c>
      <c r="Q684">
        <v>40</v>
      </c>
      <c r="R684" t="str">
        <f>TEXT(Healthcare_Data[[#This Row],[Visit_Date]],"mmm")</f>
        <v>Sep</v>
      </c>
      <c r="S684">
        <f>MONTH(Healthcare_Data[[#This Row],[Visit_Date]])</f>
        <v>9</v>
      </c>
      <c r="T684" t="str">
        <f>IF(Healthcare_Data[[#This Row],[Final_Bill]]&gt;=50000,"High",IF(Healthcare_Data[[#This Row],[Final_Bill]]&gt;=20000,"Medium","low"))</f>
        <v>Medium</v>
      </c>
    </row>
    <row r="685" spans="1:20" x14ac:dyDescent="0.3">
      <c r="A685" t="s">
        <v>740</v>
      </c>
      <c r="B685" s="3">
        <v>45904</v>
      </c>
      <c r="C685" t="s">
        <v>27</v>
      </c>
      <c r="D685" t="s">
        <v>28</v>
      </c>
      <c r="E685" t="s">
        <v>20</v>
      </c>
      <c r="F685" t="s">
        <v>40</v>
      </c>
      <c r="G685">
        <v>38</v>
      </c>
      <c r="H685" t="s">
        <v>46</v>
      </c>
      <c r="I685" t="s">
        <v>23</v>
      </c>
      <c r="J685" t="s">
        <v>24</v>
      </c>
      <c r="K685">
        <v>0</v>
      </c>
      <c r="L685" s="4">
        <v>10744</v>
      </c>
      <c r="M685">
        <v>2000</v>
      </c>
      <c r="N685">
        <v>8744</v>
      </c>
      <c r="O685" t="s">
        <v>25</v>
      </c>
      <c r="P685">
        <v>2.8</v>
      </c>
      <c r="Q685">
        <v>34</v>
      </c>
      <c r="R685" t="str">
        <f>TEXT(Healthcare_Data[[#This Row],[Visit_Date]],"mmm")</f>
        <v>Sep</v>
      </c>
      <c r="S685">
        <f>MONTH(Healthcare_Data[[#This Row],[Visit_Date]])</f>
        <v>9</v>
      </c>
      <c r="T685" t="str">
        <f>IF(Healthcare_Data[[#This Row],[Final_Bill]]&gt;=50000,"High",IF(Healthcare_Data[[#This Row],[Final_Bill]]&gt;=20000,"Medium","low"))</f>
        <v>low</v>
      </c>
    </row>
    <row r="686" spans="1:20" x14ac:dyDescent="0.3">
      <c r="A686" t="s">
        <v>741</v>
      </c>
      <c r="B686" s="3">
        <v>45904</v>
      </c>
      <c r="C686" t="s">
        <v>27</v>
      </c>
      <c r="D686" t="s">
        <v>34</v>
      </c>
      <c r="E686" t="s">
        <v>20</v>
      </c>
      <c r="F686" t="s">
        <v>21</v>
      </c>
      <c r="G686">
        <v>23</v>
      </c>
      <c r="H686" t="s">
        <v>35</v>
      </c>
      <c r="I686" t="s">
        <v>57</v>
      </c>
      <c r="J686" t="s">
        <v>24</v>
      </c>
      <c r="K686">
        <v>0</v>
      </c>
      <c r="L686" s="4">
        <v>19447</v>
      </c>
      <c r="M686">
        <v>1500</v>
      </c>
      <c r="N686">
        <v>17947</v>
      </c>
      <c r="O686" t="s">
        <v>25</v>
      </c>
      <c r="P686">
        <v>4.5999999999999996</v>
      </c>
      <c r="Q686">
        <v>94</v>
      </c>
      <c r="R686" t="str">
        <f>TEXT(Healthcare_Data[[#This Row],[Visit_Date]],"mmm")</f>
        <v>Sep</v>
      </c>
      <c r="S686">
        <f>MONTH(Healthcare_Data[[#This Row],[Visit_Date]])</f>
        <v>9</v>
      </c>
      <c r="T686" t="str">
        <f>IF(Healthcare_Data[[#This Row],[Final_Bill]]&gt;=50000,"High",IF(Healthcare_Data[[#This Row],[Final_Bill]]&gt;=20000,"Medium","low"))</f>
        <v>low</v>
      </c>
    </row>
    <row r="687" spans="1:20" x14ac:dyDescent="0.3">
      <c r="A687" t="s">
        <v>742</v>
      </c>
      <c r="B687" s="3">
        <v>45904</v>
      </c>
      <c r="C687" t="s">
        <v>44</v>
      </c>
      <c r="D687" t="s">
        <v>19</v>
      </c>
      <c r="E687" t="s">
        <v>20</v>
      </c>
      <c r="F687" t="s">
        <v>21</v>
      </c>
      <c r="G687">
        <v>73</v>
      </c>
      <c r="H687" t="s">
        <v>35</v>
      </c>
      <c r="I687" t="s">
        <v>57</v>
      </c>
      <c r="J687" t="s">
        <v>24</v>
      </c>
      <c r="K687">
        <v>0</v>
      </c>
      <c r="L687" s="4">
        <v>8783</v>
      </c>
      <c r="M687">
        <v>1000</v>
      </c>
      <c r="N687">
        <v>7783</v>
      </c>
      <c r="O687" t="s">
        <v>32</v>
      </c>
      <c r="P687">
        <v>3.1</v>
      </c>
      <c r="Q687">
        <v>103</v>
      </c>
      <c r="R687" t="str">
        <f>TEXT(Healthcare_Data[[#This Row],[Visit_Date]],"mmm")</f>
        <v>Sep</v>
      </c>
      <c r="S687">
        <f>MONTH(Healthcare_Data[[#This Row],[Visit_Date]])</f>
        <v>9</v>
      </c>
      <c r="T687" t="str">
        <f>IF(Healthcare_Data[[#This Row],[Final_Bill]]&gt;=50000,"High",IF(Healthcare_Data[[#This Row],[Final_Bill]]&gt;=20000,"Medium","low"))</f>
        <v>low</v>
      </c>
    </row>
    <row r="688" spans="1:20" x14ac:dyDescent="0.3">
      <c r="A688" t="s">
        <v>743</v>
      </c>
      <c r="B688" s="3">
        <v>45904</v>
      </c>
      <c r="C688" t="s">
        <v>27</v>
      </c>
      <c r="D688" t="s">
        <v>39</v>
      </c>
      <c r="E688" t="s">
        <v>20</v>
      </c>
      <c r="F688" t="s">
        <v>21</v>
      </c>
      <c r="G688">
        <v>80</v>
      </c>
      <c r="H688" t="s">
        <v>46</v>
      </c>
      <c r="I688" t="s">
        <v>23</v>
      </c>
      <c r="J688" t="s">
        <v>36</v>
      </c>
      <c r="K688">
        <v>0</v>
      </c>
      <c r="L688" s="4">
        <v>13967</v>
      </c>
      <c r="M688">
        <v>1000</v>
      </c>
      <c r="N688">
        <v>12967</v>
      </c>
      <c r="O688" t="s">
        <v>25</v>
      </c>
      <c r="P688">
        <v>4.5999999999999996</v>
      </c>
      <c r="Q688">
        <v>109</v>
      </c>
      <c r="R688" t="str">
        <f>TEXT(Healthcare_Data[[#This Row],[Visit_Date]],"mmm")</f>
        <v>Sep</v>
      </c>
      <c r="S688">
        <f>MONTH(Healthcare_Data[[#This Row],[Visit_Date]])</f>
        <v>9</v>
      </c>
      <c r="T688" t="str">
        <f>IF(Healthcare_Data[[#This Row],[Final_Bill]]&gt;=50000,"High",IF(Healthcare_Data[[#This Row],[Final_Bill]]&gt;=20000,"Medium","low"))</f>
        <v>low</v>
      </c>
    </row>
    <row r="689" spans="1:20" x14ac:dyDescent="0.3">
      <c r="A689" t="s">
        <v>744</v>
      </c>
      <c r="B689" s="3">
        <v>45906</v>
      </c>
      <c r="C689" t="s">
        <v>48</v>
      </c>
      <c r="D689" t="s">
        <v>28</v>
      </c>
      <c r="E689" t="s">
        <v>20</v>
      </c>
      <c r="F689" t="s">
        <v>21</v>
      </c>
      <c r="G689">
        <v>42</v>
      </c>
      <c r="H689" t="s">
        <v>29</v>
      </c>
      <c r="I689" t="s">
        <v>61</v>
      </c>
      <c r="J689" t="s">
        <v>58</v>
      </c>
      <c r="K689">
        <v>0</v>
      </c>
      <c r="L689" s="4">
        <v>3473</v>
      </c>
      <c r="M689">
        <v>1500</v>
      </c>
      <c r="N689">
        <v>1973</v>
      </c>
      <c r="O689" t="s">
        <v>25</v>
      </c>
      <c r="P689">
        <v>2.7</v>
      </c>
      <c r="Q689">
        <v>105</v>
      </c>
      <c r="R689" t="str">
        <f>TEXT(Healthcare_Data[[#This Row],[Visit_Date]],"mmm")</f>
        <v>Sep</v>
      </c>
      <c r="S689">
        <f>MONTH(Healthcare_Data[[#This Row],[Visit_Date]])</f>
        <v>9</v>
      </c>
      <c r="T689" t="str">
        <f>IF(Healthcare_Data[[#This Row],[Final_Bill]]&gt;=50000,"High",IF(Healthcare_Data[[#This Row],[Final_Bill]]&gt;=20000,"Medium","low"))</f>
        <v>low</v>
      </c>
    </row>
    <row r="690" spans="1:20" x14ac:dyDescent="0.3">
      <c r="A690" t="s">
        <v>745</v>
      </c>
      <c r="B690" s="3">
        <v>45906</v>
      </c>
      <c r="C690" t="s">
        <v>67</v>
      </c>
      <c r="D690" t="s">
        <v>34</v>
      </c>
      <c r="E690" t="s">
        <v>52</v>
      </c>
      <c r="F690" t="s">
        <v>40</v>
      </c>
      <c r="G690">
        <v>34</v>
      </c>
      <c r="H690" t="s">
        <v>46</v>
      </c>
      <c r="I690" t="s">
        <v>72</v>
      </c>
      <c r="J690" t="s">
        <v>58</v>
      </c>
      <c r="K690">
        <v>2</v>
      </c>
      <c r="L690" s="4">
        <v>43460</v>
      </c>
      <c r="M690">
        <v>2000</v>
      </c>
      <c r="N690">
        <v>41460</v>
      </c>
      <c r="O690" t="s">
        <v>25</v>
      </c>
      <c r="P690">
        <v>2.9</v>
      </c>
      <c r="Q690">
        <v>120</v>
      </c>
      <c r="R690" t="str">
        <f>TEXT(Healthcare_Data[[#This Row],[Visit_Date]],"mmm")</f>
        <v>Sep</v>
      </c>
      <c r="S690">
        <f>MONTH(Healthcare_Data[[#This Row],[Visit_Date]])</f>
        <v>9</v>
      </c>
      <c r="T690" t="str">
        <f>IF(Healthcare_Data[[#This Row],[Final_Bill]]&gt;=50000,"High",IF(Healthcare_Data[[#This Row],[Final_Bill]]&gt;=20000,"Medium","low"))</f>
        <v>Medium</v>
      </c>
    </row>
    <row r="691" spans="1:20" x14ac:dyDescent="0.3">
      <c r="A691" t="s">
        <v>746</v>
      </c>
      <c r="B691" s="3">
        <v>45906</v>
      </c>
      <c r="C691" t="s">
        <v>44</v>
      </c>
      <c r="D691" t="s">
        <v>19</v>
      </c>
      <c r="E691" t="s">
        <v>20</v>
      </c>
      <c r="F691" t="s">
        <v>40</v>
      </c>
      <c r="G691">
        <v>61</v>
      </c>
      <c r="H691" t="s">
        <v>22</v>
      </c>
      <c r="I691" t="s">
        <v>61</v>
      </c>
      <c r="J691" t="s">
        <v>24</v>
      </c>
      <c r="K691">
        <v>0</v>
      </c>
      <c r="L691" s="4">
        <v>8754</v>
      </c>
      <c r="M691">
        <v>1000</v>
      </c>
      <c r="N691">
        <v>7754</v>
      </c>
      <c r="O691" t="s">
        <v>25</v>
      </c>
      <c r="P691">
        <v>2.7</v>
      </c>
      <c r="Q691">
        <v>76</v>
      </c>
      <c r="R691" t="str">
        <f>TEXT(Healthcare_Data[[#This Row],[Visit_Date]],"mmm")</f>
        <v>Sep</v>
      </c>
      <c r="S691">
        <f>MONTH(Healthcare_Data[[#This Row],[Visit_Date]])</f>
        <v>9</v>
      </c>
      <c r="T691" t="str">
        <f>IF(Healthcare_Data[[#This Row],[Final_Bill]]&gt;=50000,"High",IF(Healthcare_Data[[#This Row],[Final_Bill]]&gt;=20000,"Medium","low"))</f>
        <v>low</v>
      </c>
    </row>
    <row r="692" spans="1:20" x14ac:dyDescent="0.3">
      <c r="A692" t="s">
        <v>747</v>
      </c>
      <c r="B692" s="3">
        <v>45906</v>
      </c>
      <c r="C692" t="s">
        <v>67</v>
      </c>
      <c r="D692" t="s">
        <v>28</v>
      </c>
      <c r="E692" t="s">
        <v>54</v>
      </c>
      <c r="F692" t="s">
        <v>21</v>
      </c>
      <c r="G692">
        <v>27</v>
      </c>
      <c r="H692" t="s">
        <v>22</v>
      </c>
      <c r="I692" t="s">
        <v>61</v>
      </c>
      <c r="J692" t="s">
        <v>31</v>
      </c>
      <c r="K692">
        <v>0</v>
      </c>
      <c r="L692" s="4">
        <v>24630</v>
      </c>
      <c r="M692">
        <v>1000</v>
      </c>
      <c r="N692">
        <v>23630</v>
      </c>
      <c r="O692" t="s">
        <v>32</v>
      </c>
      <c r="P692">
        <v>4.7</v>
      </c>
      <c r="Q692">
        <v>102</v>
      </c>
      <c r="R692" t="str">
        <f>TEXT(Healthcare_Data[[#This Row],[Visit_Date]],"mmm")</f>
        <v>Sep</v>
      </c>
      <c r="S692">
        <f>MONTH(Healthcare_Data[[#This Row],[Visit_Date]])</f>
        <v>9</v>
      </c>
      <c r="T692" t="str">
        <f>IF(Healthcare_Data[[#This Row],[Final_Bill]]&gt;=50000,"High",IF(Healthcare_Data[[#This Row],[Final_Bill]]&gt;=20000,"Medium","low"))</f>
        <v>Medium</v>
      </c>
    </row>
    <row r="693" spans="1:20" x14ac:dyDescent="0.3">
      <c r="A693" t="s">
        <v>748</v>
      </c>
      <c r="B693" s="3">
        <v>45907</v>
      </c>
      <c r="C693" t="s">
        <v>27</v>
      </c>
      <c r="D693" t="s">
        <v>34</v>
      </c>
      <c r="E693" t="s">
        <v>54</v>
      </c>
      <c r="F693" t="s">
        <v>40</v>
      </c>
      <c r="G693">
        <v>73</v>
      </c>
      <c r="H693" t="s">
        <v>65</v>
      </c>
      <c r="I693" t="s">
        <v>23</v>
      </c>
      <c r="J693" t="s">
        <v>24</v>
      </c>
      <c r="K693">
        <v>0</v>
      </c>
      <c r="L693" s="4">
        <v>10107</v>
      </c>
      <c r="M693">
        <v>500</v>
      </c>
      <c r="N693">
        <v>9607</v>
      </c>
      <c r="O693" t="s">
        <v>25</v>
      </c>
      <c r="P693">
        <v>2.8</v>
      </c>
      <c r="Q693">
        <v>25</v>
      </c>
      <c r="R693" t="str">
        <f>TEXT(Healthcare_Data[[#This Row],[Visit_Date]],"mmm")</f>
        <v>Sep</v>
      </c>
      <c r="S693">
        <f>MONTH(Healthcare_Data[[#This Row],[Visit_Date]])</f>
        <v>9</v>
      </c>
      <c r="T693" t="str">
        <f>IF(Healthcare_Data[[#This Row],[Final_Bill]]&gt;=50000,"High",IF(Healthcare_Data[[#This Row],[Final_Bill]]&gt;=20000,"Medium","low"))</f>
        <v>low</v>
      </c>
    </row>
    <row r="694" spans="1:20" x14ac:dyDescent="0.3">
      <c r="A694" t="s">
        <v>749</v>
      </c>
      <c r="B694" s="3">
        <v>45907</v>
      </c>
      <c r="C694" t="s">
        <v>67</v>
      </c>
      <c r="D694" t="s">
        <v>28</v>
      </c>
      <c r="E694" t="s">
        <v>52</v>
      </c>
      <c r="F694" t="s">
        <v>21</v>
      </c>
      <c r="G694">
        <v>20</v>
      </c>
      <c r="H694" t="s">
        <v>35</v>
      </c>
      <c r="I694" t="s">
        <v>23</v>
      </c>
      <c r="J694" t="s">
        <v>24</v>
      </c>
      <c r="K694">
        <v>11</v>
      </c>
      <c r="L694" s="4">
        <v>77620</v>
      </c>
      <c r="M694">
        <v>1000</v>
      </c>
      <c r="N694">
        <v>76620</v>
      </c>
      <c r="O694" t="s">
        <v>25</v>
      </c>
      <c r="P694">
        <v>4.2</v>
      </c>
      <c r="Q694">
        <v>21</v>
      </c>
      <c r="R694" t="str">
        <f>TEXT(Healthcare_Data[[#This Row],[Visit_Date]],"mmm")</f>
        <v>Sep</v>
      </c>
      <c r="S694">
        <f>MONTH(Healthcare_Data[[#This Row],[Visit_Date]])</f>
        <v>9</v>
      </c>
      <c r="T694" t="str">
        <f>IF(Healthcare_Data[[#This Row],[Final_Bill]]&gt;=50000,"High",IF(Healthcare_Data[[#This Row],[Final_Bill]]&gt;=20000,"Medium","low"))</f>
        <v>High</v>
      </c>
    </row>
    <row r="695" spans="1:20" x14ac:dyDescent="0.3">
      <c r="A695" t="s">
        <v>750</v>
      </c>
      <c r="B695" s="3">
        <v>45907</v>
      </c>
      <c r="C695" t="s">
        <v>44</v>
      </c>
      <c r="D695" t="s">
        <v>34</v>
      </c>
      <c r="E695" t="s">
        <v>20</v>
      </c>
      <c r="F695" t="s">
        <v>21</v>
      </c>
      <c r="G695">
        <v>32</v>
      </c>
      <c r="H695" t="s">
        <v>46</v>
      </c>
      <c r="I695" t="s">
        <v>30</v>
      </c>
      <c r="J695" t="s">
        <v>24</v>
      </c>
      <c r="K695">
        <v>0</v>
      </c>
      <c r="L695" s="4">
        <v>7474</v>
      </c>
      <c r="M695">
        <v>0</v>
      </c>
      <c r="N695">
        <v>7474</v>
      </c>
      <c r="O695" t="s">
        <v>59</v>
      </c>
      <c r="P695">
        <v>4.3</v>
      </c>
      <c r="Q695">
        <v>22</v>
      </c>
      <c r="R695" t="str">
        <f>TEXT(Healthcare_Data[[#This Row],[Visit_Date]],"mmm")</f>
        <v>Sep</v>
      </c>
      <c r="S695">
        <f>MONTH(Healthcare_Data[[#This Row],[Visit_Date]])</f>
        <v>9</v>
      </c>
      <c r="T695" t="str">
        <f>IF(Healthcare_Data[[#This Row],[Final_Bill]]&gt;=50000,"High",IF(Healthcare_Data[[#This Row],[Final_Bill]]&gt;=20000,"Medium","low"))</f>
        <v>low</v>
      </c>
    </row>
    <row r="696" spans="1:20" x14ac:dyDescent="0.3">
      <c r="A696" t="s">
        <v>751</v>
      </c>
      <c r="B696" s="3">
        <v>45908</v>
      </c>
      <c r="C696" t="s">
        <v>54</v>
      </c>
      <c r="D696" t="s">
        <v>19</v>
      </c>
      <c r="E696" t="s">
        <v>20</v>
      </c>
      <c r="F696" t="s">
        <v>40</v>
      </c>
      <c r="G696">
        <v>57</v>
      </c>
      <c r="H696" t="s">
        <v>41</v>
      </c>
      <c r="I696" t="s">
        <v>57</v>
      </c>
      <c r="J696" t="s">
        <v>58</v>
      </c>
      <c r="K696">
        <v>0</v>
      </c>
      <c r="L696" s="4">
        <v>10098</v>
      </c>
      <c r="M696">
        <v>0</v>
      </c>
      <c r="N696">
        <v>10098</v>
      </c>
      <c r="O696" t="s">
        <v>25</v>
      </c>
      <c r="P696">
        <v>4.5999999999999996</v>
      </c>
      <c r="Q696">
        <v>64</v>
      </c>
      <c r="R696" t="str">
        <f>TEXT(Healthcare_Data[[#This Row],[Visit_Date]],"mmm")</f>
        <v>Sep</v>
      </c>
      <c r="S696">
        <f>MONTH(Healthcare_Data[[#This Row],[Visit_Date]])</f>
        <v>9</v>
      </c>
      <c r="T696" t="str">
        <f>IF(Healthcare_Data[[#This Row],[Final_Bill]]&gt;=50000,"High",IF(Healthcare_Data[[#This Row],[Final_Bill]]&gt;=20000,"Medium","low"))</f>
        <v>low</v>
      </c>
    </row>
    <row r="697" spans="1:20" x14ac:dyDescent="0.3">
      <c r="A697" t="s">
        <v>752</v>
      </c>
      <c r="B697" s="3">
        <v>45908</v>
      </c>
      <c r="C697" t="s">
        <v>38</v>
      </c>
      <c r="D697" t="s">
        <v>51</v>
      </c>
      <c r="E697" t="s">
        <v>54</v>
      </c>
      <c r="F697" t="s">
        <v>40</v>
      </c>
      <c r="G697">
        <v>47</v>
      </c>
      <c r="H697" t="s">
        <v>65</v>
      </c>
      <c r="I697" t="s">
        <v>57</v>
      </c>
      <c r="J697" t="s">
        <v>36</v>
      </c>
      <c r="K697">
        <v>0</v>
      </c>
      <c r="L697" s="4">
        <v>15523</v>
      </c>
      <c r="M697">
        <v>1500</v>
      </c>
      <c r="N697">
        <v>14023</v>
      </c>
      <c r="O697" t="s">
        <v>25</v>
      </c>
      <c r="P697">
        <v>4.5999999999999996</v>
      </c>
      <c r="Q697">
        <v>114</v>
      </c>
      <c r="R697" t="str">
        <f>TEXT(Healthcare_Data[[#This Row],[Visit_Date]],"mmm")</f>
        <v>Sep</v>
      </c>
      <c r="S697">
        <f>MONTH(Healthcare_Data[[#This Row],[Visit_Date]])</f>
        <v>9</v>
      </c>
      <c r="T697" t="str">
        <f>IF(Healthcare_Data[[#This Row],[Final_Bill]]&gt;=50000,"High",IF(Healthcare_Data[[#This Row],[Final_Bill]]&gt;=20000,"Medium","low"))</f>
        <v>low</v>
      </c>
    </row>
    <row r="698" spans="1:20" x14ac:dyDescent="0.3">
      <c r="A698" t="s">
        <v>753</v>
      </c>
      <c r="B698" s="3">
        <v>45909</v>
      </c>
      <c r="C698" t="s">
        <v>44</v>
      </c>
      <c r="D698" t="s">
        <v>51</v>
      </c>
      <c r="E698" t="s">
        <v>20</v>
      </c>
      <c r="F698" t="s">
        <v>21</v>
      </c>
      <c r="G698">
        <v>47</v>
      </c>
      <c r="H698" t="s">
        <v>115</v>
      </c>
      <c r="I698" t="s">
        <v>30</v>
      </c>
      <c r="J698" t="s">
        <v>58</v>
      </c>
      <c r="K698">
        <v>0</v>
      </c>
      <c r="L698" s="4">
        <v>2315</v>
      </c>
      <c r="M698">
        <v>0</v>
      </c>
      <c r="N698">
        <v>2315</v>
      </c>
      <c r="O698" t="s">
        <v>25</v>
      </c>
      <c r="P698">
        <v>4.5</v>
      </c>
      <c r="Q698">
        <v>63</v>
      </c>
      <c r="R698" t="str">
        <f>TEXT(Healthcare_Data[[#This Row],[Visit_Date]],"mmm")</f>
        <v>Sep</v>
      </c>
      <c r="S698">
        <f>MONTH(Healthcare_Data[[#This Row],[Visit_Date]])</f>
        <v>9</v>
      </c>
      <c r="T698" t="str">
        <f>IF(Healthcare_Data[[#This Row],[Final_Bill]]&gt;=50000,"High",IF(Healthcare_Data[[#This Row],[Final_Bill]]&gt;=20000,"Medium","low"))</f>
        <v>low</v>
      </c>
    </row>
    <row r="699" spans="1:20" x14ac:dyDescent="0.3">
      <c r="A699" t="s">
        <v>754</v>
      </c>
      <c r="B699" s="3">
        <v>45909</v>
      </c>
      <c r="C699" t="s">
        <v>54</v>
      </c>
      <c r="D699" t="s">
        <v>19</v>
      </c>
      <c r="E699" t="s">
        <v>20</v>
      </c>
      <c r="F699" t="s">
        <v>40</v>
      </c>
      <c r="G699">
        <v>49</v>
      </c>
      <c r="H699" t="s">
        <v>115</v>
      </c>
      <c r="I699" t="s">
        <v>61</v>
      </c>
      <c r="J699" t="s">
        <v>58</v>
      </c>
      <c r="K699">
        <v>0</v>
      </c>
      <c r="L699" s="4">
        <v>6855</v>
      </c>
      <c r="M699">
        <v>1500</v>
      </c>
      <c r="N699">
        <v>5355</v>
      </c>
      <c r="O699" t="s">
        <v>25</v>
      </c>
      <c r="P699">
        <v>4.2</v>
      </c>
      <c r="Q699">
        <v>48</v>
      </c>
      <c r="R699" t="str">
        <f>TEXT(Healthcare_Data[[#This Row],[Visit_Date]],"mmm")</f>
        <v>Sep</v>
      </c>
      <c r="S699">
        <f>MONTH(Healthcare_Data[[#This Row],[Visit_Date]])</f>
        <v>9</v>
      </c>
      <c r="T699" t="str">
        <f>IF(Healthcare_Data[[#This Row],[Final_Bill]]&gt;=50000,"High",IF(Healthcare_Data[[#This Row],[Final_Bill]]&gt;=20000,"Medium","low"))</f>
        <v>low</v>
      </c>
    </row>
    <row r="700" spans="1:20" x14ac:dyDescent="0.3">
      <c r="A700" t="s">
        <v>755</v>
      </c>
      <c r="B700" s="3">
        <v>45909</v>
      </c>
      <c r="C700" t="s">
        <v>48</v>
      </c>
      <c r="D700" t="s">
        <v>34</v>
      </c>
      <c r="E700" t="s">
        <v>54</v>
      </c>
      <c r="F700" t="s">
        <v>21</v>
      </c>
      <c r="G700">
        <v>18</v>
      </c>
      <c r="H700" t="s">
        <v>115</v>
      </c>
      <c r="I700" t="s">
        <v>63</v>
      </c>
      <c r="J700" t="s">
        <v>31</v>
      </c>
      <c r="K700">
        <v>0</v>
      </c>
      <c r="L700" s="4">
        <v>39555</v>
      </c>
      <c r="M700">
        <v>500</v>
      </c>
      <c r="N700">
        <v>39055</v>
      </c>
      <c r="O700" t="s">
        <v>25</v>
      </c>
      <c r="P700">
        <v>3.3</v>
      </c>
      <c r="Q700">
        <v>119</v>
      </c>
      <c r="R700" t="str">
        <f>TEXT(Healthcare_Data[[#This Row],[Visit_Date]],"mmm")</f>
        <v>Sep</v>
      </c>
      <c r="S700">
        <f>MONTH(Healthcare_Data[[#This Row],[Visit_Date]])</f>
        <v>9</v>
      </c>
      <c r="T700" t="str">
        <f>IF(Healthcare_Data[[#This Row],[Final_Bill]]&gt;=50000,"High",IF(Healthcare_Data[[#This Row],[Final_Bill]]&gt;=20000,"Medium","low"))</f>
        <v>Medium</v>
      </c>
    </row>
    <row r="701" spans="1:20" x14ac:dyDescent="0.3">
      <c r="A701" t="s">
        <v>756</v>
      </c>
      <c r="B701" s="3">
        <v>45909</v>
      </c>
      <c r="C701" t="s">
        <v>38</v>
      </c>
      <c r="D701" t="s">
        <v>39</v>
      </c>
      <c r="E701" t="s">
        <v>54</v>
      </c>
      <c r="F701" t="s">
        <v>40</v>
      </c>
      <c r="G701">
        <v>44</v>
      </c>
      <c r="H701" t="s">
        <v>46</v>
      </c>
      <c r="I701" t="s">
        <v>42</v>
      </c>
      <c r="J701" t="s">
        <v>58</v>
      </c>
      <c r="K701">
        <v>0</v>
      </c>
      <c r="L701" s="4">
        <v>20638</v>
      </c>
      <c r="M701">
        <v>1000</v>
      </c>
      <c r="N701">
        <v>19638</v>
      </c>
      <c r="O701" t="s">
        <v>32</v>
      </c>
      <c r="P701">
        <v>4.2</v>
      </c>
      <c r="Q701">
        <v>49</v>
      </c>
      <c r="R701" t="str">
        <f>TEXT(Healthcare_Data[[#This Row],[Visit_Date]],"mmm")</f>
        <v>Sep</v>
      </c>
      <c r="S701">
        <f>MONTH(Healthcare_Data[[#This Row],[Visit_Date]])</f>
        <v>9</v>
      </c>
      <c r="T701" t="str">
        <f>IF(Healthcare_Data[[#This Row],[Final_Bill]]&gt;=50000,"High",IF(Healthcare_Data[[#This Row],[Final_Bill]]&gt;=20000,"Medium","low"))</f>
        <v>low</v>
      </c>
    </row>
    <row r="702" spans="1:20" x14ac:dyDescent="0.3">
      <c r="A702" t="s">
        <v>757</v>
      </c>
      <c r="B702" s="3">
        <v>45909</v>
      </c>
      <c r="C702" t="s">
        <v>54</v>
      </c>
      <c r="D702" t="s">
        <v>39</v>
      </c>
      <c r="E702" t="s">
        <v>20</v>
      </c>
      <c r="F702" t="s">
        <v>21</v>
      </c>
      <c r="G702">
        <v>30</v>
      </c>
      <c r="H702" t="s">
        <v>41</v>
      </c>
      <c r="I702" t="s">
        <v>63</v>
      </c>
      <c r="J702" t="s">
        <v>24</v>
      </c>
      <c r="K702">
        <v>0</v>
      </c>
      <c r="L702" s="4">
        <v>8476</v>
      </c>
      <c r="M702">
        <v>0</v>
      </c>
      <c r="N702">
        <v>8476</v>
      </c>
      <c r="O702" t="s">
        <v>25</v>
      </c>
      <c r="P702">
        <v>4.3</v>
      </c>
      <c r="Q702">
        <v>8</v>
      </c>
      <c r="R702" t="str">
        <f>TEXT(Healthcare_Data[[#This Row],[Visit_Date]],"mmm")</f>
        <v>Sep</v>
      </c>
      <c r="S702">
        <f>MONTH(Healthcare_Data[[#This Row],[Visit_Date]])</f>
        <v>9</v>
      </c>
      <c r="T702" t="str">
        <f>IF(Healthcare_Data[[#This Row],[Final_Bill]]&gt;=50000,"High",IF(Healthcare_Data[[#This Row],[Final_Bill]]&gt;=20000,"Medium","low"))</f>
        <v>low</v>
      </c>
    </row>
    <row r="703" spans="1:20" x14ac:dyDescent="0.3">
      <c r="A703" t="s">
        <v>758</v>
      </c>
      <c r="B703" s="3">
        <v>45909</v>
      </c>
      <c r="C703" t="s">
        <v>54</v>
      </c>
      <c r="D703" t="s">
        <v>19</v>
      </c>
      <c r="E703" t="s">
        <v>20</v>
      </c>
      <c r="F703" t="s">
        <v>21</v>
      </c>
      <c r="G703">
        <v>46</v>
      </c>
      <c r="H703" t="s">
        <v>65</v>
      </c>
      <c r="I703" t="s">
        <v>1057</v>
      </c>
      <c r="J703" t="s">
        <v>24</v>
      </c>
      <c r="K703">
        <v>0</v>
      </c>
      <c r="L703" s="4">
        <v>12760</v>
      </c>
      <c r="M703">
        <v>1500</v>
      </c>
      <c r="N703">
        <v>11260</v>
      </c>
      <c r="O703" t="s">
        <v>25</v>
      </c>
      <c r="P703">
        <v>4.5</v>
      </c>
      <c r="Q703">
        <v>89</v>
      </c>
      <c r="R703" t="str">
        <f>TEXT(Healthcare_Data[[#This Row],[Visit_Date]],"mmm")</f>
        <v>Sep</v>
      </c>
      <c r="S703">
        <f>MONTH(Healthcare_Data[[#This Row],[Visit_Date]])</f>
        <v>9</v>
      </c>
      <c r="T703" t="str">
        <f>IF(Healthcare_Data[[#This Row],[Final_Bill]]&gt;=50000,"High",IF(Healthcare_Data[[#This Row],[Final_Bill]]&gt;=20000,"Medium","low"))</f>
        <v>low</v>
      </c>
    </row>
    <row r="704" spans="1:20" x14ac:dyDescent="0.3">
      <c r="A704" t="s">
        <v>759</v>
      </c>
      <c r="B704" s="3">
        <v>45909</v>
      </c>
      <c r="C704" t="s">
        <v>48</v>
      </c>
      <c r="D704" t="s">
        <v>39</v>
      </c>
      <c r="E704" t="s">
        <v>20</v>
      </c>
      <c r="F704" t="s">
        <v>40</v>
      </c>
      <c r="G704">
        <v>79</v>
      </c>
      <c r="H704" t="s">
        <v>29</v>
      </c>
      <c r="I704" t="s">
        <v>57</v>
      </c>
      <c r="J704" t="s">
        <v>31</v>
      </c>
      <c r="K704">
        <v>0</v>
      </c>
      <c r="L704" s="4">
        <v>3316</v>
      </c>
      <c r="M704">
        <v>500</v>
      </c>
      <c r="N704">
        <v>2816</v>
      </c>
      <c r="O704" t="s">
        <v>25</v>
      </c>
      <c r="P704">
        <v>2.7</v>
      </c>
      <c r="Q704">
        <v>56</v>
      </c>
      <c r="R704" t="str">
        <f>TEXT(Healthcare_Data[[#This Row],[Visit_Date]],"mmm")</f>
        <v>Sep</v>
      </c>
      <c r="S704">
        <f>MONTH(Healthcare_Data[[#This Row],[Visit_Date]])</f>
        <v>9</v>
      </c>
      <c r="T704" t="str">
        <f>IF(Healthcare_Data[[#This Row],[Final_Bill]]&gt;=50000,"High",IF(Healthcare_Data[[#This Row],[Final_Bill]]&gt;=20000,"Medium","low"))</f>
        <v>low</v>
      </c>
    </row>
    <row r="705" spans="1:20" x14ac:dyDescent="0.3">
      <c r="A705" t="s">
        <v>760</v>
      </c>
      <c r="B705" s="3">
        <v>45910</v>
      </c>
      <c r="C705" t="s">
        <v>18</v>
      </c>
      <c r="D705" t="s">
        <v>51</v>
      </c>
      <c r="E705" t="s">
        <v>20</v>
      </c>
      <c r="F705" t="s">
        <v>40</v>
      </c>
      <c r="G705">
        <v>78</v>
      </c>
      <c r="H705" t="s">
        <v>35</v>
      </c>
      <c r="I705" t="s">
        <v>72</v>
      </c>
      <c r="J705" t="s">
        <v>31</v>
      </c>
      <c r="K705">
        <v>0</v>
      </c>
      <c r="L705" s="4">
        <v>7488</v>
      </c>
      <c r="M705">
        <v>1000</v>
      </c>
      <c r="N705">
        <v>6488</v>
      </c>
      <c r="O705" t="s">
        <v>25</v>
      </c>
      <c r="P705">
        <v>3.6</v>
      </c>
      <c r="Q705">
        <v>7</v>
      </c>
      <c r="R705" t="str">
        <f>TEXT(Healthcare_Data[[#This Row],[Visit_Date]],"mmm")</f>
        <v>Sep</v>
      </c>
      <c r="S705">
        <f>MONTH(Healthcare_Data[[#This Row],[Visit_Date]])</f>
        <v>9</v>
      </c>
      <c r="T705" t="str">
        <f>IF(Healthcare_Data[[#This Row],[Final_Bill]]&gt;=50000,"High",IF(Healthcare_Data[[#This Row],[Final_Bill]]&gt;=20000,"Medium","low"))</f>
        <v>low</v>
      </c>
    </row>
    <row r="706" spans="1:20" x14ac:dyDescent="0.3">
      <c r="A706" t="s">
        <v>761</v>
      </c>
      <c r="B706" s="3">
        <v>45910</v>
      </c>
      <c r="C706" t="s">
        <v>27</v>
      </c>
      <c r="D706" t="s">
        <v>39</v>
      </c>
      <c r="E706" t="s">
        <v>20</v>
      </c>
      <c r="F706" t="s">
        <v>21</v>
      </c>
      <c r="G706">
        <v>25</v>
      </c>
      <c r="H706" t="s">
        <v>22</v>
      </c>
      <c r="I706" t="s">
        <v>63</v>
      </c>
      <c r="J706" t="s">
        <v>31</v>
      </c>
      <c r="K706">
        <v>0</v>
      </c>
      <c r="L706" s="4">
        <v>18361</v>
      </c>
      <c r="M706">
        <v>500</v>
      </c>
      <c r="N706">
        <v>17861</v>
      </c>
      <c r="O706" t="s">
        <v>25</v>
      </c>
      <c r="P706">
        <v>3.5</v>
      </c>
      <c r="Q706">
        <v>103</v>
      </c>
      <c r="R706" t="str">
        <f>TEXT(Healthcare_Data[[#This Row],[Visit_Date]],"mmm")</f>
        <v>Sep</v>
      </c>
      <c r="S706">
        <f>MONTH(Healthcare_Data[[#This Row],[Visit_Date]])</f>
        <v>9</v>
      </c>
      <c r="T706" t="str">
        <f>IF(Healthcare_Data[[#This Row],[Final_Bill]]&gt;=50000,"High",IF(Healthcare_Data[[#This Row],[Final_Bill]]&gt;=20000,"Medium","low"))</f>
        <v>low</v>
      </c>
    </row>
    <row r="707" spans="1:20" x14ac:dyDescent="0.3">
      <c r="A707" t="s">
        <v>762</v>
      </c>
      <c r="B707" s="3">
        <v>45910</v>
      </c>
      <c r="C707" t="s">
        <v>67</v>
      </c>
      <c r="D707" t="s">
        <v>39</v>
      </c>
      <c r="E707" t="s">
        <v>52</v>
      </c>
      <c r="F707" t="s">
        <v>21</v>
      </c>
      <c r="G707">
        <v>31</v>
      </c>
      <c r="H707" t="s">
        <v>115</v>
      </c>
      <c r="I707" t="s">
        <v>30</v>
      </c>
      <c r="J707" t="s">
        <v>36</v>
      </c>
      <c r="K707">
        <v>12</v>
      </c>
      <c r="L707" s="4">
        <v>33799</v>
      </c>
      <c r="M707">
        <v>1000</v>
      </c>
      <c r="N707">
        <v>32799</v>
      </c>
      <c r="O707" t="s">
        <v>25</v>
      </c>
      <c r="P707">
        <v>3.8</v>
      </c>
      <c r="Q707">
        <v>83</v>
      </c>
      <c r="R707" t="str">
        <f>TEXT(Healthcare_Data[[#This Row],[Visit_Date]],"mmm")</f>
        <v>Sep</v>
      </c>
      <c r="S707">
        <f>MONTH(Healthcare_Data[[#This Row],[Visit_Date]])</f>
        <v>9</v>
      </c>
      <c r="T707" t="str">
        <f>IF(Healthcare_Data[[#This Row],[Final_Bill]]&gt;=50000,"High",IF(Healthcare_Data[[#This Row],[Final_Bill]]&gt;=20000,"Medium","low"))</f>
        <v>Medium</v>
      </c>
    </row>
    <row r="708" spans="1:20" x14ac:dyDescent="0.3">
      <c r="A708" t="s">
        <v>763</v>
      </c>
      <c r="B708" s="3">
        <v>45910</v>
      </c>
      <c r="C708" t="s">
        <v>67</v>
      </c>
      <c r="D708" t="s">
        <v>19</v>
      </c>
      <c r="E708" t="s">
        <v>20</v>
      </c>
      <c r="F708" t="s">
        <v>21</v>
      </c>
      <c r="G708">
        <v>66</v>
      </c>
      <c r="H708" t="s">
        <v>46</v>
      </c>
      <c r="I708" t="s">
        <v>57</v>
      </c>
      <c r="J708" t="s">
        <v>24</v>
      </c>
      <c r="K708">
        <v>0</v>
      </c>
      <c r="L708" s="4">
        <v>17111</v>
      </c>
      <c r="M708">
        <v>1000</v>
      </c>
      <c r="N708">
        <v>16111</v>
      </c>
      <c r="O708" t="s">
        <v>25</v>
      </c>
      <c r="P708">
        <v>2.5</v>
      </c>
      <c r="Q708">
        <v>14</v>
      </c>
      <c r="R708" t="str">
        <f>TEXT(Healthcare_Data[[#This Row],[Visit_Date]],"mmm")</f>
        <v>Sep</v>
      </c>
      <c r="S708">
        <f>MONTH(Healthcare_Data[[#This Row],[Visit_Date]])</f>
        <v>9</v>
      </c>
      <c r="T708" t="str">
        <f>IF(Healthcare_Data[[#This Row],[Final_Bill]]&gt;=50000,"High",IF(Healthcare_Data[[#This Row],[Final_Bill]]&gt;=20000,"Medium","low"))</f>
        <v>low</v>
      </c>
    </row>
    <row r="709" spans="1:20" x14ac:dyDescent="0.3">
      <c r="A709" t="s">
        <v>764</v>
      </c>
      <c r="B709" s="3">
        <v>45910</v>
      </c>
      <c r="C709" t="s">
        <v>44</v>
      </c>
      <c r="D709" t="s">
        <v>19</v>
      </c>
      <c r="E709" t="s">
        <v>20</v>
      </c>
      <c r="F709" t="s">
        <v>21</v>
      </c>
      <c r="G709">
        <v>52</v>
      </c>
      <c r="H709" t="s">
        <v>65</v>
      </c>
      <c r="I709" t="s">
        <v>23</v>
      </c>
      <c r="J709" t="s">
        <v>31</v>
      </c>
      <c r="K709">
        <v>0</v>
      </c>
      <c r="L709" s="4">
        <v>16455</v>
      </c>
      <c r="M709">
        <v>1000</v>
      </c>
      <c r="N709">
        <v>15455</v>
      </c>
      <c r="O709" t="s">
        <v>25</v>
      </c>
      <c r="P709">
        <v>2.7</v>
      </c>
      <c r="Q709">
        <v>74</v>
      </c>
      <c r="R709" t="str">
        <f>TEXT(Healthcare_Data[[#This Row],[Visit_Date]],"mmm")</f>
        <v>Sep</v>
      </c>
      <c r="S709">
        <f>MONTH(Healthcare_Data[[#This Row],[Visit_Date]])</f>
        <v>9</v>
      </c>
      <c r="T709" t="str">
        <f>IF(Healthcare_Data[[#This Row],[Final_Bill]]&gt;=50000,"High",IF(Healthcare_Data[[#This Row],[Final_Bill]]&gt;=20000,"Medium","low"))</f>
        <v>low</v>
      </c>
    </row>
    <row r="710" spans="1:20" x14ac:dyDescent="0.3">
      <c r="A710" t="s">
        <v>765</v>
      </c>
      <c r="B710" s="3">
        <v>45910</v>
      </c>
      <c r="C710" t="s">
        <v>54</v>
      </c>
      <c r="D710" t="s">
        <v>28</v>
      </c>
      <c r="E710" t="s">
        <v>54</v>
      </c>
      <c r="F710" t="s">
        <v>21</v>
      </c>
      <c r="G710">
        <v>32</v>
      </c>
      <c r="H710" t="s">
        <v>65</v>
      </c>
      <c r="I710" t="s">
        <v>42</v>
      </c>
      <c r="J710" t="s">
        <v>24</v>
      </c>
      <c r="K710">
        <v>0</v>
      </c>
      <c r="L710" s="4">
        <v>27230</v>
      </c>
      <c r="M710">
        <v>0</v>
      </c>
      <c r="N710">
        <v>27230</v>
      </c>
      <c r="O710" t="s">
        <v>25</v>
      </c>
      <c r="P710">
        <v>3</v>
      </c>
      <c r="Q710">
        <v>97</v>
      </c>
      <c r="R710" t="str">
        <f>TEXT(Healthcare_Data[[#This Row],[Visit_Date]],"mmm")</f>
        <v>Sep</v>
      </c>
      <c r="S710">
        <f>MONTH(Healthcare_Data[[#This Row],[Visit_Date]])</f>
        <v>9</v>
      </c>
      <c r="T710" t="str">
        <f>IF(Healthcare_Data[[#This Row],[Final_Bill]]&gt;=50000,"High",IF(Healthcare_Data[[#This Row],[Final_Bill]]&gt;=20000,"Medium","low"))</f>
        <v>Medium</v>
      </c>
    </row>
    <row r="711" spans="1:20" x14ac:dyDescent="0.3">
      <c r="A711" t="s">
        <v>766</v>
      </c>
      <c r="B711" s="3">
        <v>45911</v>
      </c>
      <c r="C711" t="s">
        <v>54</v>
      </c>
      <c r="D711" t="s">
        <v>34</v>
      </c>
      <c r="E711" t="s">
        <v>20</v>
      </c>
      <c r="F711" t="s">
        <v>21</v>
      </c>
      <c r="G711">
        <v>76</v>
      </c>
      <c r="H711" t="s">
        <v>41</v>
      </c>
      <c r="I711" t="s">
        <v>61</v>
      </c>
      <c r="J711" t="s">
        <v>24</v>
      </c>
      <c r="K711">
        <v>0</v>
      </c>
      <c r="L711" s="4">
        <v>6935</v>
      </c>
      <c r="M711">
        <v>500</v>
      </c>
      <c r="N711">
        <v>6435</v>
      </c>
      <c r="O711" t="s">
        <v>59</v>
      </c>
      <c r="P711">
        <v>4.9000000000000004</v>
      </c>
      <c r="Q711">
        <v>11</v>
      </c>
      <c r="R711" t="str">
        <f>TEXT(Healthcare_Data[[#This Row],[Visit_Date]],"mmm")</f>
        <v>Sep</v>
      </c>
      <c r="S711">
        <f>MONTH(Healthcare_Data[[#This Row],[Visit_Date]])</f>
        <v>9</v>
      </c>
      <c r="T711" t="str">
        <f>IF(Healthcare_Data[[#This Row],[Final_Bill]]&gt;=50000,"High",IF(Healthcare_Data[[#This Row],[Final_Bill]]&gt;=20000,"Medium","low"))</f>
        <v>low</v>
      </c>
    </row>
    <row r="712" spans="1:20" x14ac:dyDescent="0.3">
      <c r="A712" t="s">
        <v>767</v>
      </c>
      <c r="B712" s="3">
        <v>45911</v>
      </c>
      <c r="C712" t="s">
        <v>44</v>
      </c>
      <c r="D712" t="s">
        <v>19</v>
      </c>
      <c r="E712" t="s">
        <v>54</v>
      </c>
      <c r="F712" t="s">
        <v>21</v>
      </c>
      <c r="G712">
        <v>69</v>
      </c>
      <c r="H712" t="s">
        <v>35</v>
      </c>
      <c r="I712" t="s">
        <v>72</v>
      </c>
      <c r="J712" t="s">
        <v>31</v>
      </c>
      <c r="K712">
        <v>0</v>
      </c>
      <c r="L712" s="4">
        <v>26000</v>
      </c>
      <c r="M712">
        <v>500</v>
      </c>
      <c r="N712">
        <v>25500</v>
      </c>
      <c r="O712" t="s">
        <v>25</v>
      </c>
      <c r="P712">
        <v>2.6</v>
      </c>
      <c r="Q712">
        <v>77</v>
      </c>
      <c r="R712" t="str">
        <f>TEXT(Healthcare_Data[[#This Row],[Visit_Date]],"mmm")</f>
        <v>Sep</v>
      </c>
      <c r="S712">
        <f>MONTH(Healthcare_Data[[#This Row],[Visit_Date]])</f>
        <v>9</v>
      </c>
      <c r="T712" t="str">
        <f>IF(Healthcare_Data[[#This Row],[Final_Bill]]&gt;=50000,"High",IF(Healthcare_Data[[#This Row],[Final_Bill]]&gt;=20000,"Medium","low"))</f>
        <v>Medium</v>
      </c>
    </row>
    <row r="713" spans="1:20" x14ac:dyDescent="0.3">
      <c r="A713" t="s">
        <v>768</v>
      </c>
      <c r="B713" s="3">
        <v>45911</v>
      </c>
      <c r="C713" t="s">
        <v>54</v>
      </c>
      <c r="D713" t="s">
        <v>34</v>
      </c>
      <c r="E713" t="s">
        <v>20</v>
      </c>
      <c r="F713" t="s">
        <v>21</v>
      </c>
      <c r="G713">
        <v>37</v>
      </c>
      <c r="H713" t="s">
        <v>35</v>
      </c>
      <c r="I713" t="s">
        <v>42</v>
      </c>
      <c r="J713" t="s">
        <v>36</v>
      </c>
      <c r="K713">
        <v>0</v>
      </c>
      <c r="L713" s="4">
        <v>10274</v>
      </c>
      <c r="M713">
        <v>500</v>
      </c>
      <c r="N713">
        <v>9774</v>
      </c>
      <c r="O713" t="s">
        <v>25</v>
      </c>
      <c r="Q713">
        <v>73</v>
      </c>
      <c r="R713" t="str">
        <f>TEXT(Healthcare_Data[[#This Row],[Visit_Date]],"mmm")</f>
        <v>Sep</v>
      </c>
      <c r="S713">
        <f>MONTH(Healthcare_Data[[#This Row],[Visit_Date]])</f>
        <v>9</v>
      </c>
      <c r="T713" t="str">
        <f>IF(Healthcare_Data[[#This Row],[Final_Bill]]&gt;=50000,"High",IF(Healthcare_Data[[#This Row],[Final_Bill]]&gt;=20000,"Medium","low"))</f>
        <v>low</v>
      </c>
    </row>
    <row r="714" spans="1:20" x14ac:dyDescent="0.3">
      <c r="A714" t="s">
        <v>769</v>
      </c>
      <c r="B714" s="3">
        <v>45912</v>
      </c>
      <c r="C714" t="s">
        <v>27</v>
      </c>
      <c r="D714" t="s">
        <v>39</v>
      </c>
      <c r="E714" t="s">
        <v>20</v>
      </c>
      <c r="F714" t="s">
        <v>21</v>
      </c>
      <c r="G714">
        <v>25</v>
      </c>
      <c r="H714" t="s">
        <v>115</v>
      </c>
      <c r="I714" t="s">
        <v>69</v>
      </c>
      <c r="J714" t="s">
        <v>24</v>
      </c>
      <c r="K714">
        <v>0</v>
      </c>
      <c r="L714" s="4">
        <v>9376</v>
      </c>
      <c r="M714">
        <v>0</v>
      </c>
      <c r="N714">
        <v>9376</v>
      </c>
      <c r="O714" t="s">
        <v>32</v>
      </c>
      <c r="P714">
        <v>3.4</v>
      </c>
      <c r="Q714">
        <v>14</v>
      </c>
      <c r="R714" t="str">
        <f>TEXT(Healthcare_Data[[#This Row],[Visit_Date]],"mmm")</f>
        <v>Sep</v>
      </c>
      <c r="S714">
        <f>MONTH(Healthcare_Data[[#This Row],[Visit_Date]])</f>
        <v>9</v>
      </c>
      <c r="T714" t="str">
        <f>IF(Healthcare_Data[[#This Row],[Final_Bill]]&gt;=50000,"High",IF(Healthcare_Data[[#This Row],[Final_Bill]]&gt;=20000,"Medium","low"))</f>
        <v>low</v>
      </c>
    </row>
    <row r="715" spans="1:20" x14ac:dyDescent="0.3">
      <c r="A715" t="s">
        <v>770</v>
      </c>
      <c r="B715" s="3">
        <v>45912</v>
      </c>
      <c r="C715" t="s">
        <v>44</v>
      </c>
      <c r="D715" t="s">
        <v>19</v>
      </c>
      <c r="E715" t="s">
        <v>20</v>
      </c>
      <c r="F715" t="s">
        <v>21</v>
      </c>
      <c r="G715">
        <v>72</v>
      </c>
      <c r="H715" t="s">
        <v>56</v>
      </c>
      <c r="I715" t="s">
        <v>30</v>
      </c>
      <c r="J715" t="s">
        <v>31</v>
      </c>
      <c r="K715">
        <v>0</v>
      </c>
      <c r="L715" s="4">
        <v>13608</v>
      </c>
      <c r="M715">
        <v>2000</v>
      </c>
      <c r="N715">
        <v>11608</v>
      </c>
      <c r="O715" t="s">
        <v>25</v>
      </c>
      <c r="P715">
        <v>4.8</v>
      </c>
      <c r="Q715">
        <v>110</v>
      </c>
      <c r="R715" t="str">
        <f>TEXT(Healthcare_Data[[#This Row],[Visit_Date]],"mmm")</f>
        <v>Sep</v>
      </c>
      <c r="S715">
        <f>MONTH(Healthcare_Data[[#This Row],[Visit_Date]])</f>
        <v>9</v>
      </c>
      <c r="T715" t="str">
        <f>IF(Healthcare_Data[[#This Row],[Final_Bill]]&gt;=50000,"High",IF(Healthcare_Data[[#This Row],[Final_Bill]]&gt;=20000,"Medium","low"))</f>
        <v>low</v>
      </c>
    </row>
    <row r="716" spans="1:20" x14ac:dyDescent="0.3">
      <c r="A716" t="s">
        <v>771</v>
      </c>
      <c r="B716" s="3">
        <v>45912</v>
      </c>
      <c r="C716" t="s">
        <v>18</v>
      </c>
      <c r="D716" t="s">
        <v>34</v>
      </c>
      <c r="E716" t="s">
        <v>52</v>
      </c>
      <c r="F716" t="s">
        <v>21</v>
      </c>
      <c r="G716">
        <v>35</v>
      </c>
      <c r="H716" t="s">
        <v>65</v>
      </c>
      <c r="I716" t="s">
        <v>63</v>
      </c>
      <c r="J716" t="s">
        <v>24</v>
      </c>
      <c r="K716">
        <v>2</v>
      </c>
      <c r="L716" s="4">
        <v>27834</v>
      </c>
      <c r="M716">
        <v>500</v>
      </c>
      <c r="N716">
        <v>27334</v>
      </c>
      <c r="O716" t="s">
        <v>59</v>
      </c>
      <c r="P716">
        <v>4.5</v>
      </c>
      <c r="Q716">
        <v>59</v>
      </c>
      <c r="R716" t="str">
        <f>TEXT(Healthcare_Data[[#This Row],[Visit_Date]],"mmm")</f>
        <v>Sep</v>
      </c>
      <c r="S716">
        <f>MONTH(Healthcare_Data[[#This Row],[Visit_Date]])</f>
        <v>9</v>
      </c>
      <c r="T716" t="str">
        <f>IF(Healthcare_Data[[#This Row],[Final_Bill]]&gt;=50000,"High",IF(Healthcare_Data[[#This Row],[Final_Bill]]&gt;=20000,"Medium","low"))</f>
        <v>Medium</v>
      </c>
    </row>
    <row r="717" spans="1:20" x14ac:dyDescent="0.3">
      <c r="A717" t="s">
        <v>772</v>
      </c>
      <c r="B717" s="3">
        <v>45913</v>
      </c>
      <c r="C717" t="s">
        <v>27</v>
      </c>
      <c r="D717" t="s">
        <v>34</v>
      </c>
      <c r="E717" t="s">
        <v>20</v>
      </c>
      <c r="F717" t="s">
        <v>21</v>
      </c>
      <c r="G717">
        <v>50</v>
      </c>
      <c r="H717" t="s">
        <v>29</v>
      </c>
      <c r="I717" t="s">
        <v>23</v>
      </c>
      <c r="J717" t="s">
        <v>36</v>
      </c>
      <c r="K717">
        <v>0</v>
      </c>
      <c r="L717" s="4">
        <v>16401</v>
      </c>
      <c r="M717">
        <v>0</v>
      </c>
      <c r="N717">
        <v>16401</v>
      </c>
      <c r="O717" t="s">
        <v>25</v>
      </c>
      <c r="P717">
        <v>3.9</v>
      </c>
      <c r="Q717">
        <v>79</v>
      </c>
      <c r="R717" t="str">
        <f>TEXT(Healthcare_Data[[#This Row],[Visit_Date]],"mmm")</f>
        <v>Sep</v>
      </c>
      <c r="S717">
        <f>MONTH(Healthcare_Data[[#This Row],[Visit_Date]])</f>
        <v>9</v>
      </c>
      <c r="T717" t="str">
        <f>IF(Healthcare_Data[[#This Row],[Final_Bill]]&gt;=50000,"High",IF(Healthcare_Data[[#This Row],[Final_Bill]]&gt;=20000,"Medium","low"))</f>
        <v>low</v>
      </c>
    </row>
    <row r="718" spans="1:20" x14ac:dyDescent="0.3">
      <c r="A718" t="s">
        <v>773</v>
      </c>
      <c r="B718" s="3">
        <v>45913</v>
      </c>
      <c r="C718" t="s">
        <v>67</v>
      </c>
      <c r="D718" t="s">
        <v>34</v>
      </c>
      <c r="E718" t="s">
        <v>20</v>
      </c>
      <c r="F718" t="s">
        <v>40</v>
      </c>
      <c r="G718">
        <v>37</v>
      </c>
      <c r="H718" t="s">
        <v>41</v>
      </c>
      <c r="I718" t="s">
        <v>1057</v>
      </c>
      <c r="J718" t="s">
        <v>58</v>
      </c>
      <c r="K718">
        <v>0</v>
      </c>
      <c r="L718" s="4">
        <v>4964</v>
      </c>
      <c r="M718">
        <v>0</v>
      </c>
      <c r="N718">
        <v>4964</v>
      </c>
      <c r="O718" t="s">
        <v>25</v>
      </c>
      <c r="P718">
        <v>3.3</v>
      </c>
      <c r="Q718">
        <v>69</v>
      </c>
      <c r="R718" t="str">
        <f>TEXT(Healthcare_Data[[#This Row],[Visit_Date]],"mmm")</f>
        <v>Sep</v>
      </c>
      <c r="S718">
        <f>MONTH(Healthcare_Data[[#This Row],[Visit_Date]])</f>
        <v>9</v>
      </c>
      <c r="T718" t="str">
        <f>IF(Healthcare_Data[[#This Row],[Final_Bill]]&gt;=50000,"High",IF(Healthcare_Data[[#This Row],[Final_Bill]]&gt;=20000,"Medium","low"))</f>
        <v>low</v>
      </c>
    </row>
    <row r="719" spans="1:20" x14ac:dyDescent="0.3">
      <c r="A719" t="s">
        <v>774</v>
      </c>
      <c r="B719" s="3">
        <v>45914</v>
      </c>
      <c r="C719" t="s">
        <v>18</v>
      </c>
      <c r="D719" t="s">
        <v>34</v>
      </c>
      <c r="E719" t="s">
        <v>52</v>
      </c>
      <c r="F719" t="s">
        <v>40</v>
      </c>
      <c r="G719">
        <v>65</v>
      </c>
      <c r="H719" t="s">
        <v>35</v>
      </c>
      <c r="I719" t="s">
        <v>63</v>
      </c>
      <c r="J719" t="s">
        <v>58</v>
      </c>
      <c r="K719">
        <v>12</v>
      </c>
      <c r="L719" s="4">
        <v>28262</v>
      </c>
      <c r="M719">
        <v>1500</v>
      </c>
      <c r="N719">
        <v>26762</v>
      </c>
      <c r="O719" t="s">
        <v>25</v>
      </c>
      <c r="P719">
        <v>2.7</v>
      </c>
      <c r="Q719">
        <v>50</v>
      </c>
      <c r="R719" t="str">
        <f>TEXT(Healthcare_Data[[#This Row],[Visit_Date]],"mmm")</f>
        <v>Sep</v>
      </c>
      <c r="S719">
        <f>MONTH(Healthcare_Data[[#This Row],[Visit_Date]])</f>
        <v>9</v>
      </c>
      <c r="T719" t="str">
        <f>IF(Healthcare_Data[[#This Row],[Final_Bill]]&gt;=50000,"High",IF(Healthcare_Data[[#This Row],[Final_Bill]]&gt;=20000,"Medium","low"))</f>
        <v>Medium</v>
      </c>
    </row>
    <row r="720" spans="1:20" x14ac:dyDescent="0.3">
      <c r="A720" t="s">
        <v>775</v>
      </c>
      <c r="B720" s="3">
        <v>45914</v>
      </c>
      <c r="C720" t="s">
        <v>54</v>
      </c>
      <c r="D720" t="s">
        <v>28</v>
      </c>
      <c r="E720" t="s">
        <v>52</v>
      </c>
      <c r="F720" t="s">
        <v>21</v>
      </c>
      <c r="G720">
        <v>48</v>
      </c>
      <c r="H720" t="s">
        <v>115</v>
      </c>
      <c r="I720" t="s">
        <v>63</v>
      </c>
      <c r="J720" t="s">
        <v>24</v>
      </c>
      <c r="K720">
        <v>8</v>
      </c>
      <c r="L720" s="4">
        <v>42588</v>
      </c>
      <c r="M720">
        <v>0</v>
      </c>
      <c r="N720">
        <v>42588</v>
      </c>
      <c r="O720" t="s">
        <v>32</v>
      </c>
      <c r="P720">
        <v>3.5</v>
      </c>
      <c r="Q720">
        <v>105</v>
      </c>
      <c r="R720" t="str">
        <f>TEXT(Healthcare_Data[[#This Row],[Visit_Date]],"mmm")</f>
        <v>Sep</v>
      </c>
      <c r="S720">
        <f>MONTH(Healthcare_Data[[#This Row],[Visit_Date]])</f>
        <v>9</v>
      </c>
      <c r="T720" t="str">
        <f>IF(Healthcare_Data[[#This Row],[Final_Bill]]&gt;=50000,"High",IF(Healthcare_Data[[#This Row],[Final_Bill]]&gt;=20000,"Medium","low"))</f>
        <v>Medium</v>
      </c>
    </row>
    <row r="721" spans="1:20" x14ac:dyDescent="0.3">
      <c r="A721" t="s">
        <v>776</v>
      </c>
      <c r="B721" s="3">
        <v>45914</v>
      </c>
      <c r="C721" t="s">
        <v>54</v>
      </c>
      <c r="D721" t="s">
        <v>28</v>
      </c>
      <c r="E721" t="s">
        <v>20</v>
      </c>
      <c r="F721" t="s">
        <v>21</v>
      </c>
      <c r="G721">
        <v>58</v>
      </c>
      <c r="H721" t="s">
        <v>65</v>
      </c>
      <c r="I721" t="s">
        <v>57</v>
      </c>
      <c r="J721" t="s">
        <v>24</v>
      </c>
      <c r="K721">
        <v>0</v>
      </c>
      <c r="L721" s="4">
        <v>11911</v>
      </c>
      <c r="M721">
        <v>0</v>
      </c>
      <c r="N721">
        <v>11911</v>
      </c>
      <c r="O721" t="s">
        <v>25</v>
      </c>
      <c r="P721">
        <v>4.4000000000000004</v>
      </c>
      <c r="Q721">
        <v>12</v>
      </c>
      <c r="R721" t="str">
        <f>TEXT(Healthcare_Data[[#This Row],[Visit_Date]],"mmm")</f>
        <v>Sep</v>
      </c>
      <c r="S721">
        <f>MONTH(Healthcare_Data[[#This Row],[Visit_Date]])</f>
        <v>9</v>
      </c>
      <c r="T721" t="str">
        <f>IF(Healthcare_Data[[#This Row],[Final_Bill]]&gt;=50000,"High",IF(Healthcare_Data[[#This Row],[Final_Bill]]&gt;=20000,"Medium","low"))</f>
        <v>low</v>
      </c>
    </row>
    <row r="722" spans="1:20" x14ac:dyDescent="0.3">
      <c r="A722" t="s">
        <v>777</v>
      </c>
      <c r="B722" s="3">
        <v>45915</v>
      </c>
      <c r="C722" t="s">
        <v>67</v>
      </c>
      <c r="D722" t="s">
        <v>19</v>
      </c>
      <c r="E722" t="s">
        <v>54</v>
      </c>
      <c r="F722" t="s">
        <v>21</v>
      </c>
      <c r="G722">
        <v>48</v>
      </c>
      <c r="H722" t="s">
        <v>35</v>
      </c>
      <c r="I722" t="s">
        <v>23</v>
      </c>
      <c r="J722" t="s">
        <v>36</v>
      </c>
      <c r="K722">
        <v>0</v>
      </c>
      <c r="L722" s="4">
        <v>9506</v>
      </c>
      <c r="M722">
        <v>0</v>
      </c>
      <c r="N722">
        <v>9506</v>
      </c>
      <c r="O722" t="s">
        <v>25</v>
      </c>
      <c r="P722">
        <v>3.8</v>
      </c>
      <c r="Q722">
        <v>66</v>
      </c>
      <c r="R722" t="str">
        <f>TEXT(Healthcare_Data[[#This Row],[Visit_Date]],"mmm")</f>
        <v>Sep</v>
      </c>
      <c r="S722">
        <f>MONTH(Healthcare_Data[[#This Row],[Visit_Date]])</f>
        <v>9</v>
      </c>
      <c r="T722" t="str">
        <f>IF(Healthcare_Data[[#This Row],[Final_Bill]]&gt;=50000,"High",IF(Healthcare_Data[[#This Row],[Final_Bill]]&gt;=20000,"Medium","low"))</f>
        <v>low</v>
      </c>
    </row>
    <row r="723" spans="1:20" x14ac:dyDescent="0.3">
      <c r="A723" t="s">
        <v>778</v>
      </c>
      <c r="B723" s="3">
        <v>45915</v>
      </c>
      <c r="C723" t="s">
        <v>67</v>
      </c>
      <c r="D723" t="s">
        <v>34</v>
      </c>
      <c r="E723" t="s">
        <v>52</v>
      </c>
      <c r="F723" t="s">
        <v>40</v>
      </c>
      <c r="G723">
        <v>37</v>
      </c>
      <c r="H723" t="s">
        <v>29</v>
      </c>
      <c r="I723" t="s">
        <v>63</v>
      </c>
      <c r="J723" t="s">
        <v>24</v>
      </c>
      <c r="K723">
        <v>8</v>
      </c>
      <c r="L723" s="4">
        <v>20901</v>
      </c>
      <c r="M723">
        <v>500</v>
      </c>
      <c r="N723">
        <v>20401</v>
      </c>
      <c r="O723" t="s">
        <v>25</v>
      </c>
      <c r="P723">
        <v>4.5999999999999996</v>
      </c>
      <c r="Q723">
        <v>83</v>
      </c>
      <c r="R723" t="str">
        <f>TEXT(Healthcare_Data[[#This Row],[Visit_Date]],"mmm")</f>
        <v>Sep</v>
      </c>
      <c r="S723">
        <f>MONTH(Healthcare_Data[[#This Row],[Visit_Date]])</f>
        <v>9</v>
      </c>
      <c r="T723" t="str">
        <f>IF(Healthcare_Data[[#This Row],[Final_Bill]]&gt;=50000,"High",IF(Healthcare_Data[[#This Row],[Final_Bill]]&gt;=20000,"Medium","low"))</f>
        <v>Medium</v>
      </c>
    </row>
    <row r="724" spans="1:20" x14ac:dyDescent="0.3">
      <c r="A724" t="s">
        <v>779</v>
      </c>
      <c r="B724" s="3">
        <v>45916</v>
      </c>
      <c r="C724" t="s">
        <v>48</v>
      </c>
      <c r="D724" t="s">
        <v>34</v>
      </c>
      <c r="E724" t="s">
        <v>54</v>
      </c>
      <c r="F724" t="s">
        <v>40</v>
      </c>
      <c r="G724">
        <v>76</v>
      </c>
      <c r="H724" t="s">
        <v>22</v>
      </c>
      <c r="I724" t="s">
        <v>61</v>
      </c>
      <c r="J724" t="s">
        <v>36</v>
      </c>
      <c r="K724">
        <v>0</v>
      </c>
      <c r="L724" s="4">
        <v>31616</v>
      </c>
      <c r="M724">
        <v>0</v>
      </c>
      <c r="N724">
        <v>31616</v>
      </c>
      <c r="O724" t="s">
        <v>25</v>
      </c>
      <c r="P724">
        <v>4.9000000000000004</v>
      </c>
      <c r="Q724">
        <v>63</v>
      </c>
      <c r="R724" t="str">
        <f>TEXT(Healthcare_Data[[#This Row],[Visit_Date]],"mmm")</f>
        <v>Sep</v>
      </c>
      <c r="S724">
        <f>MONTH(Healthcare_Data[[#This Row],[Visit_Date]])</f>
        <v>9</v>
      </c>
      <c r="T724" t="str">
        <f>IF(Healthcare_Data[[#This Row],[Final_Bill]]&gt;=50000,"High",IF(Healthcare_Data[[#This Row],[Final_Bill]]&gt;=20000,"Medium","low"))</f>
        <v>Medium</v>
      </c>
    </row>
    <row r="725" spans="1:20" x14ac:dyDescent="0.3">
      <c r="A725" t="s">
        <v>780</v>
      </c>
      <c r="B725" s="3">
        <v>45916</v>
      </c>
      <c r="C725" t="s">
        <v>50</v>
      </c>
      <c r="D725" t="s">
        <v>19</v>
      </c>
      <c r="E725" t="s">
        <v>20</v>
      </c>
      <c r="F725" t="s">
        <v>40</v>
      </c>
      <c r="G725">
        <v>21</v>
      </c>
      <c r="H725" t="s">
        <v>29</v>
      </c>
      <c r="I725" t="s">
        <v>30</v>
      </c>
      <c r="J725" t="s">
        <v>36</v>
      </c>
      <c r="K725">
        <v>0</v>
      </c>
      <c r="L725" s="4">
        <v>7974</v>
      </c>
      <c r="M725">
        <v>1000</v>
      </c>
      <c r="N725">
        <v>6974</v>
      </c>
      <c r="O725" t="s">
        <v>25</v>
      </c>
      <c r="P725">
        <v>3.5</v>
      </c>
      <c r="Q725">
        <v>39</v>
      </c>
      <c r="R725" t="str">
        <f>TEXT(Healthcare_Data[[#This Row],[Visit_Date]],"mmm")</f>
        <v>Sep</v>
      </c>
      <c r="S725">
        <f>MONTH(Healthcare_Data[[#This Row],[Visit_Date]])</f>
        <v>9</v>
      </c>
      <c r="T725" t="str">
        <f>IF(Healthcare_Data[[#This Row],[Final_Bill]]&gt;=50000,"High",IF(Healthcare_Data[[#This Row],[Final_Bill]]&gt;=20000,"Medium","low"))</f>
        <v>low</v>
      </c>
    </row>
    <row r="726" spans="1:20" x14ac:dyDescent="0.3">
      <c r="A726" t="s">
        <v>781</v>
      </c>
      <c r="B726" s="3">
        <v>45916</v>
      </c>
      <c r="C726" t="s">
        <v>50</v>
      </c>
      <c r="D726" t="s">
        <v>51</v>
      </c>
      <c r="E726" t="s">
        <v>20</v>
      </c>
      <c r="F726" t="s">
        <v>40</v>
      </c>
      <c r="G726">
        <v>56</v>
      </c>
      <c r="H726" t="s">
        <v>46</v>
      </c>
      <c r="I726" t="s">
        <v>61</v>
      </c>
      <c r="J726" t="s">
        <v>31</v>
      </c>
      <c r="K726">
        <v>0</v>
      </c>
      <c r="L726" s="4">
        <v>10454</v>
      </c>
      <c r="M726">
        <v>500</v>
      </c>
      <c r="N726">
        <v>9954</v>
      </c>
      <c r="O726" t="s">
        <v>25</v>
      </c>
      <c r="P726">
        <v>4.3</v>
      </c>
      <c r="Q726">
        <v>100</v>
      </c>
      <c r="R726" t="str">
        <f>TEXT(Healthcare_Data[[#This Row],[Visit_Date]],"mmm")</f>
        <v>Sep</v>
      </c>
      <c r="S726">
        <f>MONTH(Healthcare_Data[[#This Row],[Visit_Date]])</f>
        <v>9</v>
      </c>
      <c r="T726" t="str">
        <f>IF(Healthcare_Data[[#This Row],[Final_Bill]]&gt;=50000,"High",IF(Healthcare_Data[[#This Row],[Final_Bill]]&gt;=20000,"Medium","low"))</f>
        <v>low</v>
      </c>
    </row>
    <row r="727" spans="1:20" x14ac:dyDescent="0.3">
      <c r="A727" t="s">
        <v>782</v>
      </c>
      <c r="B727" s="3">
        <v>45916</v>
      </c>
      <c r="C727" t="s">
        <v>18</v>
      </c>
      <c r="D727" t="s">
        <v>19</v>
      </c>
      <c r="E727" t="s">
        <v>20</v>
      </c>
      <c r="F727" t="s">
        <v>21</v>
      </c>
      <c r="G727">
        <v>40</v>
      </c>
      <c r="H727" t="s">
        <v>22</v>
      </c>
      <c r="I727" t="s">
        <v>23</v>
      </c>
      <c r="J727" t="s">
        <v>58</v>
      </c>
      <c r="K727">
        <v>0</v>
      </c>
      <c r="L727" s="4">
        <v>12777</v>
      </c>
      <c r="M727">
        <v>0</v>
      </c>
      <c r="N727">
        <v>12777</v>
      </c>
      <c r="O727" t="s">
        <v>25</v>
      </c>
      <c r="P727">
        <v>3.4</v>
      </c>
      <c r="Q727">
        <v>113</v>
      </c>
      <c r="R727" t="str">
        <f>TEXT(Healthcare_Data[[#This Row],[Visit_Date]],"mmm")</f>
        <v>Sep</v>
      </c>
      <c r="S727">
        <f>MONTH(Healthcare_Data[[#This Row],[Visit_Date]])</f>
        <v>9</v>
      </c>
      <c r="T727" t="str">
        <f>IF(Healthcare_Data[[#This Row],[Final_Bill]]&gt;=50000,"High",IF(Healthcare_Data[[#This Row],[Final_Bill]]&gt;=20000,"Medium","low"))</f>
        <v>low</v>
      </c>
    </row>
    <row r="728" spans="1:20" x14ac:dyDescent="0.3">
      <c r="A728" t="s">
        <v>783</v>
      </c>
      <c r="B728" s="3">
        <v>45916</v>
      </c>
      <c r="C728" t="s">
        <v>54</v>
      </c>
      <c r="D728" t="s">
        <v>28</v>
      </c>
      <c r="E728" t="s">
        <v>52</v>
      </c>
      <c r="F728" t="s">
        <v>40</v>
      </c>
      <c r="G728">
        <v>21</v>
      </c>
      <c r="H728" t="s">
        <v>115</v>
      </c>
      <c r="I728" t="s">
        <v>61</v>
      </c>
      <c r="J728" t="s">
        <v>24</v>
      </c>
      <c r="K728">
        <v>9</v>
      </c>
      <c r="L728" s="4">
        <v>63025</v>
      </c>
      <c r="M728">
        <v>2000</v>
      </c>
      <c r="N728">
        <v>61025</v>
      </c>
      <c r="O728" t="s">
        <v>25</v>
      </c>
      <c r="P728">
        <v>3.7</v>
      </c>
      <c r="Q728">
        <v>104</v>
      </c>
      <c r="R728" t="str">
        <f>TEXT(Healthcare_Data[[#This Row],[Visit_Date]],"mmm")</f>
        <v>Sep</v>
      </c>
      <c r="S728">
        <f>MONTH(Healthcare_Data[[#This Row],[Visit_Date]])</f>
        <v>9</v>
      </c>
      <c r="T728" t="str">
        <f>IF(Healthcare_Data[[#This Row],[Final_Bill]]&gt;=50000,"High",IF(Healthcare_Data[[#This Row],[Final_Bill]]&gt;=20000,"Medium","low"))</f>
        <v>High</v>
      </c>
    </row>
    <row r="729" spans="1:20" x14ac:dyDescent="0.3">
      <c r="A729" t="s">
        <v>784</v>
      </c>
      <c r="B729" s="3">
        <v>45917</v>
      </c>
      <c r="C729" t="s">
        <v>67</v>
      </c>
      <c r="D729" t="s">
        <v>51</v>
      </c>
      <c r="E729" t="s">
        <v>52</v>
      </c>
      <c r="F729" t="s">
        <v>21</v>
      </c>
      <c r="G729">
        <v>60</v>
      </c>
      <c r="H729" t="s">
        <v>41</v>
      </c>
      <c r="I729" t="s">
        <v>30</v>
      </c>
      <c r="J729" t="s">
        <v>36</v>
      </c>
      <c r="K729">
        <v>6</v>
      </c>
      <c r="L729" s="4">
        <v>78355</v>
      </c>
      <c r="M729">
        <v>1000</v>
      </c>
      <c r="N729">
        <v>77355</v>
      </c>
      <c r="O729" t="s">
        <v>25</v>
      </c>
      <c r="P729">
        <v>3.7</v>
      </c>
      <c r="Q729">
        <v>119</v>
      </c>
      <c r="R729" t="str">
        <f>TEXT(Healthcare_Data[[#This Row],[Visit_Date]],"mmm")</f>
        <v>Sep</v>
      </c>
      <c r="S729">
        <f>MONTH(Healthcare_Data[[#This Row],[Visit_Date]])</f>
        <v>9</v>
      </c>
      <c r="T729" t="str">
        <f>IF(Healthcare_Data[[#This Row],[Final_Bill]]&gt;=50000,"High",IF(Healthcare_Data[[#This Row],[Final_Bill]]&gt;=20000,"Medium","low"))</f>
        <v>High</v>
      </c>
    </row>
    <row r="730" spans="1:20" x14ac:dyDescent="0.3">
      <c r="A730" t="s">
        <v>785</v>
      </c>
      <c r="B730" s="3">
        <v>45917</v>
      </c>
      <c r="C730" t="s">
        <v>48</v>
      </c>
      <c r="D730" t="s">
        <v>19</v>
      </c>
      <c r="E730" t="s">
        <v>20</v>
      </c>
      <c r="F730" t="s">
        <v>21</v>
      </c>
      <c r="G730">
        <v>74</v>
      </c>
      <c r="H730" t="s">
        <v>29</v>
      </c>
      <c r="I730" t="s">
        <v>42</v>
      </c>
      <c r="J730" t="s">
        <v>24</v>
      </c>
      <c r="K730">
        <v>0</v>
      </c>
      <c r="L730" s="4">
        <v>8422</v>
      </c>
      <c r="M730">
        <v>0</v>
      </c>
      <c r="N730">
        <v>8422</v>
      </c>
      <c r="O730" t="s">
        <v>25</v>
      </c>
      <c r="P730">
        <v>4.5</v>
      </c>
      <c r="Q730">
        <v>94</v>
      </c>
      <c r="R730" t="str">
        <f>TEXT(Healthcare_Data[[#This Row],[Visit_Date]],"mmm")</f>
        <v>Sep</v>
      </c>
      <c r="S730">
        <f>MONTH(Healthcare_Data[[#This Row],[Visit_Date]])</f>
        <v>9</v>
      </c>
      <c r="T730" t="str">
        <f>IF(Healthcare_Data[[#This Row],[Final_Bill]]&gt;=50000,"High",IF(Healthcare_Data[[#This Row],[Final_Bill]]&gt;=20000,"Medium","low"))</f>
        <v>low</v>
      </c>
    </row>
    <row r="731" spans="1:20" x14ac:dyDescent="0.3">
      <c r="A731" t="s">
        <v>786</v>
      </c>
      <c r="B731" s="3">
        <v>45918</v>
      </c>
      <c r="C731" t="s">
        <v>18</v>
      </c>
      <c r="D731" t="s">
        <v>39</v>
      </c>
      <c r="E731" t="s">
        <v>20</v>
      </c>
      <c r="F731" t="s">
        <v>21</v>
      </c>
      <c r="G731">
        <v>28</v>
      </c>
      <c r="H731" t="s">
        <v>22</v>
      </c>
      <c r="I731" t="s">
        <v>23</v>
      </c>
      <c r="J731" t="s">
        <v>36</v>
      </c>
      <c r="K731">
        <v>0</v>
      </c>
      <c r="L731" s="4">
        <v>17965</v>
      </c>
      <c r="M731">
        <v>1000</v>
      </c>
      <c r="N731">
        <v>16965</v>
      </c>
      <c r="O731" t="s">
        <v>25</v>
      </c>
      <c r="P731">
        <v>2.5</v>
      </c>
      <c r="Q731">
        <v>83</v>
      </c>
      <c r="R731" t="str">
        <f>TEXT(Healthcare_Data[[#This Row],[Visit_Date]],"mmm")</f>
        <v>Sep</v>
      </c>
      <c r="S731">
        <f>MONTH(Healthcare_Data[[#This Row],[Visit_Date]])</f>
        <v>9</v>
      </c>
      <c r="T731" t="str">
        <f>IF(Healthcare_Data[[#This Row],[Final_Bill]]&gt;=50000,"High",IF(Healthcare_Data[[#This Row],[Final_Bill]]&gt;=20000,"Medium","low"))</f>
        <v>low</v>
      </c>
    </row>
    <row r="732" spans="1:20" x14ac:dyDescent="0.3">
      <c r="A732" t="s">
        <v>787</v>
      </c>
      <c r="B732" s="3">
        <v>45919</v>
      </c>
      <c r="C732" t="s">
        <v>48</v>
      </c>
      <c r="D732" t="s">
        <v>28</v>
      </c>
      <c r="E732" t="s">
        <v>54</v>
      </c>
      <c r="F732" t="s">
        <v>21</v>
      </c>
      <c r="G732">
        <v>43</v>
      </c>
      <c r="H732" t="s">
        <v>46</v>
      </c>
      <c r="I732" t="s">
        <v>23</v>
      </c>
      <c r="J732" t="s">
        <v>31</v>
      </c>
      <c r="K732">
        <v>0</v>
      </c>
      <c r="L732" s="4">
        <v>40584</v>
      </c>
      <c r="M732">
        <v>1000</v>
      </c>
      <c r="N732">
        <v>39584</v>
      </c>
      <c r="O732" t="s">
        <v>59</v>
      </c>
      <c r="P732">
        <v>5</v>
      </c>
      <c r="Q732">
        <v>73</v>
      </c>
      <c r="R732" t="str">
        <f>TEXT(Healthcare_Data[[#This Row],[Visit_Date]],"mmm")</f>
        <v>Sep</v>
      </c>
      <c r="S732">
        <f>MONTH(Healthcare_Data[[#This Row],[Visit_Date]])</f>
        <v>9</v>
      </c>
      <c r="T732" t="str">
        <f>IF(Healthcare_Data[[#This Row],[Final_Bill]]&gt;=50000,"High",IF(Healthcare_Data[[#This Row],[Final_Bill]]&gt;=20000,"Medium","low"))</f>
        <v>Medium</v>
      </c>
    </row>
    <row r="733" spans="1:20" x14ac:dyDescent="0.3">
      <c r="A733" t="s">
        <v>788</v>
      </c>
      <c r="B733" s="3">
        <v>45919</v>
      </c>
      <c r="C733" t="s">
        <v>48</v>
      </c>
      <c r="D733" t="s">
        <v>39</v>
      </c>
      <c r="E733" t="s">
        <v>52</v>
      </c>
      <c r="F733" t="s">
        <v>40</v>
      </c>
      <c r="G733">
        <v>65</v>
      </c>
      <c r="H733" t="s">
        <v>22</v>
      </c>
      <c r="I733" t="s">
        <v>61</v>
      </c>
      <c r="J733" t="s">
        <v>24</v>
      </c>
      <c r="K733">
        <v>7</v>
      </c>
      <c r="L733" s="4">
        <v>32100</v>
      </c>
      <c r="M733">
        <v>0</v>
      </c>
      <c r="N733">
        <v>32100</v>
      </c>
      <c r="O733" t="s">
        <v>59</v>
      </c>
      <c r="P733">
        <v>3.2</v>
      </c>
      <c r="Q733">
        <v>79</v>
      </c>
      <c r="R733" t="str">
        <f>TEXT(Healthcare_Data[[#This Row],[Visit_Date]],"mmm")</f>
        <v>Sep</v>
      </c>
      <c r="S733">
        <f>MONTH(Healthcare_Data[[#This Row],[Visit_Date]])</f>
        <v>9</v>
      </c>
      <c r="T733" t="str">
        <f>IF(Healthcare_Data[[#This Row],[Final_Bill]]&gt;=50000,"High",IF(Healthcare_Data[[#This Row],[Final_Bill]]&gt;=20000,"Medium","low"))</f>
        <v>Medium</v>
      </c>
    </row>
    <row r="734" spans="1:20" x14ac:dyDescent="0.3">
      <c r="A734" t="s">
        <v>789</v>
      </c>
      <c r="B734" s="3">
        <v>45920</v>
      </c>
      <c r="C734" t="s">
        <v>50</v>
      </c>
      <c r="D734" t="s">
        <v>34</v>
      </c>
      <c r="E734" t="s">
        <v>20</v>
      </c>
      <c r="F734" t="s">
        <v>40</v>
      </c>
      <c r="G734">
        <v>21</v>
      </c>
      <c r="H734" t="s">
        <v>22</v>
      </c>
      <c r="I734" t="s">
        <v>63</v>
      </c>
      <c r="J734" t="s">
        <v>24</v>
      </c>
      <c r="K734">
        <v>0</v>
      </c>
      <c r="L734" s="4">
        <v>1942</v>
      </c>
      <c r="M734">
        <v>0</v>
      </c>
      <c r="N734">
        <v>1942</v>
      </c>
      <c r="O734" t="s">
        <v>25</v>
      </c>
      <c r="Q734">
        <v>29</v>
      </c>
      <c r="R734" t="str">
        <f>TEXT(Healthcare_Data[[#This Row],[Visit_Date]],"mmm")</f>
        <v>Sep</v>
      </c>
      <c r="S734">
        <f>MONTH(Healthcare_Data[[#This Row],[Visit_Date]])</f>
        <v>9</v>
      </c>
      <c r="T734" t="str">
        <f>IF(Healthcare_Data[[#This Row],[Final_Bill]]&gt;=50000,"High",IF(Healthcare_Data[[#This Row],[Final_Bill]]&gt;=20000,"Medium","low"))</f>
        <v>low</v>
      </c>
    </row>
    <row r="735" spans="1:20" x14ac:dyDescent="0.3">
      <c r="A735" t="s">
        <v>790</v>
      </c>
      <c r="B735" s="3">
        <v>45921</v>
      </c>
      <c r="C735" t="s">
        <v>50</v>
      </c>
      <c r="D735" t="s">
        <v>34</v>
      </c>
      <c r="E735" t="s">
        <v>20</v>
      </c>
      <c r="F735" t="s">
        <v>21</v>
      </c>
      <c r="G735">
        <v>50</v>
      </c>
      <c r="H735" t="s">
        <v>35</v>
      </c>
      <c r="I735" t="s">
        <v>63</v>
      </c>
      <c r="J735" t="s">
        <v>24</v>
      </c>
      <c r="K735">
        <v>0</v>
      </c>
      <c r="L735" s="4">
        <v>17623</v>
      </c>
      <c r="M735">
        <v>0</v>
      </c>
      <c r="N735">
        <v>17623</v>
      </c>
      <c r="O735" t="s">
        <v>25</v>
      </c>
      <c r="P735">
        <v>3.4</v>
      </c>
      <c r="Q735">
        <v>25</v>
      </c>
      <c r="R735" t="str">
        <f>TEXT(Healthcare_Data[[#This Row],[Visit_Date]],"mmm")</f>
        <v>Sep</v>
      </c>
      <c r="S735">
        <f>MONTH(Healthcare_Data[[#This Row],[Visit_Date]])</f>
        <v>9</v>
      </c>
      <c r="T735" t="str">
        <f>IF(Healthcare_Data[[#This Row],[Final_Bill]]&gt;=50000,"High",IF(Healthcare_Data[[#This Row],[Final_Bill]]&gt;=20000,"Medium","low"))</f>
        <v>low</v>
      </c>
    </row>
    <row r="736" spans="1:20" x14ac:dyDescent="0.3">
      <c r="A736" t="s">
        <v>791</v>
      </c>
      <c r="B736" s="3">
        <v>45921</v>
      </c>
      <c r="C736" t="s">
        <v>48</v>
      </c>
      <c r="D736" t="s">
        <v>51</v>
      </c>
      <c r="E736" t="s">
        <v>20</v>
      </c>
      <c r="F736" t="s">
        <v>21</v>
      </c>
      <c r="G736">
        <v>59</v>
      </c>
      <c r="H736" t="s">
        <v>46</v>
      </c>
      <c r="I736" t="s">
        <v>63</v>
      </c>
      <c r="J736" t="s">
        <v>58</v>
      </c>
      <c r="K736">
        <v>0</v>
      </c>
      <c r="L736" s="4">
        <v>17201</v>
      </c>
      <c r="M736">
        <v>1000</v>
      </c>
      <c r="N736">
        <v>16201</v>
      </c>
      <c r="O736" t="s">
        <v>25</v>
      </c>
      <c r="P736">
        <v>4.7</v>
      </c>
      <c r="Q736">
        <v>69</v>
      </c>
      <c r="R736" t="str">
        <f>TEXT(Healthcare_Data[[#This Row],[Visit_Date]],"mmm")</f>
        <v>Sep</v>
      </c>
      <c r="S736">
        <f>MONTH(Healthcare_Data[[#This Row],[Visit_Date]])</f>
        <v>9</v>
      </c>
      <c r="T736" t="str">
        <f>IF(Healthcare_Data[[#This Row],[Final_Bill]]&gt;=50000,"High",IF(Healthcare_Data[[#This Row],[Final_Bill]]&gt;=20000,"Medium","low"))</f>
        <v>low</v>
      </c>
    </row>
    <row r="737" spans="1:20" x14ac:dyDescent="0.3">
      <c r="A737" t="s">
        <v>792</v>
      </c>
      <c r="B737" s="3">
        <v>45921</v>
      </c>
      <c r="C737" t="s">
        <v>44</v>
      </c>
      <c r="D737" t="s">
        <v>28</v>
      </c>
      <c r="E737" t="s">
        <v>52</v>
      </c>
      <c r="F737" t="s">
        <v>40</v>
      </c>
      <c r="G737">
        <v>38</v>
      </c>
      <c r="H737" t="s">
        <v>41</v>
      </c>
      <c r="I737" t="s">
        <v>63</v>
      </c>
      <c r="J737" t="s">
        <v>24</v>
      </c>
      <c r="K737">
        <v>14</v>
      </c>
      <c r="L737" s="4">
        <v>23118</v>
      </c>
      <c r="M737">
        <v>0</v>
      </c>
      <c r="N737">
        <v>23118</v>
      </c>
      <c r="O737" t="s">
        <v>32</v>
      </c>
      <c r="P737">
        <v>2.5</v>
      </c>
      <c r="Q737">
        <v>71</v>
      </c>
      <c r="R737" t="str">
        <f>TEXT(Healthcare_Data[[#This Row],[Visit_Date]],"mmm")</f>
        <v>Sep</v>
      </c>
      <c r="S737">
        <f>MONTH(Healthcare_Data[[#This Row],[Visit_Date]])</f>
        <v>9</v>
      </c>
      <c r="T737" t="str">
        <f>IF(Healthcare_Data[[#This Row],[Final_Bill]]&gt;=50000,"High",IF(Healthcare_Data[[#This Row],[Final_Bill]]&gt;=20000,"Medium","low"))</f>
        <v>Medium</v>
      </c>
    </row>
    <row r="738" spans="1:20" x14ac:dyDescent="0.3">
      <c r="A738" t="s">
        <v>793</v>
      </c>
      <c r="B738" s="3">
        <v>45921</v>
      </c>
      <c r="C738" t="s">
        <v>38</v>
      </c>
      <c r="D738" t="s">
        <v>28</v>
      </c>
      <c r="E738" t="s">
        <v>52</v>
      </c>
      <c r="F738" t="s">
        <v>21</v>
      </c>
      <c r="G738">
        <v>27</v>
      </c>
      <c r="H738" t="s">
        <v>29</v>
      </c>
      <c r="I738" t="s">
        <v>23</v>
      </c>
      <c r="J738" t="s">
        <v>36</v>
      </c>
      <c r="K738">
        <v>2</v>
      </c>
      <c r="L738" s="4">
        <v>64080</v>
      </c>
      <c r="M738">
        <v>0</v>
      </c>
      <c r="N738">
        <v>64080</v>
      </c>
      <c r="O738" t="s">
        <v>25</v>
      </c>
      <c r="P738">
        <v>2.9</v>
      </c>
      <c r="Q738">
        <v>28</v>
      </c>
      <c r="R738" t="str">
        <f>TEXT(Healthcare_Data[[#This Row],[Visit_Date]],"mmm")</f>
        <v>Sep</v>
      </c>
      <c r="S738">
        <f>MONTH(Healthcare_Data[[#This Row],[Visit_Date]])</f>
        <v>9</v>
      </c>
      <c r="T738" t="str">
        <f>IF(Healthcare_Data[[#This Row],[Final_Bill]]&gt;=50000,"High",IF(Healthcare_Data[[#This Row],[Final_Bill]]&gt;=20000,"Medium","low"))</f>
        <v>High</v>
      </c>
    </row>
    <row r="739" spans="1:20" x14ac:dyDescent="0.3">
      <c r="A739" t="s">
        <v>794</v>
      </c>
      <c r="B739" s="3">
        <v>45921</v>
      </c>
      <c r="C739" t="s">
        <v>54</v>
      </c>
      <c r="D739" t="s">
        <v>19</v>
      </c>
      <c r="E739" t="s">
        <v>52</v>
      </c>
      <c r="F739" t="s">
        <v>21</v>
      </c>
      <c r="G739">
        <v>55</v>
      </c>
      <c r="H739" t="s">
        <v>56</v>
      </c>
      <c r="I739" t="s">
        <v>30</v>
      </c>
      <c r="J739" t="s">
        <v>36</v>
      </c>
      <c r="K739">
        <v>7</v>
      </c>
      <c r="L739" s="4">
        <v>66672</v>
      </c>
      <c r="M739">
        <v>0</v>
      </c>
      <c r="N739">
        <v>66672</v>
      </c>
      <c r="O739" t="s">
        <v>25</v>
      </c>
      <c r="P739">
        <v>3.1</v>
      </c>
      <c r="Q739">
        <v>104</v>
      </c>
      <c r="R739" t="str">
        <f>TEXT(Healthcare_Data[[#This Row],[Visit_Date]],"mmm")</f>
        <v>Sep</v>
      </c>
      <c r="S739">
        <f>MONTH(Healthcare_Data[[#This Row],[Visit_Date]])</f>
        <v>9</v>
      </c>
      <c r="T739" t="str">
        <f>IF(Healthcare_Data[[#This Row],[Final_Bill]]&gt;=50000,"High",IF(Healthcare_Data[[#This Row],[Final_Bill]]&gt;=20000,"Medium","low"))</f>
        <v>High</v>
      </c>
    </row>
    <row r="740" spans="1:20" x14ac:dyDescent="0.3">
      <c r="A740" t="s">
        <v>795</v>
      </c>
      <c r="B740" s="3">
        <v>45921</v>
      </c>
      <c r="C740" t="s">
        <v>18</v>
      </c>
      <c r="D740" t="s">
        <v>19</v>
      </c>
      <c r="E740" t="s">
        <v>20</v>
      </c>
      <c r="F740" t="s">
        <v>21</v>
      </c>
      <c r="G740">
        <v>68</v>
      </c>
      <c r="H740" t="s">
        <v>22</v>
      </c>
      <c r="I740" t="s">
        <v>23</v>
      </c>
      <c r="J740" t="s">
        <v>31</v>
      </c>
      <c r="K740">
        <v>0</v>
      </c>
      <c r="L740" s="4">
        <v>8627</v>
      </c>
      <c r="M740">
        <v>1000</v>
      </c>
      <c r="N740">
        <v>7627</v>
      </c>
      <c r="O740" t="s">
        <v>25</v>
      </c>
      <c r="P740">
        <v>4.8</v>
      </c>
      <c r="Q740">
        <v>82</v>
      </c>
      <c r="R740" t="str">
        <f>TEXT(Healthcare_Data[[#This Row],[Visit_Date]],"mmm")</f>
        <v>Sep</v>
      </c>
      <c r="S740">
        <f>MONTH(Healthcare_Data[[#This Row],[Visit_Date]])</f>
        <v>9</v>
      </c>
      <c r="T740" t="str">
        <f>IF(Healthcare_Data[[#This Row],[Final_Bill]]&gt;=50000,"High",IF(Healthcare_Data[[#This Row],[Final_Bill]]&gt;=20000,"Medium","low"))</f>
        <v>low</v>
      </c>
    </row>
    <row r="741" spans="1:20" x14ac:dyDescent="0.3">
      <c r="A741" t="s">
        <v>796</v>
      </c>
      <c r="B741" s="3">
        <v>45922</v>
      </c>
      <c r="C741" t="s">
        <v>67</v>
      </c>
      <c r="D741" t="s">
        <v>34</v>
      </c>
      <c r="E741" t="s">
        <v>52</v>
      </c>
      <c r="F741" t="s">
        <v>21</v>
      </c>
      <c r="G741">
        <v>22</v>
      </c>
      <c r="H741" t="s">
        <v>56</v>
      </c>
      <c r="I741" t="s">
        <v>57</v>
      </c>
      <c r="J741" t="s">
        <v>58</v>
      </c>
      <c r="K741">
        <v>9</v>
      </c>
      <c r="L741" s="4">
        <v>19114</v>
      </c>
      <c r="M741">
        <v>0</v>
      </c>
      <c r="N741">
        <v>19114</v>
      </c>
      <c r="O741" t="s">
        <v>25</v>
      </c>
      <c r="P741">
        <v>4.5999999999999996</v>
      </c>
      <c r="Q741">
        <v>7</v>
      </c>
      <c r="R741" t="str">
        <f>TEXT(Healthcare_Data[[#This Row],[Visit_Date]],"mmm")</f>
        <v>Sep</v>
      </c>
      <c r="S741">
        <f>MONTH(Healthcare_Data[[#This Row],[Visit_Date]])</f>
        <v>9</v>
      </c>
      <c r="T741" t="str">
        <f>IF(Healthcare_Data[[#This Row],[Final_Bill]]&gt;=50000,"High",IF(Healthcare_Data[[#This Row],[Final_Bill]]&gt;=20000,"Medium","low"))</f>
        <v>low</v>
      </c>
    </row>
    <row r="742" spans="1:20" x14ac:dyDescent="0.3">
      <c r="A742" t="s">
        <v>797</v>
      </c>
      <c r="B742" s="3">
        <v>45922</v>
      </c>
      <c r="C742" t="s">
        <v>18</v>
      </c>
      <c r="D742" t="s">
        <v>39</v>
      </c>
      <c r="E742" t="s">
        <v>20</v>
      </c>
      <c r="F742" t="s">
        <v>21</v>
      </c>
      <c r="G742">
        <v>76</v>
      </c>
      <c r="H742" t="s">
        <v>35</v>
      </c>
      <c r="I742" t="s">
        <v>57</v>
      </c>
      <c r="J742" t="s">
        <v>36</v>
      </c>
      <c r="K742">
        <v>0</v>
      </c>
      <c r="L742" s="4">
        <v>1796</v>
      </c>
      <c r="M742">
        <v>0</v>
      </c>
      <c r="N742">
        <v>1796</v>
      </c>
      <c r="O742" t="s">
        <v>25</v>
      </c>
      <c r="P742">
        <v>4.4000000000000004</v>
      </c>
      <c r="Q742">
        <v>36</v>
      </c>
      <c r="R742" t="str">
        <f>TEXT(Healthcare_Data[[#This Row],[Visit_Date]],"mmm")</f>
        <v>Sep</v>
      </c>
      <c r="S742">
        <f>MONTH(Healthcare_Data[[#This Row],[Visit_Date]])</f>
        <v>9</v>
      </c>
      <c r="T742" t="str">
        <f>IF(Healthcare_Data[[#This Row],[Final_Bill]]&gt;=50000,"High",IF(Healthcare_Data[[#This Row],[Final_Bill]]&gt;=20000,"Medium","low"))</f>
        <v>low</v>
      </c>
    </row>
    <row r="743" spans="1:20" x14ac:dyDescent="0.3">
      <c r="A743" t="s">
        <v>798</v>
      </c>
      <c r="B743" s="3">
        <v>45924</v>
      </c>
      <c r="C743" t="s">
        <v>27</v>
      </c>
      <c r="D743" t="s">
        <v>34</v>
      </c>
      <c r="E743" t="s">
        <v>52</v>
      </c>
      <c r="F743" t="s">
        <v>21</v>
      </c>
      <c r="G743">
        <v>49</v>
      </c>
      <c r="H743" t="s">
        <v>56</v>
      </c>
      <c r="I743" t="s">
        <v>30</v>
      </c>
      <c r="J743" t="s">
        <v>24</v>
      </c>
      <c r="K743">
        <v>3</v>
      </c>
      <c r="L743" s="4">
        <v>35478</v>
      </c>
      <c r="M743">
        <v>500</v>
      </c>
      <c r="N743">
        <v>34978</v>
      </c>
      <c r="O743" t="s">
        <v>25</v>
      </c>
      <c r="P743">
        <v>2.8</v>
      </c>
      <c r="Q743">
        <v>119</v>
      </c>
      <c r="R743" t="str">
        <f>TEXT(Healthcare_Data[[#This Row],[Visit_Date]],"mmm")</f>
        <v>Sep</v>
      </c>
      <c r="S743">
        <f>MONTH(Healthcare_Data[[#This Row],[Visit_Date]])</f>
        <v>9</v>
      </c>
      <c r="T743" t="str">
        <f>IF(Healthcare_Data[[#This Row],[Final_Bill]]&gt;=50000,"High",IF(Healthcare_Data[[#This Row],[Final_Bill]]&gt;=20000,"Medium","low"))</f>
        <v>Medium</v>
      </c>
    </row>
    <row r="744" spans="1:20" x14ac:dyDescent="0.3">
      <c r="A744" t="s">
        <v>799</v>
      </c>
      <c r="B744" s="3">
        <v>45924</v>
      </c>
      <c r="C744" t="s">
        <v>27</v>
      </c>
      <c r="D744" t="s">
        <v>51</v>
      </c>
      <c r="E744" t="s">
        <v>20</v>
      </c>
      <c r="F744" t="s">
        <v>21</v>
      </c>
      <c r="G744">
        <v>37</v>
      </c>
      <c r="H744" t="s">
        <v>56</v>
      </c>
      <c r="I744" t="s">
        <v>63</v>
      </c>
      <c r="J744" t="s">
        <v>24</v>
      </c>
      <c r="K744">
        <v>0</v>
      </c>
      <c r="L744" s="4">
        <v>9745</v>
      </c>
      <c r="M744">
        <v>1500</v>
      </c>
      <c r="N744">
        <v>8245</v>
      </c>
      <c r="O744" t="s">
        <v>25</v>
      </c>
      <c r="P744">
        <v>4.4000000000000004</v>
      </c>
      <c r="Q744">
        <v>118</v>
      </c>
      <c r="R744" t="str">
        <f>TEXT(Healthcare_Data[[#This Row],[Visit_Date]],"mmm")</f>
        <v>Sep</v>
      </c>
      <c r="S744">
        <f>MONTH(Healthcare_Data[[#This Row],[Visit_Date]])</f>
        <v>9</v>
      </c>
      <c r="T744" t="str">
        <f>IF(Healthcare_Data[[#This Row],[Final_Bill]]&gt;=50000,"High",IF(Healthcare_Data[[#This Row],[Final_Bill]]&gt;=20000,"Medium","low"))</f>
        <v>low</v>
      </c>
    </row>
    <row r="745" spans="1:20" x14ac:dyDescent="0.3">
      <c r="A745" t="s">
        <v>800</v>
      </c>
      <c r="B745" s="3">
        <v>45925</v>
      </c>
      <c r="C745" t="s">
        <v>67</v>
      </c>
      <c r="D745" t="s">
        <v>51</v>
      </c>
      <c r="E745" t="s">
        <v>20</v>
      </c>
      <c r="F745" t="s">
        <v>40</v>
      </c>
      <c r="G745">
        <v>78</v>
      </c>
      <c r="H745" t="s">
        <v>29</v>
      </c>
      <c r="I745" t="s">
        <v>30</v>
      </c>
      <c r="J745" t="s">
        <v>24</v>
      </c>
      <c r="K745">
        <v>0</v>
      </c>
      <c r="L745" s="4">
        <v>8891</v>
      </c>
      <c r="M745">
        <v>1500</v>
      </c>
      <c r="N745">
        <v>7391</v>
      </c>
      <c r="O745" t="s">
        <v>25</v>
      </c>
      <c r="P745">
        <v>4.0999999999999996</v>
      </c>
      <c r="Q745">
        <v>52</v>
      </c>
      <c r="R745" t="str">
        <f>TEXT(Healthcare_Data[[#This Row],[Visit_Date]],"mmm")</f>
        <v>Sep</v>
      </c>
      <c r="S745">
        <f>MONTH(Healthcare_Data[[#This Row],[Visit_Date]])</f>
        <v>9</v>
      </c>
      <c r="T745" t="str">
        <f>IF(Healthcare_Data[[#This Row],[Final_Bill]]&gt;=50000,"High",IF(Healthcare_Data[[#This Row],[Final_Bill]]&gt;=20000,"Medium","low"))</f>
        <v>low</v>
      </c>
    </row>
    <row r="746" spans="1:20" x14ac:dyDescent="0.3">
      <c r="A746" t="s">
        <v>801</v>
      </c>
      <c r="B746" s="3">
        <v>45925</v>
      </c>
      <c r="C746" t="s">
        <v>54</v>
      </c>
      <c r="D746" t="s">
        <v>28</v>
      </c>
      <c r="E746" t="s">
        <v>20</v>
      </c>
      <c r="F746" t="s">
        <v>40</v>
      </c>
      <c r="G746">
        <v>27</v>
      </c>
      <c r="H746" t="s">
        <v>65</v>
      </c>
      <c r="I746" t="s">
        <v>30</v>
      </c>
      <c r="J746" t="s">
        <v>24</v>
      </c>
      <c r="K746">
        <v>0</v>
      </c>
      <c r="L746" s="4">
        <v>4685</v>
      </c>
      <c r="M746">
        <v>1500</v>
      </c>
      <c r="N746">
        <v>3185</v>
      </c>
      <c r="O746" t="s">
        <v>25</v>
      </c>
      <c r="P746">
        <v>3.4</v>
      </c>
      <c r="Q746">
        <v>25</v>
      </c>
      <c r="R746" t="str">
        <f>TEXT(Healthcare_Data[[#This Row],[Visit_Date]],"mmm")</f>
        <v>Sep</v>
      </c>
      <c r="S746">
        <f>MONTH(Healthcare_Data[[#This Row],[Visit_Date]])</f>
        <v>9</v>
      </c>
      <c r="T746" t="str">
        <f>IF(Healthcare_Data[[#This Row],[Final_Bill]]&gt;=50000,"High",IF(Healthcare_Data[[#This Row],[Final_Bill]]&gt;=20000,"Medium","low"))</f>
        <v>low</v>
      </c>
    </row>
    <row r="747" spans="1:20" x14ac:dyDescent="0.3">
      <c r="A747" t="s">
        <v>802</v>
      </c>
      <c r="B747" s="3">
        <v>45925</v>
      </c>
      <c r="C747" t="s">
        <v>18</v>
      </c>
      <c r="D747" t="s">
        <v>51</v>
      </c>
      <c r="E747" t="s">
        <v>54</v>
      </c>
      <c r="F747" t="s">
        <v>21</v>
      </c>
      <c r="G747">
        <v>71</v>
      </c>
      <c r="H747" t="s">
        <v>22</v>
      </c>
      <c r="I747" t="s">
        <v>57</v>
      </c>
      <c r="J747" t="s">
        <v>36</v>
      </c>
      <c r="K747">
        <v>0</v>
      </c>
      <c r="L747" s="4">
        <v>23401</v>
      </c>
      <c r="M747">
        <v>0</v>
      </c>
      <c r="N747">
        <v>23401</v>
      </c>
      <c r="O747" t="s">
        <v>59</v>
      </c>
      <c r="P747">
        <v>2.5</v>
      </c>
      <c r="Q747">
        <v>80</v>
      </c>
      <c r="R747" t="str">
        <f>TEXT(Healthcare_Data[[#This Row],[Visit_Date]],"mmm")</f>
        <v>Sep</v>
      </c>
      <c r="S747">
        <f>MONTH(Healthcare_Data[[#This Row],[Visit_Date]])</f>
        <v>9</v>
      </c>
      <c r="T747" t="str">
        <f>IF(Healthcare_Data[[#This Row],[Final_Bill]]&gt;=50000,"High",IF(Healthcare_Data[[#This Row],[Final_Bill]]&gt;=20000,"Medium","low"))</f>
        <v>Medium</v>
      </c>
    </row>
    <row r="748" spans="1:20" x14ac:dyDescent="0.3">
      <c r="A748" t="s">
        <v>803</v>
      </c>
      <c r="B748" s="3">
        <v>45925</v>
      </c>
      <c r="C748" t="s">
        <v>38</v>
      </c>
      <c r="D748" t="s">
        <v>39</v>
      </c>
      <c r="E748" t="s">
        <v>20</v>
      </c>
      <c r="F748" t="s">
        <v>21</v>
      </c>
      <c r="G748">
        <v>65</v>
      </c>
      <c r="H748" t="s">
        <v>22</v>
      </c>
      <c r="I748" t="s">
        <v>69</v>
      </c>
      <c r="J748" t="s">
        <v>24</v>
      </c>
      <c r="K748">
        <v>0</v>
      </c>
      <c r="L748" s="4">
        <v>10360</v>
      </c>
      <c r="M748">
        <v>0</v>
      </c>
      <c r="N748">
        <v>10360</v>
      </c>
      <c r="O748" t="s">
        <v>32</v>
      </c>
      <c r="P748">
        <v>4.5</v>
      </c>
      <c r="Q748">
        <v>51</v>
      </c>
      <c r="R748" t="str">
        <f>TEXT(Healthcare_Data[[#This Row],[Visit_Date]],"mmm")</f>
        <v>Sep</v>
      </c>
      <c r="S748">
        <f>MONTH(Healthcare_Data[[#This Row],[Visit_Date]])</f>
        <v>9</v>
      </c>
      <c r="T748" t="str">
        <f>IF(Healthcare_Data[[#This Row],[Final_Bill]]&gt;=50000,"High",IF(Healthcare_Data[[#This Row],[Final_Bill]]&gt;=20000,"Medium","low"))</f>
        <v>low</v>
      </c>
    </row>
    <row r="749" spans="1:20" x14ac:dyDescent="0.3">
      <c r="A749" t="s">
        <v>804</v>
      </c>
      <c r="B749" s="3">
        <v>45925</v>
      </c>
      <c r="C749" t="s">
        <v>50</v>
      </c>
      <c r="D749" t="s">
        <v>19</v>
      </c>
      <c r="E749" t="s">
        <v>52</v>
      </c>
      <c r="F749" t="s">
        <v>40</v>
      </c>
      <c r="G749">
        <v>44</v>
      </c>
      <c r="H749" t="s">
        <v>22</v>
      </c>
      <c r="I749" t="s">
        <v>61</v>
      </c>
      <c r="J749" t="s">
        <v>58</v>
      </c>
      <c r="K749">
        <v>3</v>
      </c>
      <c r="L749" s="4">
        <v>48270</v>
      </c>
      <c r="M749">
        <v>1500</v>
      </c>
      <c r="N749">
        <v>46770</v>
      </c>
      <c r="O749" t="s">
        <v>32</v>
      </c>
      <c r="P749">
        <v>3.3</v>
      </c>
      <c r="Q749">
        <v>42</v>
      </c>
      <c r="R749" t="str">
        <f>TEXT(Healthcare_Data[[#This Row],[Visit_Date]],"mmm")</f>
        <v>Sep</v>
      </c>
      <c r="S749">
        <f>MONTH(Healthcare_Data[[#This Row],[Visit_Date]])</f>
        <v>9</v>
      </c>
      <c r="T749" t="str">
        <f>IF(Healthcare_Data[[#This Row],[Final_Bill]]&gt;=50000,"High",IF(Healthcare_Data[[#This Row],[Final_Bill]]&gt;=20000,"Medium","low"))</f>
        <v>Medium</v>
      </c>
    </row>
    <row r="750" spans="1:20" x14ac:dyDescent="0.3">
      <c r="A750" t="s">
        <v>805</v>
      </c>
      <c r="B750" s="3">
        <v>45926</v>
      </c>
      <c r="C750" t="s">
        <v>44</v>
      </c>
      <c r="D750" t="s">
        <v>39</v>
      </c>
      <c r="E750" t="s">
        <v>20</v>
      </c>
      <c r="F750" t="s">
        <v>40</v>
      </c>
      <c r="G750">
        <v>49</v>
      </c>
      <c r="H750" t="s">
        <v>29</v>
      </c>
      <c r="I750" t="s">
        <v>57</v>
      </c>
      <c r="J750" t="s">
        <v>36</v>
      </c>
      <c r="K750">
        <v>0</v>
      </c>
      <c r="L750" s="4">
        <v>19762</v>
      </c>
      <c r="M750">
        <v>0</v>
      </c>
      <c r="N750">
        <v>19762</v>
      </c>
      <c r="O750" t="s">
        <v>25</v>
      </c>
      <c r="P750">
        <v>2.6</v>
      </c>
      <c r="Q750">
        <v>22</v>
      </c>
      <c r="R750" t="str">
        <f>TEXT(Healthcare_Data[[#This Row],[Visit_Date]],"mmm")</f>
        <v>Sep</v>
      </c>
      <c r="S750">
        <f>MONTH(Healthcare_Data[[#This Row],[Visit_Date]])</f>
        <v>9</v>
      </c>
      <c r="T750" t="str">
        <f>IF(Healthcare_Data[[#This Row],[Final_Bill]]&gt;=50000,"High",IF(Healthcare_Data[[#This Row],[Final_Bill]]&gt;=20000,"Medium","low"))</f>
        <v>low</v>
      </c>
    </row>
    <row r="751" spans="1:20" x14ac:dyDescent="0.3">
      <c r="A751" t="s">
        <v>806</v>
      </c>
      <c r="B751" s="3">
        <v>45927</v>
      </c>
      <c r="C751" t="s">
        <v>48</v>
      </c>
      <c r="D751" t="s">
        <v>39</v>
      </c>
      <c r="E751" t="s">
        <v>20</v>
      </c>
      <c r="F751" t="s">
        <v>40</v>
      </c>
      <c r="G751">
        <v>57</v>
      </c>
      <c r="H751" t="s">
        <v>41</v>
      </c>
      <c r="I751" t="s">
        <v>30</v>
      </c>
      <c r="J751" t="s">
        <v>24</v>
      </c>
      <c r="K751">
        <v>0</v>
      </c>
      <c r="L751" s="4">
        <v>19781</v>
      </c>
      <c r="M751">
        <v>1000</v>
      </c>
      <c r="N751">
        <v>18781</v>
      </c>
      <c r="O751" t="s">
        <v>32</v>
      </c>
      <c r="Q751">
        <v>108</v>
      </c>
      <c r="R751" t="str">
        <f>TEXT(Healthcare_Data[[#This Row],[Visit_Date]],"mmm")</f>
        <v>Sep</v>
      </c>
      <c r="S751">
        <f>MONTH(Healthcare_Data[[#This Row],[Visit_Date]])</f>
        <v>9</v>
      </c>
      <c r="T751" t="str">
        <f>IF(Healthcare_Data[[#This Row],[Final_Bill]]&gt;=50000,"High",IF(Healthcare_Data[[#This Row],[Final_Bill]]&gt;=20000,"Medium","low"))</f>
        <v>low</v>
      </c>
    </row>
    <row r="752" spans="1:20" x14ac:dyDescent="0.3">
      <c r="A752" t="s">
        <v>807</v>
      </c>
      <c r="B752" s="3">
        <v>45928</v>
      </c>
      <c r="C752" t="s">
        <v>27</v>
      </c>
      <c r="D752" t="s">
        <v>34</v>
      </c>
      <c r="E752" t="s">
        <v>52</v>
      </c>
      <c r="F752" t="s">
        <v>40</v>
      </c>
      <c r="G752">
        <v>25</v>
      </c>
      <c r="H752" t="s">
        <v>46</v>
      </c>
      <c r="I752" t="s">
        <v>57</v>
      </c>
      <c r="J752" t="s">
        <v>31</v>
      </c>
      <c r="K752">
        <v>7</v>
      </c>
      <c r="L752" s="4">
        <v>69942</v>
      </c>
      <c r="M752">
        <v>500</v>
      </c>
      <c r="N752">
        <v>69442</v>
      </c>
      <c r="O752" t="s">
        <v>25</v>
      </c>
      <c r="P752">
        <v>3</v>
      </c>
      <c r="Q752">
        <v>27</v>
      </c>
      <c r="R752" t="str">
        <f>TEXT(Healthcare_Data[[#This Row],[Visit_Date]],"mmm")</f>
        <v>Sep</v>
      </c>
      <c r="S752">
        <f>MONTH(Healthcare_Data[[#This Row],[Visit_Date]])</f>
        <v>9</v>
      </c>
      <c r="T752" t="str">
        <f>IF(Healthcare_Data[[#This Row],[Final_Bill]]&gt;=50000,"High",IF(Healthcare_Data[[#This Row],[Final_Bill]]&gt;=20000,"Medium","low"))</f>
        <v>High</v>
      </c>
    </row>
    <row r="753" spans="1:20" x14ac:dyDescent="0.3">
      <c r="A753" t="s">
        <v>808</v>
      </c>
      <c r="B753" s="3">
        <v>45928</v>
      </c>
      <c r="C753" t="s">
        <v>38</v>
      </c>
      <c r="D753" t="s">
        <v>51</v>
      </c>
      <c r="E753" t="s">
        <v>52</v>
      </c>
      <c r="F753" t="s">
        <v>21</v>
      </c>
      <c r="G753">
        <v>55</v>
      </c>
      <c r="H753" t="s">
        <v>65</v>
      </c>
      <c r="I753" t="s">
        <v>72</v>
      </c>
      <c r="J753" t="s">
        <v>24</v>
      </c>
      <c r="K753">
        <v>3</v>
      </c>
      <c r="L753" s="4">
        <v>71214</v>
      </c>
      <c r="M753">
        <v>1500</v>
      </c>
      <c r="N753">
        <v>69714</v>
      </c>
      <c r="O753" t="s">
        <v>25</v>
      </c>
      <c r="P753">
        <v>4</v>
      </c>
      <c r="Q753">
        <v>79</v>
      </c>
      <c r="R753" t="str">
        <f>TEXT(Healthcare_Data[[#This Row],[Visit_Date]],"mmm")</f>
        <v>Sep</v>
      </c>
      <c r="S753">
        <f>MONTH(Healthcare_Data[[#This Row],[Visit_Date]])</f>
        <v>9</v>
      </c>
      <c r="T753" t="str">
        <f>IF(Healthcare_Data[[#This Row],[Final_Bill]]&gt;=50000,"High",IF(Healthcare_Data[[#This Row],[Final_Bill]]&gt;=20000,"Medium","low"))</f>
        <v>High</v>
      </c>
    </row>
    <row r="754" spans="1:20" x14ac:dyDescent="0.3">
      <c r="A754" t="s">
        <v>809</v>
      </c>
      <c r="B754" s="3">
        <v>45928</v>
      </c>
      <c r="C754" t="s">
        <v>54</v>
      </c>
      <c r="D754" t="s">
        <v>34</v>
      </c>
      <c r="E754" t="s">
        <v>20</v>
      </c>
      <c r="F754" t="s">
        <v>21</v>
      </c>
      <c r="G754">
        <v>60</v>
      </c>
      <c r="H754" t="s">
        <v>65</v>
      </c>
      <c r="I754" t="s">
        <v>63</v>
      </c>
      <c r="J754" t="s">
        <v>24</v>
      </c>
      <c r="K754">
        <v>0</v>
      </c>
      <c r="L754" s="4">
        <v>10155</v>
      </c>
      <c r="M754">
        <v>0</v>
      </c>
      <c r="N754">
        <v>10155</v>
      </c>
      <c r="O754" t="s">
        <v>25</v>
      </c>
      <c r="P754">
        <v>2.6</v>
      </c>
      <c r="Q754">
        <v>98</v>
      </c>
      <c r="R754" t="str">
        <f>TEXT(Healthcare_Data[[#This Row],[Visit_Date]],"mmm")</f>
        <v>Sep</v>
      </c>
      <c r="S754">
        <f>MONTH(Healthcare_Data[[#This Row],[Visit_Date]])</f>
        <v>9</v>
      </c>
      <c r="T754" t="str">
        <f>IF(Healthcare_Data[[#This Row],[Final_Bill]]&gt;=50000,"High",IF(Healthcare_Data[[#This Row],[Final_Bill]]&gt;=20000,"Medium","low"))</f>
        <v>low</v>
      </c>
    </row>
    <row r="755" spans="1:20" x14ac:dyDescent="0.3">
      <c r="A755" t="s">
        <v>810</v>
      </c>
      <c r="B755" s="3">
        <v>45928</v>
      </c>
      <c r="C755" t="s">
        <v>38</v>
      </c>
      <c r="D755" t="s">
        <v>19</v>
      </c>
      <c r="E755" t="s">
        <v>20</v>
      </c>
      <c r="F755" t="s">
        <v>21</v>
      </c>
      <c r="G755">
        <v>77</v>
      </c>
      <c r="H755" t="s">
        <v>56</v>
      </c>
      <c r="I755" t="s">
        <v>69</v>
      </c>
      <c r="J755" t="s">
        <v>36</v>
      </c>
      <c r="K755">
        <v>0</v>
      </c>
      <c r="L755" s="4">
        <v>11355</v>
      </c>
      <c r="M755">
        <v>0</v>
      </c>
      <c r="N755">
        <v>11355</v>
      </c>
      <c r="O755" t="s">
        <v>25</v>
      </c>
      <c r="P755">
        <v>3</v>
      </c>
      <c r="Q755">
        <v>115</v>
      </c>
      <c r="R755" t="str">
        <f>TEXT(Healthcare_Data[[#This Row],[Visit_Date]],"mmm")</f>
        <v>Sep</v>
      </c>
      <c r="S755">
        <f>MONTH(Healthcare_Data[[#This Row],[Visit_Date]])</f>
        <v>9</v>
      </c>
      <c r="T755" t="str">
        <f>IF(Healthcare_Data[[#This Row],[Final_Bill]]&gt;=50000,"High",IF(Healthcare_Data[[#This Row],[Final_Bill]]&gt;=20000,"Medium","low"))</f>
        <v>low</v>
      </c>
    </row>
    <row r="756" spans="1:20" x14ac:dyDescent="0.3">
      <c r="A756" t="s">
        <v>811</v>
      </c>
      <c r="B756" s="3">
        <v>45929</v>
      </c>
      <c r="C756" t="s">
        <v>54</v>
      </c>
      <c r="D756" t="s">
        <v>34</v>
      </c>
      <c r="E756" t="s">
        <v>52</v>
      </c>
      <c r="F756" t="s">
        <v>40</v>
      </c>
      <c r="G756">
        <v>22</v>
      </c>
      <c r="H756" t="s">
        <v>29</v>
      </c>
      <c r="I756" t="s">
        <v>63</v>
      </c>
      <c r="J756" t="s">
        <v>24</v>
      </c>
      <c r="K756">
        <v>12</v>
      </c>
      <c r="L756" s="4">
        <v>64069</v>
      </c>
      <c r="M756">
        <v>0</v>
      </c>
      <c r="N756">
        <v>64069</v>
      </c>
      <c r="O756" t="s">
        <v>32</v>
      </c>
      <c r="P756">
        <v>4.5</v>
      </c>
      <c r="Q756">
        <v>55</v>
      </c>
      <c r="R756" t="str">
        <f>TEXT(Healthcare_Data[[#This Row],[Visit_Date]],"mmm")</f>
        <v>Sep</v>
      </c>
      <c r="S756">
        <f>MONTH(Healthcare_Data[[#This Row],[Visit_Date]])</f>
        <v>9</v>
      </c>
      <c r="T756" t="str">
        <f>IF(Healthcare_Data[[#This Row],[Final_Bill]]&gt;=50000,"High",IF(Healthcare_Data[[#This Row],[Final_Bill]]&gt;=20000,"Medium","low"))</f>
        <v>High</v>
      </c>
    </row>
    <row r="757" spans="1:20" x14ac:dyDescent="0.3">
      <c r="A757" t="s">
        <v>812</v>
      </c>
      <c r="B757" s="3">
        <v>45929</v>
      </c>
      <c r="C757" t="s">
        <v>48</v>
      </c>
      <c r="D757" t="s">
        <v>28</v>
      </c>
      <c r="E757" t="s">
        <v>20</v>
      </c>
      <c r="F757" t="s">
        <v>40</v>
      </c>
      <c r="G757">
        <v>55</v>
      </c>
      <c r="H757" t="s">
        <v>35</v>
      </c>
      <c r="I757" t="s">
        <v>42</v>
      </c>
      <c r="J757" t="s">
        <v>36</v>
      </c>
      <c r="K757">
        <v>0</v>
      </c>
      <c r="L757" s="4">
        <v>18300</v>
      </c>
      <c r="M757">
        <v>1000</v>
      </c>
      <c r="N757">
        <v>17300</v>
      </c>
      <c r="O757" t="s">
        <v>25</v>
      </c>
      <c r="P757">
        <v>4</v>
      </c>
      <c r="Q757">
        <v>85</v>
      </c>
      <c r="R757" t="str">
        <f>TEXT(Healthcare_Data[[#This Row],[Visit_Date]],"mmm")</f>
        <v>Sep</v>
      </c>
      <c r="S757">
        <f>MONTH(Healthcare_Data[[#This Row],[Visit_Date]])</f>
        <v>9</v>
      </c>
      <c r="T757" t="str">
        <f>IF(Healthcare_Data[[#This Row],[Final_Bill]]&gt;=50000,"High",IF(Healthcare_Data[[#This Row],[Final_Bill]]&gt;=20000,"Medium","low"))</f>
        <v>low</v>
      </c>
    </row>
    <row r="758" spans="1:20" x14ac:dyDescent="0.3">
      <c r="A758" t="s">
        <v>813</v>
      </c>
      <c r="B758" s="3">
        <v>45930</v>
      </c>
      <c r="C758" t="s">
        <v>50</v>
      </c>
      <c r="D758" t="s">
        <v>39</v>
      </c>
      <c r="E758" t="s">
        <v>54</v>
      </c>
      <c r="F758" t="s">
        <v>40</v>
      </c>
      <c r="G758">
        <v>54</v>
      </c>
      <c r="H758" t="s">
        <v>35</v>
      </c>
      <c r="I758" t="s">
        <v>72</v>
      </c>
      <c r="J758" t="s">
        <v>24</v>
      </c>
      <c r="K758">
        <v>0</v>
      </c>
      <c r="L758" s="4">
        <v>33215</v>
      </c>
      <c r="M758">
        <v>0</v>
      </c>
      <c r="N758">
        <v>33215</v>
      </c>
      <c r="O758" t="s">
        <v>25</v>
      </c>
      <c r="P758">
        <v>2.6</v>
      </c>
      <c r="Q758">
        <v>37</v>
      </c>
      <c r="R758" t="str">
        <f>TEXT(Healthcare_Data[[#This Row],[Visit_Date]],"mmm")</f>
        <v>Sep</v>
      </c>
      <c r="S758">
        <f>MONTH(Healthcare_Data[[#This Row],[Visit_Date]])</f>
        <v>9</v>
      </c>
      <c r="T758" t="str">
        <f>IF(Healthcare_Data[[#This Row],[Final_Bill]]&gt;=50000,"High",IF(Healthcare_Data[[#This Row],[Final_Bill]]&gt;=20000,"Medium","low"))</f>
        <v>Medium</v>
      </c>
    </row>
    <row r="759" spans="1:20" x14ac:dyDescent="0.3">
      <c r="A759" t="s">
        <v>814</v>
      </c>
      <c r="B759" s="3">
        <v>45930</v>
      </c>
      <c r="C759" t="s">
        <v>54</v>
      </c>
      <c r="D759" t="s">
        <v>39</v>
      </c>
      <c r="E759" t="s">
        <v>52</v>
      </c>
      <c r="F759" t="s">
        <v>21</v>
      </c>
      <c r="G759">
        <v>60</v>
      </c>
      <c r="H759" t="s">
        <v>56</v>
      </c>
      <c r="I759" t="s">
        <v>42</v>
      </c>
      <c r="J759" t="s">
        <v>36</v>
      </c>
      <c r="K759">
        <v>4</v>
      </c>
      <c r="L759" s="4">
        <v>59772</v>
      </c>
      <c r="M759">
        <v>1500</v>
      </c>
      <c r="N759">
        <v>58272</v>
      </c>
      <c r="O759" t="s">
        <v>25</v>
      </c>
      <c r="P759">
        <v>4.0999999999999996</v>
      </c>
      <c r="Q759">
        <v>31</v>
      </c>
      <c r="R759" t="str">
        <f>TEXT(Healthcare_Data[[#This Row],[Visit_Date]],"mmm")</f>
        <v>Sep</v>
      </c>
      <c r="S759">
        <f>MONTH(Healthcare_Data[[#This Row],[Visit_Date]])</f>
        <v>9</v>
      </c>
      <c r="T759" t="str">
        <f>IF(Healthcare_Data[[#This Row],[Final_Bill]]&gt;=50000,"High",IF(Healthcare_Data[[#This Row],[Final_Bill]]&gt;=20000,"Medium","low"))</f>
        <v>High</v>
      </c>
    </row>
    <row r="760" spans="1:20" x14ac:dyDescent="0.3">
      <c r="A760" t="s">
        <v>815</v>
      </c>
      <c r="B760" s="3">
        <v>45930</v>
      </c>
      <c r="C760" t="s">
        <v>50</v>
      </c>
      <c r="D760" t="s">
        <v>19</v>
      </c>
      <c r="E760" t="s">
        <v>20</v>
      </c>
      <c r="F760" t="s">
        <v>21</v>
      </c>
      <c r="G760">
        <v>35</v>
      </c>
      <c r="H760" t="s">
        <v>56</v>
      </c>
      <c r="I760" t="s">
        <v>61</v>
      </c>
      <c r="J760" t="s">
        <v>36</v>
      </c>
      <c r="K760">
        <v>0</v>
      </c>
      <c r="L760" s="4">
        <v>15231</v>
      </c>
      <c r="M760">
        <v>500</v>
      </c>
      <c r="N760">
        <v>14731</v>
      </c>
      <c r="O760" t="s">
        <v>25</v>
      </c>
      <c r="P760">
        <v>3.3</v>
      </c>
      <c r="Q760">
        <v>51</v>
      </c>
      <c r="R760" t="str">
        <f>TEXT(Healthcare_Data[[#This Row],[Visit_Date]],"mmm")</f>
        <v>Sep</v>
      </c>
      <c r="S760">
        <f>MONTH(Healthcare_Data[[#This Row],[Visit_Date]])</f>
        <v>9</v>
      </c>
      <c r="T760" t="str">
        <f>IF(Healthcare_Data[[#This Row],[Final_Bill]]&gt;=50000,"High",IF(Healthcare_Data[[#This Row],[Final_Bill]]&gt;=20000,"Medium","low"))</f>
        <v>low</v>
      </c>
    </row>
    <row r="761" spans="1:20" x14ac:dyDescent="0.3">
      <c r="A761" t="s">
        <v>816</v>
      </c>
      <c r="B761" s="3">
        <v>45930</v>
      </c>
      <c r="C761" t="s">
        <v>48</v>
      </c>
      <c r="D761" t="s">
        <v>19</v>
      </c>
      <c r="E761" t="s">
        <v>52</v>
      </c>
      <c r="F761" t="s">
        <v>40</v>
      </c>
      <c r="G761">
        <v>20</v>
      </c>
      <c r="H761" t="s">
        <v>22</v>
      </c>
      <c r="I761" t="s">
        <v>69</v>
      </c>
      <c r="J761" t="s">
        <v>31</v>
      </c>
      <c r="K761">
        <v>10</v>
      </c>
      <c r="L761" s="4">
        <v>26542</v>
      </c>
      <c r="M761">
        <v>1000</v>
      </c>
      <c r="N761">
        <v>25542</v>
      </c>
      <c r="O761" t="s">
        <v>59</v>
      </c>
      <c r="P761">
        <v>3.6</v>
      </c>
      <c r="Q761">
        <v>71</v>
      </c>
      <c r="R761" t="str">
        <f>TEXT(Healthcare_Data[[#This Row],[Visit_Date]],"mmm")</f>
        <v>Sep</v>
      </c>
      <c r="S761">
        <f>MONTH(Healthcare_Data[[#This Row],[Visit_Date]])</f>
        <v>9</v>
      </c>
      <c r="T761" t="str">
        <f>IF(Healthcare_Data[[#This Row],[Final_Bill]]&gt;=50000,"High",IF(Healthcare_Data[[#This Row],[Final_Bill]]&gt;=20000,"Medium","low"))</f>
        <v>Medium</v>
      </c>
    </row>
    <row r="762" spans="1:20" x14ac:dyDescent="0.3">
      <c r="A762" t="s">
        <v>817</v>
      </c>
      <c r="B762" s="3">
        <v>45931</v>
      </c>
      <c r="C762" t="s">
        <v>18</v>
      </c>
      <c r="D762" t="s">
        <v>19</v>
      </c>
      <c r="E762" t="s">
        <v>52</v>
      </c>
      <c r="F762" t="s">
        <v>40</v>
      </c>
      <c r="G762">
        <v>67</v>
      </c>
      <c r="H762" t="s">
        <v>22</v>
      </c>
      <c r="I762" t="s">
        <v>63</v>
      </c>
      <c r="J762" t="s">
        <v>36</v>
      </c>
      <c r="K762">
        <v>2</v>
      </c>
      <c r="L762" s="4">
        <v>67672</v>
      </c>
      <c r="M762">
        <v>2000</v>
      </c>
      <c r="N762">
        <v>65672</v>
      </c>
      <c r="O762" t="s">
        <v>32</v>
      </c>
      <c r="P762">
        <v>3.6</v>
      </c>
      <c r="Q762">
        <v>93</v>
      </c>
      <c r="R762" t="str">
        <f>TEXT(Healthcare_Data[[#This Row],[Visit_Date]],"mmm")</f>
        <v>Oct</v>
      </c>
      <c r="S762">
        <f>MONTH(Healthcare_Data[[#This Row],[Visit_Date]])</f>
        <v>10</v>
      </c>
      <c r="T762" t="str">
        <f>IF(Healthcare_Data[[#This Row],[Final_Bill]]&gt;=50000,"High",IF(Healthcare_Data[[#This Row],[Final_Bill]]&gt;=20000,"Medium","low"))</f>
        <v>High</v>
      </c>
    </row>
    <row r="763" spans="1:20" x14ac:dyDescent="0.3">
      <c r="A763" t="s">
        <v>818</v>
      </c>
      <c r="B763" s="3">
        <v>45931</v>
      </c>
      <c r="C763" t="s">
        <v>54</v>
      </c>
      <c r="D763" t="s">
        <v>19</v>
      </c>
      <c r="E763" t="s">
        <v>52</v>
      </c>
      <c r="F763" t="s">
        <v>21</v>
      </c>
      <c r="G763">
        <v>62</v>
      </c>
      <c r="H763" t="s">
        <v>22</v>
      </c>
      <c r="I763" t="s">
        <v>61</v>
      </c>
      <c r="J763" t="s">
        <v>24</v>
      </c>
      <c r="K763">
        <v>7</v>
      </c>
      <c r="L763" s="4">
        <v>38697</v>
      </c>
      <c r="M763">
        <v>1500</v>
      </c>
      <c r="N763">
        <v>37197</v>
      </c>
      <c r="O763" t="s">
        <v>32</v>
      </c>
      <c r="P763">
        <v>4.8</v>
      </c>
      <c r="Q763">
        <v>98</v>
      </c>
      <c r="R763" t="str">
        <f>TEXT(Healthcare_Data[[#This Row],[Visit_Date]],"mmm")</f>
        <v>Oct</v>
      </c>
      <c r="S763">
        <f>MONTH(Healthcare_Data[[#This Row],[Visit_Date]])</f>
        <v>10</v>
      </c>
      <c r="T763" t="str">
        <f>IF(Healthcare_Data[[#This Row],[Final_Bill]]&gt;=50000,"High",IF(Healthcare_Data[[#This Row],[Final_Bill]]&gt;=20000,"Medium","low"))</f>
        <v>Medium</v>
      </c>
    </row>
    <row r="764" spans="1:20" x14ac:dyDescent="0.3">
      <c r="A764" t="s">
        <v>819</v>
      </c>
      <c r="B764" s="3">
        <v>45932</v>
      </c>
      <c r="C764" t="s">
        <v>38</v>
      </c>
      <c r="D764" t="s">
        <v>28</v>
      </c>
      <c r="E764" t="s">
        <v>20</v>
      </c>
      <c r="F764" t="s">
        <v>21</v>
      </c>
      <c r="G764">
        <v>75</v>
      </c>
      <c r="H764" t="s">
        <v>65</v>
      </c>
      <c r="I764" t="s">
        <v>63</v>
      </c>
      <c r="J764" t="s">
        <v>31</v>
      </c>
      <c r="K764">
        <v>0</v>
      </c>
      <c r="L764" s="4">
        <v>17955</v>
      </c>
      <c r="M764">
        <v>2000</v>
      </c>
      <c r="N764">
        <v>15955</v>
      </c>
      <c r="O764" t="s">
        <v>25</v>
      </c>
      <c r="P764">
        <v>4.0999999999999996</v>
      </c>
      <c r="Q764">
        <v>10</v>
      </c>
      <c r="R764" t="str">
        <f>TEXT(Healthcare_Data[[#This Row],[Visit_Date]],"mmm")</f>
        <v>Oct</v>
      </c>
      <c r="S764">
        <f>MONTH(Healthcare_Data[[#This Row],[Visit_Date]])</f>
        <v>10</v>
      </c>
      <c r="T764" t="str">
        <f>IF(Healthcare_Data[[#This Row],[Final_Bill]]&gt;=50000,"High",IF(Healthcare_Data[[#This Row],[Final_Bill]]&gt;=20000,"Medium","low"))</f>
        <v>low</v>
      </c>
    </row>
    <row r="765" spans="1:20" x14ac:dyDescent="0.3">
      <c r="A765" t="s">
        <v>820</v>
      </c>
      <c r="B765" s="3">
        <v>45932</v>
      </c>
      <c r="C765" t="s">
        <v>54</v>
      </c>
      <c r="D765" t="s">
        <v>39</v>
      </c>
      <c r="E765" t="s">
        <v>52</v>
      </c>
      <c r="F765" t="s">
        <v>40</v>
      </c>
      <c r="G765">
        <v>54</v>
      </c>
      <c r="H765" t="s">
        <v>41</v>
      </c>
      <c r="I765" t="s">
        <v>69</v>
      </c>
      <c r="J765" t="s">
        <v>24</v>
      </c>
      <c r="K765">
        <v>6</v>
      </c>
      <c r="L765" s="4">
        <v>53029</v>
      </c>
      <c r="M765">
        <v>500</v>
      </c>
      <c r="N765">
        <v>52529</v>
      </c>
      <c r="O765" t="s">
        <v>25</v>
      </c>
      <c r="P765">
        <v>4.4000000000000004</v>
      </c>
      <c r="Q765">
        <v>84</v>
      </c>
      <c r="R765" t="str">
        <f>TEXT(Healthcare_Data[[#This Row],[Visit_Date]],"mmm")</f>
        <v>Oct</v>
      </c>
      <c r="S765">
        <f>MONTH(Healthcare_Data[[#This Row],[Visit_Date]])</f>
        <v>10</v>
      </c>
      <c r="T765" t="str">
        <f>IF(Healthcare_Data[[#This Row],[Final_Bill]]&gt;=50000,"High",IF(Healthcare_Data[[#This Row],[Final_Bill]]&gt;=20000,"Medium","low"))</f>
        <v>High</v>
      </c>
    </row>
    <row r="766" spans="1:20" x14ac:dyDescent="0.3">
      <c r="A766" t="s">
        <v>821</v>
      </c>
      <c r="B766" s="3">
        <v>45932</v>
      </c>
      <c r="C766" t="s">
        <v>18</v>
      </c>
      <c r="D766" t="s">
        <v>28</v>
      </c>
      <c r="E766" t="s">
        <v>20</v>
      </c>
      <c r="F766" t="s">
        <v>40</v>
      </c>
      <c r="G766">
        <v>74</v>
      </c>
      <c r="H766" t="s">
        <v>35</v>
      </c>
      <c r="I766" t="s">
        <v>23</v>
      </c>
      <c r="J766" t="s">
        <v>36</v>
      </c>
      <c r="K766">
        <v>0</v>
      </c>
      <c r="L766" s="4">
        <v>17265</v>
      </c>
      <c r="M766">
        <v>500</v>
      </c>
      <c r="N766">
        <v>16765</v>
      </c>
      <c r="O766" t="s">
        <v>25</v>
      </c>
      <c r="P766">
        <v>3.5</v>
      </c>
      <c r="Q766">
        <v>94</v>
      </c>
      <c r="R766" t="str">
        <f>TEXT(Healthcare_Data[[#This Row],[Visit_Date]],"mmm")</f>
        <v>Oct</v>
      </c>
      <c r="S766">
        <f>MONTH(Healthcare_Data[[#This Row],[Visit_Date]])</f>
        <v>10</v>
      </c>
      <c r="T766" t="str">
        <f>IF(Healthcare_Data[[#This Row],[Final_Bill]]&gt;=50000,"High",IF(Healthcare_Data[[#This Row],[Final_Bill]]&gt;=20000,"Medium","low"))</f>
        <v>low</v>
      </c>
    </row>
    <row r="767" spans="1:20" x14ac:dyDescent="0.3">
      <c r="A767" t="s">
        <v>822</v>
      </c>
      <c r="B767" s="3">
        <v>45934</v>
      </c>
      <c r="C767" t="s">
        <v>54</v>
      </c>
      <c r="D767" t="s">
        <v>19</v>
      </c>
      <c r="E767" t="s">
        <v>20</v>
      </c>
      <c r="F767" t="s">
        <v>40</v>
      </c>
      <c r="G767">
        <v>24</v>
      </c>
      <c r="H767" t="s">
        <v>56</v>
      </c>
      <c r="I767" t="s">
        <v>69</v>
      </c>
      <c r="J767" t="s">
        <v>36</v>
      </c>
      <c r="K767">
        <v>0</v>
      </c>
      <c r="L767" s="4">
        <v>18424</v>
      </c>
      <c r="M767">
        <v>0</v>
      </c>
      <c r="N767">
        <v>18424</v>
      </c>
      <c r="O767" t="s">
        <v>25</v>
      </c>
      <c r="P767">
        <v>2.9</v>
      </c>
      <c r="Q767">
        <v>23</v>
      </c>
      <c r="R767" t="str">
        <f>TEXT(Healthcare_Data[[#This Row],[Visit_Date]],"mmm")</f>
        <v>Oct</v>
      </c>
      <c r="S767">
        <f>MONTH(Healthcare_Data[[#This Row],[Visit_Date]])</f>
        <v>10</v>
      </c>
      <c r="T767" t="str">
        <f>IF(Healthcare_Data[[#This Row],[Final_Bill]]&gt;=50000,"High",IF(Healthcare_Data[[#This Row],[Final_Bill]]&gt;=20000,"Medium","low"))</f>
        <v>low</v>
      </c>
    </row>
    <row r="768" spans="1:20" x14ac:dyDescent="0.3">
      <c r="A768" t="s">
        <v>823</v>
      </c>
      <c r="B768" s="3">
        <v>45934</v>
      </c>
      <c r="C768" t="s">
        <v>44</v>
      </c>
      <c r="D768" t="s">
        <v>19</v>
      </c>
      <c r="E768" t="s">
        <v>54</v>
      </c>
      <c r="F768" t="s">
        <v>21</v>
      </c>
      <c r="G768">
        <v>63</v>
      </c>
      <c r="H768" t="s">
        <v>65</v>
      </c>
      <c r="I768" t="s">
        <v>63</v>
      </c>
      <c r="J768" t="s">
        <v>36</v>
      </c>
      <c r="K768">
        <v>0</v>
      </c>
      <c r="L768" s="4">
        <v>30891</v>
      </c>
      <c r="M768">
        <v>1000</v>
      </c>
      <c r="N768">
        <v>29891</v>
      </c>
      <c r="O768" t="s">
        <v>59</v>
      </c>
      <c r="P768">
        <v>3.9</v>
      </c>
      <c r="Q768">
        <v>111</v>
      </c>
      <c r="R768" t="str">
        <f>TEXT(Healthcare_Data[[#This Row],[Visit_Date]],"mmm")</f>
        <v>Oct</v>
      </c>
      <c r="S768">
        <f>MONTH(Healthcare_Data[[#This Row],[Visit_Date]])</f>
        <v>10</v>
      </c>
      <c r="T768" t="str">
        <f>IF(Healthcare_Data[[#This Row],[Final_Bill]]&gt;=50000,"High",IF(Healthcare_Data[[#This Row],[Final_Bill]]&gt;=20000,"Medium","low"))</f>
        <v>Medium</v>
      </c>
    </row>
    <row r="769" spans="1:20" x14ac:dyDescent="0.3">
      <c r="A769" t="s">
        <v>824</v>
      </c>
      <c r="B769" s="3">
        <v>45934</v>
      </c>
      <c r="C769" t="s">
        <v>50</v>
      </c>
      <c r="D769" t="s">
        <v>19</v>
      </c>
      <c r="E769" t="s">
        <v>52</v>
      </c>
      <c r="F769" t="s">
        <v>40</v>
      </c>
      <c r="G769">
        <v>64</v>
      </c>
      <c r="H769" t="s">
        <v>35</v>
      </c>
      <c r="I769" t="s">
        <v>69</v>
      </c>
      <c r="J769" t="s">
        <v>24</v>
      </c>
      <c r="K769">
        <v>8</v>
      </c>
      <c r="L769" s="4">
        <v>58183</v>
      </c>
      <c r="M769">
        <v>2000</v>
      </c>
      <c r="N769">
        <v>56183</v>
      </c>
      <c r="O769" t="s">
        <v>32</v>
      </c>
      <c r="P769">
        <v>2.8</v>
      </c>
      <c r="Q769">
        <v>44</v>
      </c>
      <c r="R769" t="str">
        <f>TEXT(Healthcare_Data[[#This Row],[Visit_Date]],"mmm")</f>
        <v>Oct</v>
      </c>
      <c r="S769">
        <f>MONTH(Healthcare_Data[[#This Row],[Visit_Date]])</f>
        <v>10</v>
      </c>
      <c r="T769" t="str">
        <f>IF(Healthcare_Data[[#This Row],[Final_Bill]]&gt;=50000,"High",IF(Healthcare_Data[[#This Row],[Final_Bill]]&gt;=20000,"Medium","low"))</f>
        <v>High</v>
      </c>
    </row>
    <row r="770" spans="1:20" x14ac:dyDescent="0.3">
      <c r="A770" t="s">
        <v>825</v>
      </c>
      <c r="B770" s="3">
        <v>45934</v>
      </c>
      <c r="C770" t="s">
        <v>67</v>
      </c>
      <c r="D770" t="s">
        <v>28</v>
      </c>
      <c r="E770" t="s">
        <v>20</v>
      </c>
      <c r="F770" t="s">
        <v>21</v>
      </c>
      <c r="G770">
        <v>35</v>
      </c>
      <c r="H770" t="s">
        <v>22</v>
      </c>
      <c r="I770" t="s">
        <v>23</v>
      </c>
      <c r="J770" t="s">
        <v>58</v>
      </c>
      <c r="K770">
        <v>0</v>
      </c>
      <c r="L770" s="4">
        <v>19355</v>
      </c>
      <c r="M770">
        <v>0</v>
      </c>
      <c r="N770">
        <v>19355</v>
      </c>
      <c r="O770" t="s">
        <v>25</v>
      </c>
      <c r="P770">
        <v>4.9000000000000004</v>
      </c>
      <c r="Q770">
        <v>68</v>
      </c>
      <c r="R770" t="str">
        <f>TEXT(Healthcare_Data[[#This Row],[Visit_Date]],"mmm")</f>
        <v>Oct</v>
      </c>
      <c r="S770">
        <f>MONTH(Healthcare_Data[[#This Row],[Visit_Date]])</f>
        <v>10</v>
      </c>
      <c r="T770" t="str">
        <f>IF(Healthcare_Data[[#This Row],[Final_Bill]]&gt;=50000,"High",IF(Healthcare_Data[[#This Row],[Final_Bill]]&gt;=20000,"Medium","low"))</f>
        <v>low</v>
      </c>
    </row>
    <row r="771" spans="1:20" x14ac:dyDescent="0.3">
      <c r="A771" t="s">
        <v>826</v>
      </c>
      <c r="B771" s="3">
        <v>45934</v>
      </c>
      <c r="C771" t="s">
        <v>48</v>
      </c>
      <c r="D771" t="s">
        <v>19</v>
      </c>
      <c r="E771" t="s">
        <v>20</v>
      </c>
      <c r="F771" t="s">
        <v>40</v>
      </c>
      <c r="G771">
        <v>72</v>
      </c>
      <c r="H771" t="s">
        <v>46</v>
      </c>
      <c r="I771" t="s">
        <v>61</v>
      </c>
      <c r="J771" t="s">
        <v>36</v>
      </c>
      <c r="K771">
        <v>0</v>
      </c>
      <c r="L771" s="4">
        <v>2069</v>
      </c>
      <c r="M771">
        <v>1000</v>
      </c>
      <c r="N771">
        <v>1069</v>
      </c>
      <c r="O771" t="s">
        <v>25</v>
      </c>
      <c r="P771">
        <v>4.3</v>
      </c>
      <c r="Q771">
        <v>110</v>
      </c>
      <c r="R771" t="str">
        <f>TEXT(Healthcare_Data[[#This Row],[Visit_Date]],"mmm")</f>
        <v>Oct</v>
      </c>
      <c r="S771">
        <f>MONTH(Healthcare_Data[[#This Row],[Visit_Date]])</f>
        <v>10</v>
      </c>
      <c r="T771" t="str">
        <f>IF(Healthcare_Data[[#This Row],[Final_Bill]]&gt;=50000,"High",IF(Healthcare_Data[[#This Row],[Final_Bill]]&gt;=20000,"Medium","low"))</f>
        <v>low</v>
      </c>
    </row>
    <row r="772" spans="1:20" x14ac:dyDescent="0.3">
      <c r="A772" t="s">
        <v>827</v>
      </c>
      <c r="B772" s="3">
        <v>45934</v>
      </c>
      <c r="C772" t="s">
        <v>50</v>
      </c>
      <c r="D772" t="s">
        <v>28</v>
      </c>
      <c r="E772" t="s">
        <v>54</v>
      </c>
      <c r="F772" t="s">
        <v>21</v>
      </c>
      <c r="G772">
        <v>65</v>
      </c>
      <c r="H772" t="s">
        <v>115</v>
      </c>
      <c r="I772" t="s">
        <v>57</v>
      </c>
      <c r="J772" t="s">
        <v>24</v>
      </c>
      <c r="K772">
        <v>0</v>
      </c>
      <c r="L772" s="4">
        <v>40746</v>
      </c>
      <c r="M772">
        <v>500</v>
      </c>
      <c r="N772">
        <v>40246</v>
      </c>
      <c r="O772" t="s">
        <v>25</v>
      </c>
      <c r="P772">
        <v>3.5</v>
      </c>
      <c r="Q772">
        <v>71</v>
      </c>
      <c r="R772" t="str">
        <f>TEXT(Healthcare_Data[[#This Row],[Visit_Date]],"mmm")</f>
        <v>Oct</v>
      </c>
      <c r="S772">
        <f>MONTH(Healthcare_Data[[#This Row],[Visit_Date]])</f>
        <v>10</v>
      </c>
      <c r="T772" t="str">
        <f>IF(Healthcare_Data[[#This Row],[Final_Bill]]&gt;=50000,"High",IF(Healthcare_Data[[#This Row],[Final_Bill]]&gt;=20000,"Medium","low"))</f>
        <v>Medium</v>
      </c>
    </row>
    <row r="773" spans="1:20" x14ac:dyDescent="0.3">
      <c r="A773" t="s">
        <v>828</v>
      </c>
      <c r="B773" s="3">
        <v>45935</v>
      </c>
      <c r="C773" t="s">
        <v>54</v>
      </c>
      <c r="D773" t="s">
        <v>28</v>
      </c>
      <c r="E773" t="s">
        <v>20</v>
      </c>
      <c r="F773" t="s">
        <v>21</v>
      </c>
      <c r="G773">
        <v>64</v>
      </c>
      <c r="H773" t="s">
        <v>41</v>
      </c>
      <c r="I773" t="s">
        <v>57</v>
      </c>
      <c r="J773" t="s">
        <v>31</v>
      </c>
      <c r="K773">
        <v>0</v>
      </c>
      <c r="L773" s="4">
        <v>2921</v>
      </c>
      <c r="M773">
        <v>500</v>
      </c>
      <c r="N773">
        <v>2421</v>
      </c>
      <c r="O773" t="s">
        <v>25</v>
      </c>
      <c r="P773">
        <v>3.1</v>
      </c>
      <c r="Q773">
        <v>28</v>
      </c>
      <c r="R773" t="str">
        <f>TEXT(Healthcare_Data[[#This Row],[Visit_Date]],"mmm")</f>
        <v>Oct</v>
      </c>
      <c r="S773">
        <f>MONTH(Healthcare_Data[[#This Row],[Visit_Date]])</f>
        <v>10</v>
      </c>
      <c r="T773" t="str">
        <f>IF(Healthcare_Data[[#This Row],[Final_Bill]]&gt;=50000,"High",IF(Healthcare_Data[[#This Row],[Final_Bill]]&gt;=20000,"Medium","low"))</f>
        <v>low</v>
      </c>
    </row>
    <row r="774" spans="1:20" x14ac:dyDescent="0.3">
      <c r="A774" t="s">
        <v>829</v>
      </c>
      <c r="B774" s="3">
        <v>45936</v>
      </c>
      <c r="C774" t="s">
        <v>54</v>
      </c>
      <c r="D774" t="s">
        <v>19</v>
      </c>
      <c r="E774" t="s">
        <v>20</v>
      </c>
      <c r="F774" t="s">
        <v>21</v>
      </c>
      <c r="G774">
        <v>45</v>
      </c>
      <c r="H774" t="s">
        <v>65</v>
      </c>
      <c r="I774" t="s">
        <v>63</v>
      </c>
      <c r="J774" t="s">
        <v>36</v>
      </c>
      <c r="K774">
        <v>0</v>
      </c>
      <c r="L774" s="4">
        <v>11416</v>
      </c>
      <c r="M774">
        <v>0</v>
      </c>
      <c r="N774">
        <v>11416</v>
      </c>
      <c r="O774" t="s">
        <v>25</v>
      </c>
      <c r="P774">
        <v>5</v>
      </c>
      <c r="Q774">
        <v>32</v>
      </c>
      <c r="R774" t="str">
        <f>TEXT(Healthcare_Data[[#This Row],[Visit_Date]],"mmm")</f>
        <v>Oct</v>
      </c>
      <c r="S774">
        <f>MONTH(Healthcare_Data[[#This Row],[Visit_Date]])</f>
        <v>10</v>
      </c>
      <c r="T774" t="str">
        <f>IF(Healthcare_Data[[#This Row],[Final_Bill]]&gt;=50000,"High",IF(Healthcare_Data[[#This Row],[Final_Bill]]&gt;=20000,"Medium","low"))</f>
        <v>low</v>
      </c>
    </row>
    <row r="775" spans="1:20" x14ac:dyDescent="0.3">
      <c r="A775" t="s">
        <v>830</v>
      </c>
      <c r="B775" s="3">
        <v>45936</v>
      </c>
      <c r="C775" t="s">
        <v>44</v>
      </c>
      <c r="D775" t="s">
        <v>28</v>
      </c>
      <c r="E775" t="s">
        <v>20</v>
      </c>
      <c r="F775" t="s">
        <v>21</v>
      </c>
      <c r="G775">
        <v>45</v>
      </c>
      <c r="H775" t="s">
        <v>56</v>
      </c>
      <c r="I775" t="s">
        <v>57</v>
      </c>
      <c r="J775" t="s">
        <v>24</v>
      </c>
      <c r="K775">
        <v>0</v>
      </c>
      <c r="L775" s="4">
        <v>17549</v>
      </c>
      <c r="M775">
        <v>1500</v>
      </c>
      <c r="N775">
        <v>16049</v>
      </c>
      <c r="O775" t="s">
        <v>25</v>
      </c>
      <c r="P775">
        <v>4.7</v>
      </c>
      <c r="Q775">
        <v>13</v>
      </c>
      <c r="R775" t="str">
        <f>TEXT(Healthcare_Data[[#This Row],[Visit_Date]],"mmm")</f>
        <v>Oct</v>
      </c>
      <c r="S775">
        <f>MONTH(Healthcare_Data[[#This Row],[Visit_Date]])</f>
        <v>10</v>
      </c>
      <c r="T775" t="str">
        <f>IF(Healthcare_Data[[#This Row],[Final_Bill]]&gt;=50000,"High",IF(Healthcare_Data[[#This Row],[Final_Bill]]&gt;=20000,"Medium","low"))</f>
        <v>low</v>
      </c>
    </row>
    <row r="776" spans="1:20" x14ac:dyDescent="0.3">
      <c r="A776" t="s">
        <v>831</v>
      </c>
      <c r="B776" s="3">
        <v>45937</v>
      </c>
      <c r="C776" t="s">
        <v>18</v>
      </c>
      <c r="D776" t="s">
        <v>51</v>
      </c>
      <c r="E776" t="s">
        <v>20</v>
      </c>
      <c r="F776" t="s">
        <v>21</v>
      </c>
      <c r="G776">
        <v>64</v>
      </c>
      <c r="H776" t="s">
        <v>65</v>
      </c>
      <c r="I776" t="s">
        <v>72</v>
      </c>
      <c r="J776" t="s">
        <v>24</v>
      </c>
      <c r="K776">
        <v>0</v>
      </c>
      <c r="L776" s="4">
        <v>3785</v>
      </c>
      <c r="M776">
        <v>2000</v>
      </c>
      <c r="N776">
        <v>1785</v>
      </c>
      <c r="O776" t="s">
        <v>25</v>
      </c>
      <c r="P776">
        <v>4.2</v>
      </c>
      <c r="Q776">
        <v>64</v>
      </c>
      <c r="R776" t="str">
        <f>TEXT(Healthcare_Data[[#This Row],[Visit_Date]],"mmm")</f>
        <v>Oct</v>
      </c>
      <c r="S776">
        <f>MONTH(Healthcare_Data[[#This Row],[Visit_Date]])</f>
        <v>10</v>
      </c>
      <c r="T776" t="str">
        <f>IF(Healthcare_Data[[#This Row],[Final_Bill]]&gt;=50000,"High",IF(Healthcare_Data[[#This Row],[Final_Bill]]&gt;=20000,"Medium","low"))</f>
        <v>low</v>
      </c>
    </row>
    <row r="777" spans="1:20" x14ac:dyDescent="0.3">
      <c r="A777" t="s">
        <v>832</v>
      </c>
      <c r="B777" s="3">
        <v>45937</v>
      </c>
      <c r="C777" t="s">
        <v>27</v>
      </c>
      <c r="D777" t="s">
        <v>34</v>
      </c>
      <c r="E777" t="s">
        <v>20</v>
      </c>
      <c r="F777" t="s">
        <v>40</v>
      </c>
      <c r="G777">
        <v>64</v>
      </c>
      <c r="H777" t="s">
        <v>56</v>
      </c>
      <c r="I777" t="s">
        <v>69</v>
      </c>
      <c r="J777" t="s">
        <v>31</v>
      </c>
      <c r="K777">
        <v>0</v>
      </c>
      <c r="L777" s="4">
        <v>4411</v>
      </c>
      <c r="M777">
        <v>0</v>
      </c>
      <c r="N777">
        <v>4411</v>
      </c>
      <c r="O777" t="s">
        <v>25</v>
      </c>
      <c r="P777">
        <v>3</v>
      </c>
      <c r="Q777">
        <v>111</v>
      </c>
      <c r="R777" t="str">
        <f>TEXT(Healthcare_Data[[#This Row],[Visit_Date]],"mmm")</f>
        <v>Oct</v>
      </c>
      <c r="S777">
        <f>MONTH(Healthcare_Data[[#This Row],[Visit_Date]])</f>
        <v>10</v>
      </c>
      <c r="T777" t="str">
        <f>IF(Healthcare_Data[[#This Row],[Final_Bill]]&gt;=50000,"High",IF(Healthcare_Data[[#This Row],[Final_Bill]]&gt;=20000,"Medium","low"))</f>
        <v>low</v>
      </c>
    </row>
    <row r="778" spans="1:20" x14ac:dyDescent="0.3">
      <c r="A778" t="s">
        <v>833</v>
      </c>
      <c r="B778" s="3">
        <v>45937</v>
      </c>
      <c r="C778" t="s">
        <v>54</v>
      </c>
      <c r="D778" t="s">
        <v>28</v>
      </c>
      <c r="E778" t="s">
        <v>20</v>
      </c>
      <c r="F778" t="s">
        <v>40</v>
      </c>
      <c r="G778">
        <v>25</v>
      </c>
      <c r="H778" t="s">
        <v>22</v>
      </c>
      <c r="I778" t="s">
        <v>30</v>
      </c>
      <c r="J778" t="s">
        <v>31</v>
      </c>
      <c r="K778">
        <v>0</v>
      </c>
      <c r="L778" s="4">
        <v>16088</v>
      </c>
      <c r="M778">
        <v>2000</v>
      </c>
      <c r="N778">
        <v>14088</v>
      </c>
      <c r="O778" t="s">
        <v>25</v>
      </c>
      <c r="P778">
        <v>3.1</v>
      </c>
      <c r="Q778">
        <v>33</v>
      </c>
      <c r="R778" t="str">
        <f>TEXT(Healthcare_Data[[#This Row],[Visit_Date]],"mmm")</f>
        <v>Oct</v>
      </c>
      <c r="S778">
        <f>MONTH(Healthcare_Data[[#This Row],[Visit_Date]])</f>
        <v>10</v>
      </c>
      <c r="T778" t="str">
        <f>IF(Healthcare_Data[[#This Row],[Final_Bill]]&gt;=50000,"High",IF(Healthcare_Data[[#This Row],[Final_Bill]]&gt;=20000,"Medium","low"))</f>
        <v>low</v>
      </c>
    </row>
    <row r="779" spans="1:20" x14ac:dyDescent="0.3">
      <c r="A779" t="s">
        <v>834</v>
      </c>
      <c r="B779" s="3">
        <v>45937</v>
      </c>
      <c r="C779" t="s">
        <v>27</v>
      </c>
      <c r="D779" t="s">
        <v>39</v>
      </c>
      <c r="E779" t="s">
        <v>20</v>
      </c>
      <c r="F779" t="s">
        <v>21</v>
      </c>
      <c r="G779">
        <v>78</v>
      </c>
      <c r="H779" t="s">
        <v>115</v>
      </c>
      <c r="I779" t="s">
        <v>69</v>
      </c>
      <c r="J779" t="s">
        <v>31</v>
      </c>
      <c r="K779">
        <v>0</v>
      </c>
      <c r="L779" s="4">
        <v>12479</v>
      </c>
      <c r="M779">
        <v>0</v>
      </c>
      <c r="N779">
        <v>12479</v>
      </c>
      <c r="O779" t="s">
        <v>25</v>
      </c>
      <c r="P779">
        <v>3.7</v>
      </c>
      <c r="Q779">
        <v>62</v>
      </c>
      <c r="R779" t="str">
        <f>TEXT(Healthcare_Data[[#This Row],[Visit_Date]],"mmm")</f>
        <v>Oct</v>
      </c>
      <c r="S779">
        <f>MONTH(Healthcare_Data[[#This Row],[Visit_Date]])</f>
        <v>10</v>
      </c>
      <c r="T779" t="str">
        <f>IF(Healthcare_Data[[#This Row],[Final_Bill]]&gt;=50000,"High",IF(Healthcare_Data[[#This Row],[Final_Bill]]&gt;=20000,"Medium","low"))</f>
        <v>low</v>
      </c>
    </row>
    <row r="780" spans="1:20" x14ac:dyDescent="0.3">
      <c r="A780" t="s">
        <v>835</v>
      </c>
      <c r="B780" s="3">
        <v>45937</v>
      </c>
      <c r="C780" t="s">
        <v>18</v>
      </c>
      <c r="D780" t="s">
        <v>34</v>
      </c>
      <c r="E780" t="s">
        <v>20</v>
      </c>
      <c r="F780" t="s">
        <v>21</v>
      </c>
      <c r="G780">
        <v>60</v>
      </c>
      <c r="H780" t="s">
        <v>115</v>
      </c>
      <c r="I780" t="s">
        <v>30</v>
      </c>
      <c r="J780" t="s">
        <v>24</v>
      </c>
      <c r="K780">
        <v>0</v>
      </c>
      <c r="L780" s="4">
        <v>14307</v>
      </c>
      <c r="M780">
        <v>500</v>
      </c>
      <c r="N780">
        <v>13807</v>
      </c>
      <c r="O780" t="s">
        <v>25</v>
      </c>
      <c r="P780">
        <v>4.0999999999999996</v>
      </c>
      <c r="Q780">
        <v>35</v>
      </c>
      <c r="R780" t="str">
        <f>TEXT(Healthcare_Data[[#This Row],[Visit_Date]],"mmm")</f>
        <v>Oct</v>
      </c>
      <c r="S780">
        <f>MONTH(Healthcare_Data[[#This Row],[Visit_Date]])</f>
        <v>10</v>
      </c>
      <c r="T780" t="str">
        <f>IF(Healthcare_Data[[#This Row],[Final_Bill]]&gt;=50000,"High",IF(Healthcare_Data[[#This Row],[Final_Bill]]&gt;=20000,"Medium","low"))</f>
        <v>low</v>
      </c>
    </row>
    <row r="781" spans="1:20" x14ac:dyDescent="0.3">
      <c r="A781" t="s">
        <v>836</v>
      </c>
      <c r="B781" s="3">
        <v>45938</v>
      </c>
      <c r="C781" t="s">
        <v>27</v>
      </c>
      <c r="D781" t="s">
        <v>51</v>
      </c>
      <c r="E781" t="s">
        <v>52</v>
      </c>
      <c r="F781" t="s">
        <v>40</v>
      </c>
      <c r="G781">
        <v>74</v>
      </c>
      <c r="H781" t="s">
        <v>65</v>
      </c>
      <c r="I781" t="s">
        <v>61</v>
      </c>
      <c r="J781" t="s">
        <v>1057</v>
      </c>
      <c r="K781">
        <v>11</v>
      </c>
      <c r="L781" s="4">
        <v>17484</v>
      </c>
      <c r="M781">
        <v>0</v>
      </c>
      <c r="N781">
        <v>17484</v>
      </c>
      <c r="O781" t="s">
        <v>25</v>
      </c>
      <c r="P781">
        <v>3.8</v>
      </c>
      <c r="Q781">
        <v>70</v>
      </c>
      <c r="R781" t="str">
        <f>TEXT(Healthcare_Data[[#This Row],[Visit_Date]],"mmm")</f>
        <v>Oct</v>
      </c>
      <c r="S781">
        <f>MONTH(Healthcare_Data[[#This Row],[Visit_Date]])</f>
        <v>10</v>
      </c>
      <c r="T781" t="str">
        <f>IF(Healthcare_Data[[#This Row],[Final_Bill]]&gt;=50000,"High",IF(Healthcare_Data[[#This Row],[Final_Bill]]&gt;=20000,"Medium","low"))</f>
        <v>low</v>
      </c>
    </row>
    <row r="782" spans="1:20" x14ac:dyDescent="0.3">
      <c r="A782" t="s">
        <v>837</v>
      </c>
      <c r="B782" s="3">
        <v>45938</v>
      </c>
      <c r="C782" t="s">
        <v>67</v>
      </c>
      <c r="D782" t="s">
        <v>34</v>
      </c>
      <c r="E782" t="s">
        <v>20</v>
      </c>
      <c r="F782" t="s">
        <v>21</v>
      </c>
      <c r="G782">
        <v>22</v>
      </c>
      <c r="H782" t="s">
        <v>35</v>
      </c>
      <c r="I782" t="s">
        <v>23</v>
      </c>
      <c r="J782" t="s">
        <v>24</v>
      </c>
      <c r="K782">
        <v>0</v>
      </c>
      <c r="L782" s="4">
        <v>17201</v>
      </c>
      <c r="M782">
        <v>0</v>
      </c>
      <c r="N782">
        <v>17201</v>
      </c>
      <c r="O782" t="s">
        <v>25</v>
      </c>
      <c r="P782">
        <v>2.6</v>
      </c>
      <c r="Q782">
        <v>61</v>
      </c>
      <c r="R782" t="str">
        <f>TEXT(Healthcare_Data[[#This Row],[Visit_Date]],"mmm")</f>
        <v>Oct</v>
      </c>
      <c r="S782">
        <f>MONTH(Healthcare_Data[[#This Row],[Visit_Date]])</f>
        <v>10</v>
      </c>
      <c r="T782" t="str">
        <f>IF(Healthcare_Data[[#This Row],[Final_Bill]]&gt;=50000,"High",IF(Healthcare_Data[[#This Row],[Final_Bill]]&gt;=20000,"Medium","low"))</f>
        <v>low</v>
      </c>
    </row>
    <row r="783" spans="1:20" x14ac:dyDescent="0.3">
      <c r="A783" t="s">
        <v>838</v>
      </c>
      <c r="B783" s="3">
        <v>45939</v>
      </c>
      <c r="C783" t="s">
        <v>50</v>
      </c>
      <c r="D783" t="s">
        <v>34</v>
      </c>
      <c r="E783" t="s">
        <v>54</v>
      </c>
      <c r="F783" t="s">
        <v>40</v>
      </c>
      <c r="G783">
        <v>40</v>
      </c>
      <c r="H783" t="s">
        <v>46</v>
      </c>
      <c r="I783" t="s">
        <v>30</v>
      </c>
      <c r="J783" t="s">
        <v>31</v>
      </c>
      <c r="K783">
        <v>0</v>
      </c>
      <c r="L783" s="4">
        <v>30666</v>
      </c>
      <c r="M783">
        <v>0</v>
      </c>
      <c r="N783">
        <v>30666</v>
      </c>
      <c r="O783" t="s">
        <v>25</v>
      </c>
      <c r="P783">
        <v>4.7</v>
      </c>
      <c r="Q783">
        <v>48</v>
      </c>
      <c r="R783" t="str">
        <f>TEXT(Healthcare_Data[[#This Row],[Visit_Date]],"mmm")</f>
        <v>Oct</v>
      </c>
      <c r="S783">
        <f>MONTH(Healthcare_Data[[#This Row],[Visit_Date]])</f>
        <v>10</v>
      </c>
      <c r="T783" t="str">
        <f>IF(Healthcare_Data[[#This Row],[Final_Bill]]&gt;=50000,"High",IF(Healthcare_Data[[#This Row],[Final_Bill]]&gt;=20000,"Medium","low"))</f>
        <v>Medium</v>
      </c>
    </row>
    <row r="784" spans="1:20" x14ac:dyDescent="0.3">
      <c r="A784" t="s">
        <v>839</v>
      </c>
      <c r="B784" s="3">
        <v>45939</v>
      </c>
      <c r="C784" t="s">
        <v>27</v>
      </c>
      <c r="D784" t="s">
        <v>34</v>
      </c>
      <c r="E784" t="s">
        <v>20</v>
      </c>
      <c r="F784" t="s">
        <v>21</v>
      </c>
      <c r="G784">
        <v>19</v>
      </c>
      <c r="H784" t="s">
        <v>65</v>
      </c>
      <c r="I784" t="s">
        <v>30</v>
      </c>
      <c r="J784" t="s">
        <v>24</v>
      </c>
      <c r="K784">
        <v>0</v>
      </c>
      <c r="L784" s="4">
        <v>16775</v>
      </c>
      <c r="M784">
        <v>500</v>
      </c>
      <c r="N784">
        <v>16275</v>
      </c>
      <c r="O784" t="s">
        <v>59</v>
      </c>
      <c r="P784">
        <v>3.8</v>
      </c>
      <c r="Q784">
        <v>96</v>
      </c>
      <c r="R784" t="str">
        <f>TEXT(Healthcare_Data[[#This Row],[Visit_Date]],"mmm")</f>
        <v>Oct</v>
      </c>
      <c r="S784">
        <f>MONTH(Healthcare_Data[[#This Row],[Visit_Date]])</f>
        <v>10</v>
      </c>
      <c r="T784" t="str">
        <f>IF(Healthcare_Data[[#This Row],[Final_Bill]]&gt;=50000,"High",IF(Healthcare_Data[[#This Row],[Final_Bill]]&gt;=20000,"Medium","low"))</f>
        <v>low</v>
      </c>
    </row>
    <row r="785" spans="1:20" x14ac:dyDescent="0.3">
      <c r="A785" t="s">
        <v>840</v>
      </c>
      <c r="B785" s="3">
        <v>45939</v>
      </c>
      <c r="C785" t="s">
        <v>67</v>
      </c>
      <c r="D785" t="s">
        <v>39</v>
      </c>
      <c r="E785" t="s">
        <v>20</v>
      </c>
      <c r="F785" t="s">
        <v>21</v>
      </c>
      <c r="G785">
        <v>30</v>
      </c>
      <c r="H785" t="s">
        <v>56</v>
      </c>
      <c r="I785" t="s">
        <v>42</v>
      </c>
      <c r="J785" t="s">
        <v>24</v>
      </c>
      <c r="K785">
        <v>0</v>
      </c>
      <c r="L785" s="4">
        <v>18214</v>
      </c>
      <c r="M785">
        <v>1000</v>
      </c>
      <c r="N785">
        <v>17214</v>
      </c>
      <c r="O785" t="s">
        <v>25</v>
      </c>
      <c r="P785">
        <v>2.6</v>
      </c>
      <c r="Q785">
        <v>58</v>
      </c>
      <c r="R785" t="str">
        <f>TEXT(Healthcare_Data[[#This Row],[Visit_Date]],"mmm")</f>
        <v>Oct</v>
      </c>
      <c r="S785">
        <f>MONTH(Healthcare_Data[[#This Row],[Visit_Date]])</f>
        <v>10</v>
      </c>
      <c r="T785" t="str">
        <f>IF(Healthcare_Data[[#This Row],[Final_Bill]]&gt;=50000,"High",IF(Healthcare_Data[[#This Row],[Final_Bill]]&gt;=20000,"Medium","low"))</f>
        <v>low</v>
      </c>
    </row>
    <row r="786" spans="1:20" x14ac:dyDescent="0.3">
      <c r="A786" t="s">
        <v>841</v>
      </c>
      <c r="B786" s="3">
        <v>45940</v>
      </c>
      <c r="C786" t="s">
        <v>27</v>
      </c>
      <c r="D786" t="s">
        <v>28</v>
      </c>
      <c r="E786" t="s">
        <v>20</v>
      </c>
      <c r="F786" t="s">
        <v>21</v>
      </c>
      <c r="G786">
        <v>48</v>
      </c>
      <c r="H786" t="s">
        <v>22</v>
      </c>
      <c r="I786" t="s">
        <v>72</v>
      </c>
      <c r="J786" t="s">
        <v>58</v>
      </c>
      <c r="K786">
        <v>0</v>
      </c>
      <c r="L786" s="4">
        <v>18640</v>
      </c>
      <c r="M786">
        <v>2000</v>
      </c>
      <c r="N786">
        <v>16640</v>
      </c>
      <c r="O786" t="s">
        <v>25</v>
      </c>
      <c r="P786">
        <v>4.0999999999999996</v>
      </c>
      <c r="Q786">
        <v>20</v>
      </c>
      <c r="R786" t="str">
        <f>TEXT(Healthcare_Data[[#This Row],[Visit_Date]],"mmm")</f>
        <v>Oct</v>
      </c>
      <c r="S786">
        <f>MONTH(Healthcare_Data[[#This Row],[Visit_Date]])</f>
        <v>10</v>
      </c>
      <c r="T786" t="str">
        <f>IF(Healthcare_Data[[#This Row],[Final_Bill]]&gt;=50000,"High",IF(Healthcare_Data[[#This Row],[Final_Bill]]&gt;=20000,"Medium","low"))</f>
        <v>low</v>
      </c>
    </row>
    <row r="787" spans="1:20" x14ac:dyDescent="0.3">
      <c r="A787" t="s">
        <v>842</v>
      </c>
      <c r="B787" s="3">
        <v>45940</v>
      </c>
      <c r="C787" t="s">
        <v>48</v>
      </c>
      <c r="D787" t="s">
        <v>51</v>
      </c>
      <c r="E787" t="s">
        <v>52</v>
      </c>
      <c r="F787" t="s">
        <v>40</v>
      </c>
      <c r="G787">
        <v>70</v>
      </c>
      <c r="H787" t="s">
        <v>56</v>
      </c>
      <c r="I787" t="s">
        <v>69</v>
      </c>
      <c r="J787" t="s">
        <v>36</v>
      </c>
      <c r="K787">
        <v>5</v>
      </c>
      <c r="L787" s="4">
        <v>73830</v>
      </c>
      <c r="M787">
        <v>1500</v>
      </c>
      <c r="N787">
        <v>72330</v>
      </c>
      <c r="O787" t="s">
        <v>25</v>
      </c>
      <c r="P787">
        <v>2.9</v>
      </c>
      <c r="Q787">
        <v>23</v>
      </c>
      <c r="R787" t="str">
        <f>TEXT(Healthcare_Data[[#This Row],[Visit_Date]],"mmm")</f>
        <v>Oct</v>
      </c>
      <c r="S787">
        <f>MONTH(Healthcare_Data[[#This Row],[Visit_Date]])</f>
        <v>10</v>
      </c>
      <c r="T787" t="str">
        <f>IF(Healthcare_Data[[#This Row],[Final_Bill]]&gt;=50000,"High",IF(Healthcare_Data[[#This Row],[Final_Bill]]&gt;=20000,"Medium","low"))</f>
        <v>High</v>
      </c>
    </row>
    <row r="788" spans="1:20" x14ac:dyDescent="0.3">
      <c r="A788" t="s">
        <v>843</v>
      </c>
      <c r="B788" s="3">
        <v>45940</v>
      </c>
      <c r="C788" t="s">
        <v>27</v>
      </c>
      <c r="D788" t="s">
        <v>28</v>
      </c>
      <c r="E788" t="s">
        <v>20</v>
      </c>
      <c r="F788" t="s">
        <v>40</v>
      </c>
      <c r="G788">
        <v>35</v>
      </c>
      <c r="H788" t="s">
        <v>29</v>
      </c>
      <c r="I788" t="s">
        <v>30</v>
      </c>
      <c r="J788" t="s">
        <v>58</v>
      </c>
      <c r="K788">
        <v>0</v>
      </c>
      <c r="L788" s="4">
        <v>17743</v>
      </c>
      <c r="M788">
        <v>0</v>
      </c>
      <c r="N788">
        <v>17743</v>
      </c>
      <c r="O788" t="s">
        <v>25</v>
      </c>
      <c r="P788">
        <v>5</v>
      </c>
      <c r="Q788">
        <v>12</v>
      </c>
      <c r="R788" t="str">
        <f>TEXT(Healthcare_Data[[#This Row],[Visit_Date]],"mmm")</f>
        <v>Oct</v>
      </c>
      <c r="S788">
        <f>MONTH(Healthcare_Data[[#This Row],[Visit_Date]])</f>
        <v>10</v>
      </c>
      <c r="T788" t="str">
        <f>IF(Healthcare_Data[[#This Row],[Final_Bill]]&gt;=50000,"High",IF(Healthcare_Data[[#This Row],[Final_Bill]]&gt;=20000,"Medium","low"))</f>
        <v>low</v>
      </c>
    </row>
    <row r="789" spans="1:20" x14ac:dyDescent="0.3">
      <c r="A789" t="s">
        <v>844</v>
      </c>
      <c r="B789" s="3">
        <v>45940</v>
      </c>
      <c r="C789" t="s">
        <v>67</v>
      </c>
      <c r="D789" t="s">
        <v>28</v>
      </c>
      <c r="E789" t="s">
        <v>52</v>
      </c>
      <c r="F789" t="s">
        <v>40</v>
      </c>
      <c r="G789">
        <v>65</v>
      </c>
      <c r="H789" t="s">
        <v>46</v>
      </c>
      <c r="I789" t="s">
        <v>57</v>
      </c>
      <c r="J789" t="s">
        <v>24</v>
      </c>
      <c r="K789">
        <v>5</v>
      </c>
      <c r="L789" s="4">
        <v>39395</v>
      </c>
      <c r="M789">
        <v>500</v>
      </c>
      <c r="N789">
        <v>38895</v>
      </c>
      <c r="O789" t="s">
        <v>25</v>
      </c>
      <c r="P789">
        <v>4.7</v>
      </c>
      <c r="Q789">
        <v>72</v>
      </c>
      <c r="R789" t="str">
        <f>TEXT(Healthcare_Data[[#This Row],[Visit_Date]],"mmm")</f>
        <v>Oct</v>
      </c>
      <c r="S789">
        <f>MONTH(Healthcare_Data[[#This Row],[Visit_Date]])</f>
        <v>10</v>
      </c>
      <c r="T789" t="str">
        <f>IF(Healthcare_Data[[#This Row],[Final_Bill]]&gt;=50000,"High",IF(Healthcare_Data[[#This Row],[Final_Bill]]&gt;=20000,"Medium","low"))</f>
        <v>Medium</v>
      </c>
    </row>
    <row r="790" spans="1:20" x14ac:dyDescent="0.3">
      <c r="A790" t="s">
        <v>845</v>
      </c>
      <c r="B790" s="3">
        <v>45940</v>
      </c>
      <c r="C790" t="s">
        <v>18</v>
      </c>
      <c r="D790" t="s">
        <v>39</v>
      </c>
      <c r="E790" t="s">
        <v>20</v>
      </c>
      <c r="F790" t="s">
        <v>21</v>
      </c>
      <c r="G790">
        <v>47</v>
      </c>
      <c r="H790" t="s">
        <v>35</v>
      </c>
      <c r="I790" t="s">
        <v>23</v>
      </c>
      <c r="J790" t="s">
        <v>58</v>
      </c>
      <c r="K790">
        <v>0</v>
      </c>
      <c r="L790" s="4">
        <v>17776</v>
      </c>
      <c r="M790">
        <v>1500</v>
      </c>
      <c r="N790">
        <v>16276</v>
      </c>
      <c r="O790" t="s">
        <v>32</v>
      </c>
      <c r="P790">
        <v>4.5</v>
      </c>
      <c r="Q790">
        <v>44</v>
      </c>
      <c r="R790" t="str">
        <f>TEXT(Healthcare_Data[[#This Row],[Visit_Date]],"mmm")</f>
        <v>Oct</v>
      </c>
      <c r="S790">
        <f>MONTH(Healthcare_Data[[#This Row],[Visit_Date]])</f>
        <v>10</v>
      </c>
      <c r="T790" t="str">
        <f>IF(Healthcare_Data[[#This Row],[Final_Bill]]&gt;=50000,"High",IF(Healthcare_Data[[#This Row],[Final_Bill]]&gt;=20000,"Medium","low"))</f>
        <v>low</v>
      </c>
    </row>
    <row r="791" spans="1:20" x14ac:dyDescent="0.3">
      <c r="A791" t="s">
        <v>846</v>
      </c>
      <c r="B791" s="3">
        <v>45941</v>
      </c>
      <c r="C791" t="s">
        <v>50</v>
      </c>
      <c r="D791" t="s">
        <v>19</v>
      </c>
      <c r="E791" t="s">
        <v>20</v>
      </c>
      <c r="F791" t="s">
        <v>40</v>
      </c>
      <c r="G791">
        <v>36</v>
      </c>
      <c r="H791" t="s">
        <v>41</v>
      </c>
      <c r="I791" t="s">
        <v>61</v>
      </c>
      <c r="J791" t="s">
        <v>36</v>
      </c>
      <c r="K791">
        <v>0</v>
      </c>
      <c r="L791" s="4">
        <v>1770</v>
      </c>
      <c r="M791">
        <v>0</v>
      </c>
      <c r="N791">
        <v>1770</v>
      </c>
      <c r="O791" t="s">
        <v>25</v>
      </c>
      <c r="P791">
        <v>4.0999999999999996</v>
      </c>
      <c r="Q791">
        <v>73</v>
      </c>
      <c r="R791" t="str">
        <f>TEXT(Healthcare_Data[[#This Row],[Visit_Date]],"mmm")</f>
        <v>Oct</v>
      </c>
      <c r="S791">
        <f>MONTH(Healthcare_Data[[#This Row],[Visit_Date]])</f>
        <v>10</v>
      </c>
      <c r="T791" t="str">
        <f>IF(Healthcare_Data[[#This Row],[Final_Bill]]&gt;=50000,"High",IF(Healthcare_Data[[#This Row],[Final_Bill]]&gt;=20000,"Medium","low"))</f>
        <v>low</v>
      </c>
    </row>
    <row r="792" spans="1:20" x14ac:dyDescent="0.3">
      <c r="A792" t="s">
        <v>847</v>
      </c>
      <c r="B792" s="3">
        <v>45941</v>
      </c>
      <c r="C792" t="s">
        <v>48</v>
      </c>
      <c r="D792" t="s">
        <v>51</v>
      </c>
      <c r="E792" t="s">
        <v>54</v>
      </c>
      <c r="F792" t="s">
        <v>21</v>
      </c>
      <c r="G792">
        <v>33</v>
      </c>
      <c r="H792" t="s">
        <v>41</v>
      </c>
      <c r="I792" t="s">
        <v>30</v>
      </c>
      <c r="J792" t="s">
        <v>24</v>
      </c>
      <c r="K792">
        <v>0</v>
      </c>
      <c r="L792" s="4">
        <v>27622</v>
      </c>
      <c r="M792">
        <v>1000</v>
      </c>
      <c r="N792">
        <v>26622</v>
      </c>
      <c r="O792" t="s">
        <v>25</v>
      </c>
      <c r="P792">
        <v>4.4000000000000004</v>
      </c>
      <c r="Q792">
        <v>57</v>
      </c>
      <c r="R792" t="str">
        <f>TEXT(Healthcare_Data[[#This Row],[Visit_Date]],"mmm")</f>
        <v>Oct</v>
      </c>
      <c r="S792">
        <f>MONTH(Healthcare_Data[[#This Row],[Visit_Date]])</f>
        <v>10</v>
      </c>
      <c r="T792" t="str">
        <f>IF(Healthcare_Data[[#This Row],[Final_Bill]]&gt;=50000,"High",IF(Healthcare_Data[[#This Row],[Final_Bill]]&gt;=20000,"Medium","low"))</f>
        <v>Medium</v>
      </c>
    </row>
    <row r="793" spans="1:20" x14ac:dyDescent="0.3">
      <c r="A793" t="s">
        <v>848</v>
      </c>
      <c r="B793" s="3">
        <v>45941</v>
      </c>
      <c r="C793" t="s">
        <v>50</v>
      </c>
      <c r="D793" t="s">
        <v>28</v>
      </c>
      <c r="E793" t="s">
        <v>20</v>
      </c>
      <c r="F793" t="s">
        <v>21</v>
      </c>
      <c r="G793">
        <v>75</v>
      </c>
      <c r="H793" t="s">
        <v>22</v>
      </c>
      <c r="I793" t="s">
        <v>30</v>
      </c>
      <c r="J793" t="s">
        <v>58</v>
      </c>
      <c r="K793">
        <v>0</v>
      </c>
      <c r="L793" s="4">
        <v>12395</v>
      </c>
      <c r="M793">
        <v>0</v>
      </c>
      <c r="N793">
        <v>12395</v>
      </c>
      <c r="O793" t="s">
        <v>32</v>
      </c>
      <c r="P793">
        <v>4.0999999999999996</v>
      </c>
      <c r="Q793">
        <v>73</v>
      </c>
      <c r="R793" t="str">
        <f>TEXT(Healthcare_Data[[#This Row],[Visit_Date]],"mmm")</f>
        <v>Oct</v>
      </c>
      <c r="S793">
        <f>MONTH(Healthcare_Data[[#This Row],[Visit_Date]])</f>
        <v>10</v>
      </c>
      <c r="T793" t="str">
        <f>IF(Healthcare_Data[[#This Row],[Final_Bill]]&gt;=50000,"High",IF(Healthcare_Data[[#This Row],[Final_Bill]]&gt;=20000,"Medium","low"))</f>
        <v>low</v>
      </c>
    </row>
    <row r="794" spans="1:20" x14ac:dyDescent="0.3">
      <c r="A794" t="s">
        <v>849</v>
      </c>
      <c r="B794" s="3">
        <v>45941</v>
      </c>
      <c r="C794" t="s">
        <v>50</v>
      </c>
      <c r="D794" t="s">
        <v>19</v>
      </c>
      <c r="E794" t="s">
        <v>20</v>
      </c>
      <c r="F794" t="s">
        <v>21</v>
      </c>
      <c r="G794">
        <v>37</v>
      </c>
      <c r="H794" t="s">
        <v>41</v>
      </c>
      <c r="I794" t="s">
        <v>63</v>
      </c>
      <c r="J794" t="s">
        <v>36</v>
      </c>
      <c r="K794">
        <v>0</v>
      </c>
      <c r="L794" s="4">
        <v>5463</v>
      </c>
      <c r="M794">
        <v>1000</v>
      </c>
      <c r="N794">
        <v>4463</v>
      </c>
      <c r="O794" t="s">
        <v>25</v>
      </c>
      <c r="P794">
        <v>2.7</v>
      </c>
      <c r="Q794">
        <v>16</v>
      </c>
      <c r="R794" t="str">
        <f>TEXT(Healthcare_Data[[#This Row],[Visit_Date]],"mmm")</f>
        <v>Oct</v>
      </c>
      <c r="S794">
        <f>MONTH(Healthcare_Data[[#This Row],[Visit_Date]])</f>
        <v>10</v>
      </c>
      <c r="T794" t="str">
        <f>IF(Healthcare_Data[[#This Row],[Final_Bill]]&gt;=50000,"High",IF(Healthcare_Data[[#This Row],[Final_Bill]]&gt;=20000,"Medium","low"))</f>
        <v>low</v>
      </c>
    </row>
    <row r="795" spans="1:20" x14ac:dyDescent="0.3">
      <c r="A795" t="s">
        <v>850</v>
      </c>
      <c r="B795" s="3">
        <v>45942</v>
      </c>
      <c r="C795" t="s">
        <v>67</v>
      </c>
      <c r="D795" t="s">
        <v>19</v>
      </c>
      <c r="E795" t="s">
        <v>52</v>
      </c>
      <c r="F795" t="s">
        <v>40</v>
      </c>
      <c r="G795">
        <v>62</v>
      </c>
      <c r="H795" t="s">
        <v>65</v>
      </c>
      <c r="I795" t="s">
        <v>30</v>
      </c>
      <c r="J795" t="s">
        <v>24</v>
      </c>
      <c r="K795">
        <v>13</v>
      </c>
      <c r="L795" s="4">
        <v>28518</v>
      </c>
      <c r="M795">
        <v>1000</v>
      </c>
      <c r="N795">
        <v>27518</v>
      </c>
      <c r="O795" t="s">
        <v>32</v>
      </c>
      <c r="P795">
        <v>2.8</v>
      </c>
      <c r="Q795">
        <v>57</v>
      </c>
      <c r="R795" t="str">
        <f>TEXT(Healthcare_Data[[#This Row],[Visit_Date]],"mmm")</f>
        <v>Oct</v>
      </c>
      <c r="S795">
        <f>MONTH(Healthcare_Data[[#This Row],[Visit_Date]])</f>
        <v>10</v>
      </c>
      <c r="T795" t="str">
        <f>IF(Healthcare_Data[[#This Row],[Final_Bill]]&gt;=50000,"High",IF(Healthcare_Data[[#This Row],[Final_Bill]]&gt;=20000,"Medium","low"))</f>
        <v>Medium</v>
      </c>
    </row>
    <row r="796" spans="1:20" x14ac:dyDescent="0.3">
      <c r="A796" t="s">
        <v>851</v>
      </c>
      <c r="B796" s="3">
        <v>45942</v>
      </c>
      <c r="C796" t="s">
        <v>38</v>
      </c>
      <c r="D796" t="s">
        <v>28</v>
      </c>
      <c r="E796" t="s">
        <v>52</v>
      </c>
      <c r="F796" t="s">
        <v>40</v>
      </c>
      <c r="G796">
        <v>57</v>
      </c>
      <c r="H796" t="s">
        <v>29</v>
      </c>
      <c r="I796" t="s">
        <v>61</v>
      </c>
      <c r="J796" t="s">
        <v>36</v>
      </c>
      <c r="K796">
        <v>13</v>
      </c>
      <c r="L796" s="4">
        <v>61882</v>
      </c>
      <c r="M796">
        <v>0</v>
      </c>
      <c r="N796">
        <v>61882</v>
      </c>
      <c r="O796" t="s">
        <v>25</v>
      </c>
      <c r="P796">
        <v>4.5999999999999996</v>
      </c>
      <c r="Q796">
        <v>67</v>
      </c>
      <c r="R796" t="str">
        <f>TEXT(Healthcare_Data[[#This Row],[Visit_Date]],"mmm")</f>
        <v>Oct</v>
      </c>
      <c r="S796">
        <f>MONTH(Healthcare_Data[[#This Row],[Visit_Date]])</f>
        <v>10</v>
      </c>
      <c r="T796" t="str">
        <f>IF(Healthcare_Data[[#This Row],[Final_Bill]]&gt;=50000,"High",IF(Healthcare_Data[[#This Row],[Final_Bill]]&gt;=20000,"Medium","low"))</f>
        <v>High</v>
      </c>
    </row>
    <row r="797" spans="1:20" x14ac:dyDescent="0.3">
      <c r="A797" t="s">
        <v>852</v>
      </c>
      <c r="B797" s="3">
        <v>45942</v>
      </c>
      <c r="C797" t="s">
        <v>44</v>
      </c>
      <c r="D797" t="s">
        <v>19</v>
      </c>
      <c r="E797" t="s">
        <v>20</v>
      </c>
      <c r="F797" t="s">
        <v>21</v>
      </c>
      <c r="G797">
        <v>75</v>
      </c>
      <c r="H797" t="s">
        <v>56</v>
      </c>
      <c r="I797" t="s">
        <v>61</v>
      </c>
      <c r="J797" t="s">
        <v>58</v>
      </c>
      <c r="K797">
        <v>0</v>
      </c>
      <c r="L797" s="4">
        <v>3847</v>
      </c>
      <c r="M797">
        <v>500</v>
      </c>
      <c r="N797">
        <v>3347</v>
      </c>
      <c r="O797" t="s">
        <v>25</v>
      </c>
      <c r="P797">
        <v>3</v>
      </c>
      <c r="Q797">
        <v>49</v>
      </c>
      <c r="R797" t="str">
        <f>TEXT(Healthcare_Data[[#This Row],[Visit_Date]],"mmm")</f>
        <v>Oct</v>
      </c>
      <c r="S797">
        <f>MONTH(Healthcare_Data[[#This Row],[Visit_Date]])</f>
        <v>10</v>
      </c>
      <c r="T797" t="str">
        <f>IF(Healthcare_Data[[#This Row],[Final_Bill]]&gt;=50000,"High",IF(Healthcare_Data[[#This Row],[Final_Bill]]&gt;=20000,"Medium","low"))</f>
        <v>low</v>
      </c>
    </row>
    <row r="798" spans="1:20" x14ac:dyDescent="0.3">
      <c r="A798" t="s">
        <v>853</v>
      </c>
      <c r="B798" s="3">
        <v>45943</v>
      </c>
      <c r="C798" t="s">
        <v>50</v>
      </c>
      <c r="D798" t="s">
        <v>34</v>
      </c>
      <c r="E798" t="s">
        <v>20</v>
      </c>
      <c r="F798" t="s">
        <v>40</v>
      </c>
      <c r="G798">
        <v>40</v>
      </c>
      <c r="H798" t="s">
        <v>29</v>
      </c>
      <c r="I798" t="s">
        <v>23</v>
      </c>
      <c r="J798" t="s">
        <v>31</v>
      </c>
      <c r="K798">
        <v>0</v>
      </c>
      <c r="L798" s="4">
        <v>1581</v>
      </c>
      <c r="M798">
        <v>0</v>
      </c>
      <c r="N798">
        <v>1581</v>
      </c>
      <c r="O798" t="s">
        <v>25</v>
      </c>
      <c r="P798">
        <v>5</v>
      </c>
      <c r="Q798">
        <v>102</v>
      </c>
      <c r="R798" t="str">
        <f>TEXT(Healthcare_Data[[#This Row],[Visit_Date]],"mmm")</f>
        <v>Oct</v>
      </c>
      <c r="S798">
        <f>MONTH(Healthcare_Data[[#This Row],[Visit_Date]])</f>
        <v>10</v>
      </c>
      <c r="T798" t="str">
        <f>IF(Healthcare_Data[[#This Row],[Final_Bill]]&gt;=50000,"High",IF(Healthcare_Data[[#This Row],[Final_Bill]]&gt;=20000,"Medium","low"))</f>
        <v>low</v>
      </c>
    </row>
    <row r="799" spans="1:20" x14ac:dyDescent="0.3">
      <c r="A799" t="s">
        <v>854</v>
      </c>
      <c r="B799" s="3">
        <v>45943</v>
      </c>
      <c r="C799" t="s">
        <v>67</v>
      </c>
      <c r="D799" t="s">
        <v>28</v>
      </c>
      <c r="E799" t="s">
        <v>20</v>
      </c>
      <c r="F799" t="s">
        <v>40</v>
      </c>
      <c r="G799">
        <v>65</v>
      </c>
      <c r="H799" t="s">
        <v>41</v>
      </c>
      <c r="I799" t="s">
        <v>63</v>
      </c>
      <c r="J799" t="s">
        <v>58</v>
      </c>
      <c r="K799">
        <v>0</v>
      </c>
      <c r="L799" s="4">
        <v>11802</v>
      </c>
      <c r="M799">
        <v>0</v>
      </c>
      <c r="N799">
        <v>11802</v>
      </c>
      <c r="O799" t="s">
        <v>25</v>
      </c>
      <c r="P799">
        <v>3.9</v>
      </c>
      <c r="Q799">
        <v>116</v>
      </c>
      <c r="R799" t="str">
        <f>TEXT(Healthcare_Data[[#This Row],[Visit_Date]],"mmm")</f>
        <v>Oct</v>
      </c>
      <c r="S799">
        <f>MONTH(Healthcare_Data[[#This Row],[Visit_Date]])</f>
        <v>10</v>
      </c>
      <c r="T799" t="str">
        <f>IF(Healthcare_Data[[#This Row],[Final_Bill]]&gt;=50000,"High",IF(Healthcare_Data[[#This Row],[Final_Bill]]&gt;=20000,"Medium","low"))</f>
        <v>low</v>
      </c>
    </row>
    <row r="800" spans="1:20" x14ac:dyDescent="0.3">
      <c r="A800" t="s">
        <v>855</v>
      </c>
      <c r="B800" s="3">
        <v>45943</v>
      </c>
      <c r="C800" t="s">
        <v>50</v>
      </c>
      <c r="D800" t="s">
        <v>51</v>
      </c>
      <c r="E800" t="s">
        <v>20</v>
      </c>
      <c r="F800" t="s">
        <v>21</v>
      </c>
      <c r="G800">
        <v>55</v>
      </c>
      <c r="H800" t="s">
        <v>65</v>
      </c>
      <c r="I800" t="s">
        <v>72</v>
      </c>
      <c r="J800" t="s">
        <v>36</v>
      </c>
      <c r="K800">
        <v>0</v>
      </c>
      <c r="L800" s="4">
        <v>7438</v>
      </c>
      <c r="M800">
        <v>0</v>
      </c>
      <c r="N800">
        <v>7438</v>
      </c>
      <c r="O800" t="s">
        <v>25</v>
      </c>
      <c r="P800">
        <v>3.9</v>
      </c>
      <c r="Q800">
        <v>98</v>
      </c>
      <c r="R800" t="str">
        <f>TEXT(Healthcare_Data[[#This Row],[Visit_Date]],"mmm")</f>
        <v>Oct</v>
      </c>
      <c r="S800">
        <f>MONTH(Healthcare_Data[[#This Row],[Visit_Date]])</f>
        <v>10</v>
      </c>
      <c r="T800" t="str">
        <f>IF(Healthcare_Data[[#This Row],[Final_Bill]]&gt;=50000,"High",IF(Healthcare_Data[[#This Row],[Final_Bill]]&gt;=20000,"Medium","low"))</f>
        <v>low</v>
      </c>
    </row>
    <row r="801" spans="1:20" x14ac:dyDescent="0.3">
      <c r="A801" t="s">
        <v>856</v>
      </c>
      <c r="B801" s="3">
        <v>45943</v>
      </c>
      <c r="C801" t="s">
        <v>54</v>
      </c>
      <c r="D801" t="s">
        <v>28</v>
      </c>
      <c r="E801" t="s">
        <v>52</v>
      </c>
      <c r="F801" t="s">
        <v>21</v>
      </c>
      <c r="G801">
        <v>73</v>
      </c>
      <c r="H801" t="s">
        <v>35</v>
      </c>
      <c r="I801" t="s">
        <v>61</v>
      </c>
      <c r="J801" t="s">
        <v>24</v>
      </c>
      <c r="K801">
        <v>6</v>
      </c>
      <c r="L801" s="4">
        <v>71308</v>
      </c>
      <c r="M801">
        <v>0</v>
      </c>
      <c r="N801">
        <v>71308</v>
      </c>
      <c r="O801" t="s">
        <v>25</v>
      </c>
      <c r="P801">
        <v>3.7</v>
      </c>
      <c r="Q801">
        <v>22</v>
      </c>
      <c r="R801" t="str">
        <f>TEXT(Healthcare_Data[[#This Row],[Visit_Date]],"mmm")</f>
        <v>Oct</v>
      </c>
      <c r="S801">
        <f>MONTH(Healthcare_Data[[#This Row],[Visit_Date]])</f>
        <v>10</v>
      </c>
      <c r="T801" t="str">
        <f>IF(Healthcare_Data[[#This Row],[Final_Bill]]&gt;=50000,"High",IF(Healthcare_Data[[#This Row],[Final_Bill]]&gt;=20000,"Medium","low"))</f>
        <v>High</v>
      </c>
    </row>
    <row r="802" spans="1:20" x14ac:dyDescent="0.3">
      <c r="A802" t="s">
        <v>857</v>
      </c>
      <c r="B802" s="3">
        <v>45943</v>
      </c>
      <c r="C802" t="s">
        <v>54</v>
      </c>
      <c r="D802" t="s">
        <v>51</v>
      </c>
      <c r="E802" t="s">
        <v>52</v>
      </c>
      <c r="F802" t="s">
        <v>40</v>
      </c>
      <c r="G802">
        <v>34</v>
      </c>
      <c r="H802" t="s">
        <v>35</v>
      </c>
      <c r="I802" t="s">
        <v>72</v>
      </c>
      <c r="J802" t="s">
        <v>31</v>
      </c>
      <c r="K802">
        <v>11</v>
      </c>
      <c r="L802" s="4">
        <v>52552</v>
      </c>
      <c r="M802">
        <v>1500</v>
      </c>
      <c r="N802">
        <v>51052</v>
      </c>
      <c r="O802" t="s">
        <v>25</v>
      </c>
      <c r="P802">
        <v>3.6</v>
      </c>
      <c r="Q802">
        <v>102</v>
      </c>
      <c r="R802" t="str">
        <f>TEXT(Healthcare_Data[[#This Row],[Visit_Date]],"mmm")</f>
        <v>Oct</v>
      </c>
      <c r="S802">
        <f>MONTH(Healthcare_Data[[#This Row],[Visit_Date]])</f>
        <v>10</v>
      </c>
      <c r="T802" t="str">
        <f>IF(Healthcare_Data[[#This Row],[Final_Bill]]&gt;=50000,"High",IF(Healthcare_Data[[#This Row],[Final_Bill]]&gt;=20000,"Medium","low"))</f>
        <v>High</v>
      </c>
    </row>
    <row r="803" spans="1:20" x14ac:dyDescent="0.3">
      <c r="A803" t="s">
        <v>858</v>
      </c>
      <c r="B803" s="3">
        <v>45945</v>
      </c>
      <c r="C803" t="s">
        <v>67</v>
      </c>
      <c r="D803" t="s">
        <v>39</v>
      </c>
      <c r="E803" t="s">
        <v>54</v>
      </c>
      <c r="F803" t="s">
        <v>21</v>
      </c>
      <c r="G803">
        <v>48</v>
      </c>
      <c r="H803" t="s">
        <v>56</v>
      </c>
      <c r="I803" t="s">
        <v>23</v>
      </c>
      <c r="J803" t="s">
        <v>36</v>
      </c>
      <c r="K803">
        <v>0</v>
      </c>
      <c r="L803" s="4">
        <v>18447</v>
      </c>
      <c r="M803">
        <v>1000</v>
      </c>
      <c r="N803">
        <v>17447</v>
      </c>
      <c r="O803" t="s">
        <v>25</v>
      </c>
      <c r="P803">
        <v>4.5</v>
      </c>
      <c r="Q803">
        <v>108</v>
      </c>
      <c r="R803" t="str">
        <f>TEXT(Healthcare_Data[[#This Row],[Visit_Date]],"mmm")</f>
        <v>Oct</v>
      </c>
      <c r="S803">
        <f>MONTH(Healthcare_Data[[#This Row],[Visit_Date]])</f>
        <v>10</v>
      </c>
      <c r="T803" t="str">
        <f>IF(Healthcare_Data[[#This Row],[Final_Bill]]&gt;=50000,"High",IF(Healthcare_Data[[#This Row],[Final_Bill]]&gt;=20000,"Medium","low"))</f>
        <v>low</v>
      </c>
    </row>
    <row r="804" spans="1:20" x14ac:dyDescent="0.3">
      <c r="A804" t="s">
        <v>859</v>
      </c>
      <c r="B804" s="3">
        <v>45945</v>
      </c>
      <c r="C804" t="s">
        <v>50</v>
      </c>
      <c r="D804" t="s">
        <v>19</v>
      </c>
      <c r="E804" t="s">
        <v>52</v>
      </c>
      <c r="F804" t="s">
        <v>21</v>
      </c>
      <c r="G804">
        <v>59</v>
      </c>
      <c r="H804" t="s">
        <v>65</v>
      </c>
      <c r="I804" t="s">
        <v>61</v>
      </c>
      <c r="J804" t="s">
        <v>31</v>
      </c>
      <c r="K804">
        <v>13</v>
      </c>
      <c r="L804" s="4">
        <v>71115</v>
      </c>
      <c r="M804">
        <v>1500</v>
      </c>
      <c r="N804">
        <v>69615</v>
      </c>
      <c r="O804" t="s">
        <v>25</v>
      </c>
      <c r="P804">
        <v>3.9</v>
      </c>
      <c r="Q804">
        <v>92</v>
      </c>
      <c r="R804" t="str">
        <f>TEXT(Healthcare_Data[[#This Row],[Visit_Date]],"mmm")</f>
        <v>Oct</v>
      </c>
      <c r="S804">
        <f>MONTH(Healthcare_Data[[#This Row],[Visit_Date]])</f>
        <v>10</v>
      </c>
      <c r="T804" t="str">
        <f>IF(Healthcare_Data[[#This Row],[Final_Bill]]&gt;=50000,"High",IF(Healthcare_Data[[#This Row],[Final_Bill]]&gt;=20000,"Medium","low"))</f>
        <v>High</v>
      </c>
    </row>
    <row r="805" spans="1:20" x14ac:dyDescent="0.3">
      <c r="A805" t="s">
        <v>860</v>
      </c>
      <c r="B805" s="3">
        <v>45945</v>
      </c>
      <c r="C805" t="s">
        <v>44</v>
      </c>
      <c r="D805" t="s">
        <v>51</v>
      </c>
      <c r="E805" t="s">
        <v>54</v>
      </c>
      <c r="F805" t="s">
        <v>21</v>
      </c>
      <c r="G805">
        <v>68</v>
      </c>
      <c r="H805" t="s">
        <v>41</v>
      </c>
      <c r="I805" t="s">
        <v>61</v>
      </c>
      <c r="J805" t="s">
        <v>31</v>
      </c>
      <c r="K805">
        <v>0</v>
      </c>
      <c r="L805" s="4">
        <v>28707</v>
      </c>
      <c r="M805">
        <v>500</v>
      </c>
      <c r="N805">
        <v>28207</v>
      </c>
      <c r="O805" t="s">
        <v>25</v>
      </c>
      <c r="P805">
        <v>3.2</v>
      </c>
      <c r="Q805">
        <v>85</v>
      </c>
      <c r="R805" t="str">
        <f>TEXT(Healthcare_Data[[#This Row],[Visit_Date]],"mmm")</f>
        <v>Oct</v>
      </c>
      <c r="S805">
        <f>MONTH(Healthcare_Data[[#This Row],[Visit_Date]])</f>
        <v>10</v>
      </c>
      <c r="T805" t="str">
        <f>IF(Healthcare_Data[[#This Row],[Final_Bill]]&gt;=50000,"High",IF(Healthcare_Data[[#This Row],[Final_Bill]]&gt;=20000,"Medium","low"))</f>
        <v>Medium</v>
      </c>
    </row>
    <row r="806" spans="1:20" x14ac:dyDescent="0.3">
      <c r="A806" t="s">
        <v>861</v>
      </c>
      <c r="B806" s="3">
        <v>45946</v>
      </c>
      <c r="C806" t="s">
        <v>50</v>
      </c>
      <c r="D806" t="s">
        <v>39</v>
      </c>
      <c r="E806" t="s">
        <v>52</v>
      </c>
      <c r="F806" t="s">
        <v>21</v>
      </c>
      <c r="G806">
        <v>72</v>
      </c>
      <c r="H806" t="s">
        <v>29</v>
      </c>
      <c r="I806" t="s">
        <v>30</v>
      </c>
      <c r="J806" t="s">
        <v>36</v>
      </c>
      <c r="K806">
        <v>6</v>
      </c>
      <c r="L806" s="4">
        <v>72312</v>
      </c>
      <c r="M806">
        <v>0</v>
      </c>
      <c r="N806">
        <v>72312</v>
      </c>
      <c r="O806" t="s">
        <v>32</v>
      </c>
      <c r="P806">
        <v>3.7</v>
      </c>
      <c r="Q806">
        <v>92</v>
      </c>
      <c r="R806" t="str">
        <f>TEXT(Healthcare_Data[[#This Row],[Visit_Date]],"mmm")</f>
        <v>Oct</v>
      </c>
      <c r="S806">
        <f>MONTH(Healthcare_Data[[#This Row],[Visit_Date]])</f>
        <v>10</v>
      </c>
      <c r="T806" t="str">
        <f>IF(Healthcare_Data[[#This Row],[Final_Bill]]&gt;=50000,"High",IF(Healthcare_Data[[#This Row],[Final_Bill]]&gt;=20000,"Medium","low"))</f>
        <v>High</v>
      </c>
    </row>
    <row r="807" spans="1:20" x14ac:dyDescent="0.3">
      <c r="A807" t="s">
        <v>862</v>
      </c>
      <c r="B807" s="3">
        <v>45946</v>
      </c>
      <c r="C807" t="s">
        <v>54</v>
      </c>
      <c r="D807" t="s">
        <v>39</v>
      </c>
      <c r="E807" t="s">
        <v>20</v>
      </c>
      <c r="F807" t="s">
        <v>40</v>
      </c>
      <c r="G807">
        <v>80</v>
      </c>
      <c r="H807" t="s">
        <v>46</v>
      </c>
      <c r="I807" t="s">
        <v>42</v>
      </c>
      <c r="J807" t="s">
        <v>24</v>
      </c>
      <c r="K807">
        <v>0</v>
      </c>
      <c r="L807" s="4">
        <v>17424</v>
      </c>
      <c r="M807">
        <v>500</v>
      </c>
      <c r="N807">
        <v>16924</v>
      </c>
      <c r="O807" t="s">
        <v>25</v>
      </c>
      <c r="P807">
        <v>3</v>
      </c>
      <c r="Q807">
        <v>15</v>
      </c>
      <c r="R807" t="str">
        <f>TEXT(Healthcare_Data[[#This Row],[Visit_Date]],"mmm")</f>
        <v>Oct</v>
      </c>
      <c r="S807">
        <f>MONTH(Healthcare_Data[[#This Row],[Visit_Date]])</f>
        <v>10</v>
      </c>
      <c r="T807" t="str">
        <f>IF(Healthcare_Data[[#This Row],[Final_Bill]]&gt;=50000,"High",IF(Healthcare_Data[[#This Row],[Final_Bill]]&gt;=20000,"Medium","low"))</f>
        <v>low</v>
      </c>
    </row>
    <row r="808" spans="1:20" x14ac:dyDescent="0.3">
      <c r="A808" t="s">
        <v>863</v>
      </c>
      <c r="B808" s="3">
        <v>45946</v>
      </c>
      <c r="C808" t="s">
        <v>18</v>
      </c>
      <c r="D808" t="s">
        <v>19</v>
      </c>
      <c r="E808" t="s">
        <v>20</v>
      </c>
      <c r="F808" t="s">
        <v>21</v>
      </c>
      <c r="G808">
        <v>71</v>
      </c>
      <c r="H808" t="s">
        <v>65</v>
      </c>
      <c r="I808" t="s">
        <v>42</v>
      </c>
      <c r="J808" t="s">
        <v>31</v>
      </c>
      <c r="K808">
        <v>0</v>
      </c>
      <c r="L808" s="4">
        <v>19884</v>
      </c>
      <c r="M808">
        <v>1000</v>
      </c>
      <c r="N808">
        <v>18884</v>
      </c>
      <c r="O808" t="s">
        <v>25</v>
      </c>
      <c r="P808">
        <v>4.9000000000000004</v>
      </c>
      <c r="Q808">
        <v>60</v>
      </c>
      <c r="R808" t="str">
        <f>TEXT(Healthcare_Data[[#This Row],[Visit_Date]],"mmm")</f>
        <v>Oct</v>
      </c>
      <c r="S808">
        <f>MONTH(Healthcare_Data[[#This Row],[Visit_Date]])</f>
        <v>10</v>
      </c>
      <c r="T808" t="str">
        <f>IF(Healthcare_Data[[#This Row],[Final_Bill]]&gt;=50000,"High",IF(Healthcare_Data[[#This Row],[Final_Bill]]&gt;=20000,"Medium","low"))</f>
        <v>low</v>
      </c>
    </row>
    <row r="809" spans="1:20" x14ac:dyDescent="0.3">
      <c r="A809" t="s">
        <v>864</v>
      </c>
      <c r="B809" s="3">
        <v>45946</v>
      </c>
      <c r="C809" t="s">
        <v>27</v>
      </c>
      <c r="D809" t="s">
        <v>34</v>
      </c>
      <c r="E809" t="s">
        <v>52</v>
      </c>
      <c r="F809" t="s">
        <v>40</v>
      </c>
      <c r="G809">
        <v>34</v>
      </c>
      <c r="H809" t="s">
        <v>56</v>
      </c>
      <c r="I809" t="s">
        <v>69</v>
      </c>
      <c r="J809" t="s">
        <v>31</v>
      </c>
      <c r="K809">
        <v>2</v>
      </c>
      <c r="L809" s="4">
        <v>36942</v>
      </c>
      <c r="M809">
        <v>1000</v>
      </c>
      <c r="N809">
        <v>35942</v>
      </c>
      <c r="O809" t="s">
        <v>25</v>
      </c>
      <c r="P809">
        <v>3.1</v>
      </c>
      <c r="Q809">
        <v>93</v>
      </c>
      <c r="R809" t="str">
        <f>TEXT(Healthcare_Data[[#This Row],[Visit_Date]],"mmm")</f>
        <v>Oct</v>
      </c>
      <c r="S809">
        <f>MONTH(Healthcare_Data[[#This Row],[Visit_Date]])</f>
        <v>10</v>
      </c>
      <c r="T809" t="str">
        <f>IF(Healthcare_Data[[#This Row],[Final_Bill]]&gt;=50000,"High",IF(Healthcare_Data[[#This Row],[Final_Bill]]&gt;=20000,"Medium","low"))</f>
        <v>Medium</v>
      </c>
    </row>
    <row r="810" spans="1:20" x14ac:dyDescent="0.3">
      <c r="A810" t="s">
        <v>865</v>
      </c>
      <c r="B810" s="3">
        <v>45946</v>
      </c>
      <c r="C810" t="s">
        <v>38</v>
      </c>
      <c r="D810" t="s">
        <v>39</v>
      </c>
      <c r="E810" t="s">
        <v>20</v>
      </c>
      <c r="F810" t="s">
        <v>21</v>
      </c>
      <c r="G810">
        <v>43</v>
      </c>
      <c r="H810" t="s">
        <v>46</v>
      </c>
      <c r="I810" t="s">
        <v>69</v>
      </c>
      <c r="J810" t="s">
        <v>36</v>
      </c>
      <c r="K810">
        <v>0</v>
      </c>
      <c r="L810" s="4">
        <v>12588</v>
      </c>
      <c r="M810">
        <v>1000</v>
      </c>
      <c r="N810">
        <v>11588</v>
      </c>
      <c r="O810" t="s">
        <v>32</v>
      </c>
      <c r="P810">
        <v>3.2</v>
      </c>
      <c r="Q810">
        <v>23</v>
      </c>
      <c r="R810" t="str">
        <f>TEXT(Healthcare_Data[[#This Row],[Visit_Date]],"mmm")</f>
        <v>Oct</v>
      </c>
      <c r="S810">
        <f>MONTH(Healthcare_Data[[#This Row],[Visit_Date]])</f>
        <v>10</v>
      </c>
      <c r="T810" t="str">
        <f>IF(Healthcare_Data[[#This Row],[Final_Bill]]&gt;=50000,"High",IF(Healthcare_Data[[#This Row],[Final_Bill]]&gt;=20000,"Medium","low"))</f>
        <v>low</v>
      </c>
    </row>
    <row r="811" spans="1:20" x14ac:dyDescent="0.3">
      <c r="A811" t="s">
        <v>866</v>
      </c>
      <c r="B811" s="3">
        <v>45947</v>
      </c>
      <c r="C811" t="s">
        <v>54</v>
      </c>
      <c r="D811" t="s">
        <v>39</v>
      </c>
      <c r="E811" t="s">
        <v>20</v>
      </c>
      <c r="F811" t="s">
        <v>21</v>
      </c>
      <c r="G811">
        <v>80</v>
      </c>
      <c r="H811" t="s">
        <v>46</v>
      </c>
      <c r="I811" t="s">
        <v>42</v>
      </c>
      <c r="J811" t="s">
        <v>24</v>
      </c>
      <c r="K811">
        <v>0</v>
      </c>
      <c r="L811" s="4">
        <v>16176</v>
      </c>
      <c r="M811">
        <v>1500</v>
      </c>
      <c r="N811">
        <v>14676</v>
      </c>
      <c r="O811" t="s">
        <v>25</v>
      </c>
      <c r="P811">
        <v>4.2</v>
      </c>
      <c r="Q811">
        <v>118</v>
      </c>
      <c r="R811" t="str">
        <f>TEXT(Healthcare_Data[[#This Row],[Visit_Date]],"mmm")</f>
        <v>Oct</v>
      </c>
      <c r="S811">
        <f>MONTH(Healthcare_Data[[#This Row],[Visit_Date]])</f>
        <v>10</v>
      </c>
      <c r="T811" t="str">
        <f>IF(Healthcare_Data[[#This Row],[Final_Bill]]&gt;=50000,"High",IF(Healthcare_Data[[#This Row],[Final_Bill]]&gt;=20000,"Medium","low"))</f>
        <v>low</v>
      </c>
    </row>
    <row r="812" spans="1:20" x14ac:dyDescent="0.3">
      <c r="A812" t="s">
        <v>867</v>
      </c>
      <c r="B812" s="3">
        <v>45947</v>
      </c>
      <c r="C812" t="s">
        <v>27</v>
      </c>
      <c r="D812" t="s">
        <v>39</v>
      </c>
      <c r="E812" t="s">
        <v>20</v>
      </c>
      <c r="F812" t="s">
        <v>40</v>
      </c>
      <c r="G812">
        <v>44</v>
      </c>
      <c r="H812" t="s">
        <v>29</v>
      </c>
      <c r="I812" t="s">
        <v>57</v>
      </c>
      <c r="J812" t="s">
        <v>58</v>
      </c>
      <c r="K812">
        <v>0</v>
      </c>
      <c r="L812" s="4">
        <v>11982</v>
      </c>
      <c r="M812">
        <v>500</v>
      </c>
      <c r="N812">
        <v>11482</v>
      </c>
      <c r="O812" t="s">
        <v>25</v>
      </c>
      <c r="P812">
        <v>2.5</v>
      </c>
      <c r="Q812">
        <v>25</v>
      </c>
      <c r="R812" t="str">
        <f>TEXT(Healthcare_Data[[#This Row],[Visit_Date]],"mmm")</f>
        <v>Oct</v>
      </c>
      <c r="S812">
        <f>MONTH(Healthcare_Data[[#This Row],[Visit_Date]])</f>
        <v>10</v>
      </c>
      <c r="T812" t="str">
        <f>IF(Healthcare_Data[[#This Row],[Final_Bill]]&gt;=50000,"High",IF(Healthcare_Data[[#This Row],[Final_Bill]]&gt;=20000,"Medium","low"))</f>
        <v>low</v>
      </c>
    </row>
    <row r="813" spans="1:20" x14ac:dyDescent="0.3">
      <c r="A813" t="s">
        <v>868</v>
      </c>
      <c r="B813" s="3">
        <v>45949</v>
      </c>
      <c r="C813" t="s">
        <v>27</v>
      </c>
      <c r="D813" t="s">
        <v>34</v>
      </c>
      <c r="E813" t="s">
        <v>20</v>
      </c>
      <c r="F813" t="s">
        <v>40</v>
      </c>
      <c r="G813">
        <v>64</v>
      </c>
      <c r="H813" t="s">
        <v>22</v>
      </c>
      <c r="I813" t="s">
        <v>57</v>
      </c>
      <c r="J813" t="s">
        <v>31</v>
      </c>
      <c r="K813">
        <v>0</v>
      </c>
      <c r="L813" s="4">
        <v>19681</v>
      </c>
      <c r="M813">
        <v>0</v>
      </c>
      <c r="N813">
        <v>19681</v>
      </c>
      <c r="O813" t="s">
        <v>25</v>
      </c>
      <c r="P813">
        <v>2.9</v>
      </c>
      <c r="Q813">
        <v>81</v>
      </c>
      <c r="R813" t="str">
        <f>TEXT(Healthcare_Data[[#This Row],[Visit_Date]],"mmm")</f>
        <v>Oct</v>
      </c>
      <c r="S813">
        <f>MONTH(Healthcare_Data[[#This Row],[Visit_Date]])</f>
        <v>10</v>
      </c>
      <c r="T813" t="str">
        <f>IF(Healthcare_Data[[#This Row],[Final_Bill]]&gt;=50000,"High",IF(Healthcare_Data[[#This Row],[Final_Bill]]&gt;=20000,"Medium","low"))</f>
        <v>low</v>
      </c>
    </row>
    <row r="814" spans="1:20" x14ac:dyDescent="0.3">
      <c r="A814" t="s">
        <v>869</v>
      </c>
      <c r="B814" s="3">
        <v>45949</v>
      </c>
      <c r="C814" t="s">
        <v>48</v>
      </c>
      <c r="D814" t="s">
        <v>28</v>
      </c>
      <c r="E814" t="s">
        <v>20</v>
      </c>
      <c r="F814" t="s">
        <v>21</v>
      </c>
      <c r="G814">
        <v>73</v>
      </c>
      <c r="H814" t="s">
        <v>35</v>
      </c>
      <c r="I814" t="s">
        <v>23</v>
      </c>
      <c r="J814" t="s">
        <v>24</v>
      </c>
      <c r="K814">
        <v>0</v>
      </c>
      <c r="L814" s="4">
        <v>11860</v>
      </c>
      <c r="M814">
        <v>2000</v>
      </c>
      <c r="N814">
        <v>9860</v>
      </c>
      <c r="O814" t="s">
        <v>25</v>
      </c>
      <c r="P814">
        <v>4</v>
      </c>
      <c r="Q814">
        <v>26</v>
      </c>
      <c r="R814" t="str">
        <f>TEXT(Healthcare_Data[[#This Row],[Visit_Date]],"mmm")</f>
        <v>Oct</v>
      </c>
      <c r="S814">
        <f>MONTH(Healthcare_Data[[#This Row],[Visit_Date]])</f>
        <v>10</v>
      </c>
      <c r="T814" t="str">
        <f>IF(Healthcare_Data[[#This Row],[Final_Bill]]&gt;=50000,"High",IF(Healthcare_Data[[#This Row],[Final_Bill]]&gt;=20000,"Medium","low"))</f>
        <v>low</v>
      </c>
    </row>
    <row r="815" spans="1:20" x14ac:dyDescent="0.3">
      <c r="A815" t="s">
        <v>870</v>
      </c>
      <c r="B815" s="3">
        <v>45950</v>
      </c>
      <c r="C815" t="s">
        <v>38</v>
      </c>
      <c r="D815" t="s">
        <v>39</v>
      </c>
      <c r="E815" t="s">
        <v>20</v>
      </c>
      <c r="F815" t="s">
        <v>40</v>
      </c>
      <c r="G815">
        <v>54</v>
      </c>
      <c r="H815" t="s">
        <v>29</v>
      </c>
      <c r="I815" t="s">
        <v>61</v>
      </c>
      <c r="J815" t="s">
        <v>36</v>
      </c>
      <c r="K815">
        <v>0</v>
      </c>
      <c r="L815" s="4">
        <v>12071</v>
      </c>
      <c r="M815">
        <v>0</v>
      </c>
      <c r="N815">
        <v>12071</v>
      </c>
      <c r="O815" t="s">
        <v>59</v>
      </c>
      <c r="P815">
        <v>3</v>
      </c>
      <c r="Q815">
        <v>38</v>
      </c>
      <c r="R815" t="str">
        <f>TEXT(Healthcare_Data[[#This Row],[Visit_Date]],"mmm")</f>
        <v>Oct</v>
      </c>
      <c r="S815">
        <f>MONTH(Healthcare_Data[[#This Row],[Visit_Date]])</f>
        <v>10</v>
      </c>
      <c r="T815" t="str">
        <f>IF(Healthcare_Data[[#This Row],[Final_Bill]]&gt;=50000,"High",IF(Healthcare_Data[[#This Row],[Final_Bill]]&gt;=20000,"Medium","low"))</f>
        <v>low</v>
      </c>
    </row>
    <row r="816" spans="1:20" x14ac:dyDescent="0.3">
      <c r="A816" t="s">
        <v>871</v>
      </c>
      <c r="B816" s="3">
        <v>45950</v>
      </c>
      <c r="C816" t="s">
        <v>38</v>
      </c>
      <c r="D816" t="s">
        <v>19</v>
      </c>
      <c r="E816" t="s">
        <v>20</v>
      </c>
      <c r="F816" t="s">
        <v>40</v>
      </c>
      <c r="G816">
        <v>61</v>
      </c>
      <c r="H816" t="s">
        <v>46</v>
      </c>
      <c r="I816" t="s">
        <v>63</v>
      </c>
      <c r="J816" t="s">
        <v>58</v>
      </c>
      <c r="K816">
        <v>0</v>
      </c>
      <c r="L816" s="4">
        <v>14394</v>
      </c>
      <c r="M816">
        <v>0</v>
      </c>
      <c r="N816">
        <v>14394</v>
      </c>
      <c r="O816" t="s">
        <v>25</v>
      </c>
      <c r="P816">
        <v>3.9</v>
      </c>
      <c r="Q816">
        <v>8</v>
      </c>
      <c r="R816" t="str">
        <f>TEXT(Healthcare_Data[[#This Row],[Visit_Date]],"mmm")</f>
        <v>Oct</v>
      </c>
      <c r="S816">
        <f>MONTH(Healthcare_Data[[#This Row],[Visit_Date]])</f>
        <v>10</v>
      </c>
      <c r="T816" t="str">
        <f>IF(Healthcare_Data[[#This Row],[Final_Bill]]&gt;=50000,"High",IF(Healthcare_Data[[#This Row],[Final_Bill]]&gt;=20000,"Medium","low"))</f>
        <v>low</v>
      </c>
    </row>
    <row r="817" spans="1:20" x14ac:dyDescent="0.3">
      <c r="A817" t="s">
        <v>872</v>
      </c>
      <c r="B817" s="3">
        <v>45951</v>
      </c>
      <c r="C817" t="s">
        <v>54</v>
      </c>
      <c r="D817" t="s">
        <v>19</v>
      </c>
      <c r="E817" t="s">
        <v>20</v>
      </c>
      <c r="F817" t="s">
        <v>21</v>
      </c>
      <c r="G817">
        <v>72</v>
      </c>
      <c r="H817" t="s">
        <v>29</v>
      </c>
      <c r="I817" t="s">
        <v>63</v>
      </c>
      <c r="J817" t="s">
        <v>24</v>
      </c>
      <c r="K817">
        <v>0</v>
      </c>
      <c r="L817" s="4">
        <v>14811</v>
      </c>
      <c r="M817">
        <v>500</v>
      </c>
      <c r="N817">
        <v>14311</v>
      </c>
      <c r="O817" t="s">
        <v>25</v>
      </c>
      <c r="Q817">
        <v>56</v>
      </c>
      <c r="R817" t="str">
        <f>TEXT(Healthcare_Data[[#This Row],[Visit_Date]],"mmm")</f>
        <v>Oct</v>
      </c>
      <c r="S817">
        <f>MONTH(Healthcare_Data[[#This Row],[Visit_Date]])</f>
        <v>10</v>
      </c>
      <c r="T817" t="str">
        <f>IF(Healthcare_Data[[#This Row],[Final_Bill]]&gt;=50000,"High",IF(Healthcare_Data[[#This Row],[Final_Bill]]&gt;=20000,"Medium","low"))</f>
        <v>low</v>
      </c>
    </row>
    <row r="818" spans="1:20" x14ac:dyDescent="0.3">
      <c r="A818" t="s">
        <v>873</v>
      </c>
      <c r="B818" s="3">
        <v>45951</v>
      </c>
      <c r="C818" t="s">
        <v>67</v>
      </c>
      <c r="D818" t="s">
        <v>19</v>
      </c>
      <c r="E818" t="s">
        <v>20</v>
      </c>
      <c r="F818" t="s">
        <v>40</v>
      </c>
      <c r="G818">
        <v>24</v>
      </c>
      <c r="H818" t="s">
        <v>41</v>
      </c>
      <c r="I818" t="s">
        <v>30</v>
      </c>
      <c r="J818" t="s">
        <v>36</v>
      </c>
      <c r="K818">
        <v>0</v>
      </c>
      <c r="L818" s="4">
        <v>12590</v>
      </c>
      <c r="M818">
        <v>500</v>
      </c>
      <c r="N818">
        <v>12090</v>
      </c>
      <c r="O818" t="s">
        <v>32</v>
      </c>
      <c r="P818">
        <v>4.5</v>
      </c>
      <c r="Q818">
        <v>23</v>
      </c>
      <c r="R818" t="str">
        <f>TEXT(Healthcare_Data[[#This Row],[Visit_Date]],"mmm")</f>
        <v>Oct</v>
      </c>
      <c r="S818">
        <f>MONTH(Healthcare_Data[[#This Row],[Visit_Date]])</f>
        <v>10</v>
      </c>
      <c r="T818" t="str">
        <f>IF(Healthcare_Data[[#This Row],[Final_Bill]]&gt;=50000,"High",IF(Healthcare_Data[[#This Row],[Final_Bill]]&gt;=20000,"Medium","low"))</f>
        <v>low</v>
      </c>
    </row>
    <row r="819" spans="1:20" x14ac:dyDescent="0.3">
      <c r="A819" t="s">
        <v>874</v>
      </c>
      <c r="B819" s="3">
        <v>45951</v>
      </c>
      <c r="C819" t="s">
        <v>54</v>
      </c>
      <c r="D819" t="s">
        <v>19</v>
      </c>
      <c r="E819" t="s">
        <v>20</v>
      </c>
      <c r="F819" t="s">
        <v>21</v>
      </c>
      <c r="G819">
        <v>59</v>
      </c>
      <c r="H819" t="s">
        <v>56</v>
      </c>
      <c r="I819" t="s">
        <v>61</v>
      </c>
      <c r="J819" t="s">
        <v>31</v>
      </c>
      <c r="K819">
        <v>0</v>
      </c>
      <c r="L819" s="4">
        <v>10241</v>
      </c>
      <c r="M819">
        <v>2000</v>
      </c>
      <c r="N819">
        <v>8241</v>
      </c>
      <c r="O819" t="s">
        <v>32</v>
      </c>
      <c r="P819">
        <v>3.6</v>
      </c>
      <c r="Q819">
        <v>52</v>
      </c>
      <c r="R819" t="str">
        <f>TEXT(Healthcare_Data[[#This Row],[Visit_Date]],"mmm")</f>
        <v>Oct</v>
      </c>
      <c r="S819">
        <f>MONTH(Healthcare_Data[[#This Row],[Visit_Date]])</f>
        <v>10</v>
      </c>
      <c r="T819" t="str">
        <f>IF(Healthcare_Data[[#This Row],[Final_Bill]]&gt;=50000,"High",IF(Healthcare_Data[[#This Row],[Final_Bill]]&gt;=20000,"Medium","low"))</f>
        <v>low</v>
      </c>
    </row>
    <row r="820" spans="1:20" x14ac:dyDescent="0.3">
      <c r="A820" t="s">
        <v>875</v>
      </c>
      <c r="B820" s="3">
        <v>45951</v>
      </c>
      <c r="C820" t="s">
        <v>48</v>
      </c>
      <c r="D820" t="s">
        <v>19</v>
      </c>
      <c r="E820" t="s">
        <v>20</v>
      </c>
      <c r="F820" t="s">
        <v>40</v>
      </c>
      <c r="G820">
        <v>40</v>
      </c>
      <c r="H820" t="s">
        <v>65</v>
      </c>
      <c r="I820" t="s">
        <v>61</v>
      </c>
      <c r="J820" t="s">
        <v>24</v>
      </c>
      <c r="K820">
        <v>0</v>
      </c>
      <c r="L820" s="4">
        <v>5349</v>
      </c>
      <c r="M820">
        <v>0</v>
      </c>
      <c r="N820">
        <v>5349</v>
      </c>
      <c r="O820" t="s">
        <v>25</v>
      </c>
      <c r="P820">
        <v>4</v>
      </c>
      <c r="Q820">
        <v>80</v>
      </c>
      <c r="R820" t="str">
        <f>TEXT(Healthcare_Data[[#This Row],[Visit_Date]],"mmm")</f>
        <v>Oct</v>
      </c>
      <c r="S820">
        <f>MONTH(Healthcare_Data[[#This Row],[Visit_Date]])</f>
        <v>10</v>
      </c>
      <c r="T820" t="str">
        <f>IF(Healthcare_Data[[#This Row],[Final_Bill]]&gt;=50000,"High",IF(Healthcare_Data[[#This Row],[Final_Bill]]&gt;=20000,"Medium","low"))</f>
        <v>low</v>
      </c>
    </row>
    <row r="821" spans="1:20" x14ac:dyDescent="0.3">
      <c r="A821" t="s">
        <v>876</v>
      </c>
      <c r="B821" s="3">
        <v>45952</v>
      </c>
      <c r="C821" t="s">
        <v>67</v>
      </c>
      <c r="D821" t="s">
        <v>28</v>
      </c>
      <c r="E821" t="s">
        <v>20</v>
      </c>
      <c r="F821" t="s">
        <v>21</v>
      </c>
      <c r="G821">
        <v>21</v>
      </c>
      <c r="H821" t="s">
        <v>115</v>
      </c>
      <c r="I821" t="s">
        <v>69</v>
      </c>
      <c r="J821" t="s">
        <v>24</v>
      </c>
      <c r="K821">
        <v>0</v>
      </c>
      <c r="L821" s="4">
        <v>14645</v>
      </c>
      <c r="M821">
        <v>500</v>
      </c>
      <c r="N821">
        <v>14145</v>
      </c>
      <c r="O821" t="s">
        <v>25</v>
      </c>
      <c r="P821">
        <v>3.5</v>
      </c>
      <c r="Q821">
        <v>36</v>
      </c>
      <c r="R821" t="str">
        <f>TEXT(Healthcare_Data[[#This Row],[Visit_Date]],"mmm")</f>
        <v>Oct</v>
      </c>
      <c r="S821">
        <f>MONTH(Healthcare_Data[[#This Row],[Visit_Date]])</f>
        <v>10</v>
      </c>
      <c r="T821" t="str">
        <f>IF(Healthcare_Data[[#This Row],[Final_Bill]]&gt;=50000,"High",IF(Healthcare_Data[[#This Row],[Final_Bill]]&gt;=20000,"Medium","low"))</f>
        <v>low</v>
      </c>
    </row>
    <row r="822" spans="1:20" x14ac:dyDescent="0.3">
      <c r="A822" t="s">
        <v>877</v>
      </c>
      <c r="B822" s="3">
        <v>45953</v>
      </c>
      <c r="C822" t="s">
        <v>50</v>
      </c>
      <c r="D822" t="s">
        <v>39</v>
      </c>
      <c r="E822" t="s">
        <v>52</v>
      </c>
      <c r="F822" t="s">
        <v>40</v>
      </c>
      <c r="G822">
        <v>77</v>
      </c>
      <c r="H822" t="s">
        <v>56</v>
      </c>
      <c r="I822" t="s">
        <v>61</v>
      </c>
      <c r="J822" t="s">
        <v>24</v>
      </c>
      <c r="K822">
        <v>10</v>
      </c>
      <c r="L822" s="4">
        <v>30471</v>
      </c>
      <c r="M822">
        <v>0</v>
      </c>
      <c r="N822">
        <v>30471</v>
      </c>
      <c r="O822" t="s">
        <v>25</v>
      </c>
      <c r="P822">
        <v>3.1</v>
      </c>
      <c r="Q822">
        <v>101</v>
      </c>
      <c r="R822" t="str">
        <f>TEXT(Healthcare_Data[[#This Row],[Visit_Date]],"mmm")</f>
        <v>Oct</v>
      </c>
      <c r="S822">
        <f>MONTH(Healthcare_Data[[#This Row],[Visit_Date]])</f>
        <v>10</v>
      </c>
      <c r="T822" t="str">
        <f>IF(Healthcare_Data[[#This Row],[Final_Bill]]&gt;=50000,"High",IF(Healthcare_Data[[#This Row],[Final_Bill]]&gt;=20000,"Medium","low"))</f>
        <v>Medium</v>
      </c>
    </row>
    <row r="823" spans="1:20" x14ac:dyDescent="0.3">
      <c r="A823" t="s">
        <v>878</v>
      </c>
      <c r="B823" s="3">
        <v>45955</v>
      </c>
      <c r="C823" t="s">
        <v>50</v>
      </c>
      <c r="D823" t="s">
        <v>34</v>
      </c>
      <c r="E823" t="s">
        <v>20</v>
      </c>
      <c r="F823" t="s">
        <v>40</v>
      </c>
      <c r="G823">
        <v>80</v>
      </c>
      <c r="H823" t="s">
        <v>56</v>
      </c>
      <c r="I823" t="s">
        <v>30</v>
      </c>
      <c r="J823" t="s">
        <v>31</v>
      </c>
      <c r="K823">
        <v>0</v>
      </c>
      <c r="L823" s="4">
        <v>17726</v>
      </c>
      <c r="M823">
        <v>0</v>
      </c>
      <c r="N823">
        <v>17726</v>
      </c>
      <c r="O823" t="s">
        <v>25</v>
      </c>
      <c r="P823">
        <v>4.4000000000000004</v>
      </c>
      <c r="Q823">
        <v>99</v>
      </c>
      <c r="R823" t="str">
        <f>TEXT(Healthcare_Data[[#This Row],[Visit_Date]],"mmm")</f>
        <v>Oct</v>
      </c>
      <c r="S823">
        <f>MONTH(Healthcare_Data[[#This Row],[Visit_Date]])</f>
        <v>10</v>
      </c>
      <c r="T823" t="str">
        <f>IF(Healthcare_Data[[#This Row],[Final_Bill]]&gt;=50000,"High",IF(Healthcare_Data[[#This Row],[Final_Bill]]&gt;=20000,"Medium","low"))</f>
        <v>low</v>
      </c>
    </row>
    <row r="824" spans="1:20" x14ac:dyDescent="0.3">
      <c r="A824" t="s">
        <v>879</v>
      </c>
      <c r="B824" s="3">
        <v>45956</v>
      </c>
      <c r="C824" t="s">
        <v>67</v>
      </c>
      <c r="D824" t="s">
        <v>19</v>
      </c>
      <c r="E824" t="s">
        <v>20</v>
      </c>
      <c r="F824" t="s">
        <v>21</v>
      </c>
      <c r="G824">
        <v>34</v>
      </c>
      <c r="H824" t="s">
        <v>22</v>
      </c>
      <c r="I824" t="s">
        <v>57</v>
      </c>
      <c r="J824" t="s">
        <v>24</v>
      </c>
      <c r="K824">
        <v>0</v>
      </c>
      <c r="L824" s="4">
        <v>6181</v>
      </c>
      <c r="M824">
        <v>1500</v>
      </c>
      <c r="N824">
        <v>4681</v>
      </c>
      <c r="O824" t="s">
        <v>32</v>
      </c>
      <c r="P824">
        <v>4.4000000000000004</v>
      </c>
      <c r="Q824">
        <v>52</v>
      </c>
      <c r="R824" t="str">
        <f>TEXT(Healthcare_Data[[#This Row],[Visit_Date]],"mmm")</f>
        <v>Oct</v>
      </c>
      <c r="S824">
        <f>MONTH(Healthcare_Data[[#This Row],[Visit_Date]])</f>
        <v>10</v>
      </c>
      <c r="T824" t="str">
        <f>IF(Healthcare_Data[[#This Row],[Final_Bill]]&gt;=50000,"High",IF(Healthcare_Data[[#This Row],[Final_Bill]]&gt;=20000,"Medium","low"))</f>
        <v>low</v>
      </c>
    </row>
    <row r="825" spans="1:20" x14ac:dyDescent="0.3">
      <c r="A825" t="s">
        <v>880</v>
      </c>
      <c r="B825" s="3">
        <v>45957</v>
      </c>
      <c r="C825" t="s">
        <v>67</v>
      </c>
      <c r="D825" t="s">
        <v>19</v>
      </c>
      <c r="E825" t="s">
        <v>20</v>
      </c>
      <c r="F825" t="s">
        <v>21</v>
      </c>
      <c r="G825">
        <v>33</v>
      </c>
      <c r="H825" t="s">
        <v>41</v>
      </c>
      <c r="I825" t="s">
        <v>63</v>
      </c>
      <c r="J825" t="s">
        <v>36</v>
      </c>
      <c r="K825">
        <v>0</v>
      </c>
      <c r="L825" s="4">
        <v>15746</v>
      </c>
      <c r="M825">
        <v>1000</v>
      </c>
      <c r="N825">
        <v>14746</v>
      </c>
      <c r="O825" t="s">
        <v>32</v>
      </c>
      <c r="P825">
        <v>4.7</v>
      </c>
      <c r="Q825">
        <v>101</v>
      </c>
      <c r="R825" t="str">
        <f>TEXT(Healthcare_Data[[#This Row],[Visit_Date]],"mmm")</f>
        <v>Oct</v>
      </c>
      <c r="S825">
        <f>MONTH(Healthcare_Data[[#This Row],[Visit_Date]])</f>
        <v>10</v>
      </c>
      <c r="T825" t="str">
        <f>IF(Healthcare_Data[[#This Row],[Final_Bill]]&gt;=50000,"High",IF(Healthcare_Data[[#This Row],[Final_Bill]]&gt;=20000,"Medium","low"))</f>
        <v>low</v>
      </c>
    </row>
    <row r="826" spans="1:20" x14ac:dyDescent="0.3">
      <c r="A826" t="s">
        <v>881</v>
      </c>
      <c r="B826" s="3">
        <v>45957</v>
      </c>
      <c r="C826" t="s">
        <v>38</v>
      </c>
      <c r="D826" t="s">
        <v>51</v>
      </c>
      <c r="E826" t="s">
        <v>20</v>
      </c>
      <c r="F826" t="s">
        <v>40</v>
      </c>
      <c r="G826">
        <v>24</v>
      </c>
      <c r="H826" t="s">
        <v>46</v>
      </c>
      <c r="I826" t="s">
        <v>72</v>
      </c>
      <c r="J826" t="s">
        <v>58</v>
      </c>
      <c r="K826">
        <v>0</v>
      </c>
      <c r="L826" s="4">
        <v>4560</v>
      </c>
      <c r="M826">
        <v>0</v>
      </c>
      <c r="N826">
        <v>4560</v>
      </c>
      <c r="O826" t="s">
        <v>25</v>
      </c>
      <c r="P826">
        <v>3.6</v>
      </c>
      <c r="Q826">
        <v>39</v>
      </c>
      <c r="R826" t="str">
        <f>TEXT(Healthcare_Data[[#This Row],[Visit_Date]],"mmm")</f>
        <v>Oct</v>
      </c>
      <c r="S826">
        <f>MONTH(Healthcare_Data[[#This Row],[Visit_Date]])</f>
        <v>10</v>
      </c>
      <c r="T826" t="str">
        <f>IF(Healthcare_Data[[#This Row],[Final_Bill]]&gt;=50000,"High",IF(Healthcare_Data[[#This Row],[Final_Bill]]&gt;=20000,"Medium","low"))</f>
        <v>low</v>
      </c>
    </row>
    <row r="827" spans="1:20" x14ac:dyDescent="0.3">
      <c r="A827" t="s">
        <v>882</v>
      </c>
      <c r="B827" s="3">
        <v>45958</v>
      </c>
      <c r="C827" t="s">
        <v>44</v>
      </c>
      <c r="D827" t="s">
        <v>19</v>
      </c>
      <c r="E827" t="s">
        <v>52</v>
      </c>
      <c r="F827" t="s">
        <v>40</v>
      </c>
      <c r="G827">
        <v>58</v>
      </c>
      <c r="H827" t="s">
        <v>29</v>
      </c>
      <c r="I827" t="s">
        <v>69</v>
      </c>
      <c r="J827" t="s">
        <v>58</v>
      </c>
      <c r="K827">
        <v>5</v>
      </c>
      <c r="L827" s="4">
        <v>43873</v>
      </c>
      <c r="M827">
        <v>0</v>
      </c>
      <c r="N827">
        <v>43873</v>
      </c>
      <c r="O827" t="s">
        <v>25</v>
      </c>
      <c r="P827">
        <v>2.9</v>
      </c>
      <c r="Q827">
        <v>51</v>
      </c>
      <c r="R827" t="str">
        <f>TEXT(Healthcare_Data[[#This Row],[Visit_Date]],"mmm")</f>
        <v>Oct</v>
      </c>
      <c r="S827">
        <f>MONTH(Healthcare_Data[[#This Row],[Visit_Date]])</f>
        <v>10</v>
      </c>
      <c r="T827" t="str">
        <f>IF(Healthcare_Data[[#This Row],[Final_Bill]]&gt;=50000,"High",IF(Healthcare_Data[[#This Row],[Final_Bill]]&gt;=20000,"Medium","low"))</f>
        <v>Medium</v>
      </c>
    </row>
    <row r="828" spans="1:20" x14ac:dyDescent="0.3">
      <c r="A828" t="s">
        <v>883</v>
      </c>
      <c r="B828" s="3">
        <v>45958</v>
      </c>
      <c r="C828" t="s">
        <v>67</v>
      </c>
      <c r="D828" t="s">
        <v>39</v>
      </c>
      <c r="E828" t="s">
        <v>20</v>
      </c>
      <c r="F828" t="s">
        <v>40</v>
      </c>
      <c r="G828">
        <v>57</v>
      </c>
      <c r="H828" t="s">
        <v>35</v>
      </c>
      <c r="I828" t="s">
        <v>61</v>
      </c>
      <c r="J828" t="s">
        <v>58</v>
      </c>
      <c r="K828">
        <v>0</v>
      </c>
      <c r="L828" s="4">
        <v>4517</v>
      </c>
      <c r="M828">
        <v>0</v>
      </c>
      <c r="N828">
        <v>4517</v>
      </c>
      <c r="O828" t="s">
        <v>25</v>
      </c>
      <c r="P828">
        <v>3.7</v>
      </c>
      <c r="Q828">
        <v>94</v>
      </c>
      <c r="R828" t="str">
        <f>TEXT(Healthcare_Data[[#This Row],[Visit_Date]],"mmm")</f>
        <v>Oct</v>
      </c>
      <c r="S828">
        <f>MONTH(Healthcare_Data[[#This Row],[Visit_Date]])</f>
        <v>10</v>
      </c>
      <c r="T828" t="str">
        <f>IF(Healthcare_Data[[#This Row],[Final_Bill]]&gt;=50000,"High",IF(Healthcare_Data[[#This Row],[Final_Bill]]&gt;=20000,"Medium","low"))</f>
        <v>low</v>
      </c>
    </row>
    <row r="829" spans="1:20" x14ac:dyDescent="0.3">
      <c r="A829" t="s">
        <v>884</v>
      </c>
      <c r="B829" s="3">
        <v>45958</v>
      </c>
      <c r="C829" t="s">
        <v>48</v>
      </c>
      <c r="D829" t="s">
        <v>39</v>
      </c>
      <c r="E829" t="s">
        <v>20</v>
      </c>
      <c r="F829" t="s">
        <v>21</v>
      </c>
      <c r="G829">
        <v>21</v>
      </c>
      <c r="H829" t="s">
        <v>41</v>
      </c>
      <c r="I829" t="s">
        <v>69</v>
      </c>
      <c r="J829" t="s">
        <v>24</v>
      </c>
      <c r="K829">
        <v>0</v>
      </c>
      <c r="L829" s="4">
        <v>12784</v>
      </c>
      <c r="M829">
        <v>500</v>
      </c>
      <c r="N829">
        <v>12284</v>
      </c>
      <c r="O829" t="s">
        <v>25</v>
      </c>
      <c r="P829">
        <v>4.8</v>
      </c>
      <c r="Q829">
        <v>50</v>
      </c>
      <c r="R829" t="str">
        <f>TEXT(Healthcare_Data[[#This Row],[Visit_Date]],"mmm")</f>
        <v>Oct</v>
      </c>
      <c r="S829">
        <f>MONTH(Healthcare_Data[[#This Row],[Visit_Date]])</f>
        <v>10</v>
      </c>
      <c r="T829" t="str">
        <f>IF(Healthcare_Data[[#This Row],[Final_Bill]]&gt;=50000,"High",IF(Healthcare_Data[[#This Row],[Final_Bill]]&gt;=20000,"Medium","low"))</f>
        <v>low</v>
      </c>
    </row>
    <row r="830" spans="1:20" x14ac:dyDescent="0.3">
      <c r="A830" t="s">
        <v>885</v>
      </c>
      <c r="B830" s="3">
        <v>45959</v>
      </c>
      <c r="C830" t="s">
        <v>18</v>
      </c>
      <c r="D830" t="s">
        <v>39</v>
      </c>
      <c r="E830" t="s">
        <v>20</v>
      </c>
      <c r="F830" t="s">
        <v>21</v>
      </c>
      <c r="G830">
        <v>61</v>
      </c>
      <c r="H830" t="s">
        <v>35</v>
      </c>
      <c r="I830" t="s">
        <v>30</v>
      </c>
      <c r="J830" t="s">
        <v>31</v>
      </c>
      <c r="K830">
        <v>0</v>
      </c>
      <c r="L830" s="4">
        <v>13072</v>
      </c>
      <c r="M830">
        <v>1000</v>
      </c>
      <c r="N830">
        <v>12072</v>
      </c>
      <c r="O830" t="s">
        <v>25</v>
      </c>
      <c r="P830">
        <v>3.9</v>
      </c>
      <c r="Q830">
        <v>6</v>
      </c>
      <c r="R830" t="str">
        <f>TEXT(Healthcare_Data[[#This Row],[Visit_Date]],"mmm")</f>
        <v>Oct</v>
      </c>
      <c r="S830">
        <f>MONTH(Healthcare_Data[[#This Row],[Visit_Date]])</f>
        <v>10</v>
      </c>
      <c r="T830" t="str">
        <f>IF(Healthcare_Data[[#This Row],[Final_Bill]]&gt;=50000,"High",IF(Healthcare_Data[[#This Row],[Final_Bill]]&gt;=20000,"Medium","low"))</f>
        <v>low</v>
      </c>
    </row>
    <row r="831" spans="1:20" x14ac:dyDescent="0.3">
      <c r="A831" t="s">
        <v>886</v>
      </c>
      <c r="B831" s="3">
        <v>45959</v>
      </c>
      <c r="C831" t="s">
        <v>50</v>
      </c>
      <c r="D831" t="s">
        <v>34</v>
      </c>
      <c r="E831" t="s">
        <v>54</v>
      </c>
      <c r="F831" t="s">
        <v>21</v>
      </c>
      <c r="G831">
        <v>37</v>
      </c>
      <c r="H831" t="s">
        <v>56</v>
      </c>
      <c r="I831" t="s">
        <v>30</v>
      </c>
      <c r="J831" t="s">
        <v>36</v>
      </c>
      <c r="K831">
        <v>0</v>
      </c>
      <c r="L831" s="4">
        <v>11621</v>
      </c>
      <c r="M831">
        <v>0</v>
      </c>
      <c r="N831">
        <v>11621</v>
      </c>
      <c r="O831" t="s">
        <v>25</v>
      </c>
      <c r="P831">
        <v>4.0999999999999996</v>
      </c>
      <c r="Q831">
        <v>95</v>
      </c>
      <c r="R831" t="str">
        <f>TEXT(Healthcare_Data[[#This Row],[Visit_Date]],"mmm")</f>
        <v>Oct</v>
      </c>
      <c r="S831">
        <f>MONTH(Healthcare_Data[[#This Row],[Visit_Date]])</f>
        <v>10</v>
      </c>
      <c r="T831" t="str">
        <f>IF(Healthcare_Data[[#This Row],[Final_Bill]]&gt;=50000,"High",IF(Healthcare_Data[[#This Row],[Final_Bill]]&gt;=20000,"Medium","low"))</f>
        <v>low</v>
      </c>
    </row>
    <row r="832" spans="1:20" x14ac:dyDescent="0.3">
      <c r="A832" t="s">
        <v>887</v>
      </c>
      <c r="B832" s="3">
        <v>45960</v>
      </c>
      <c r="C832" t="s">
        <v>38</v>
      </c>
      <c r="D832" t="s">
        <v>28</v>
      </c>
      <c r="E832" t="s">
        <v>20</v>
      </c>
      <c r="F832" t="s">
        <v>40</v>
      </c>
      <c r="G832">
        <v>67</v>
      </c>
      <c r="H832" t="s">
        <v>29</v>
      </c>
      <c r="I832" t="s">
        <v>72</v>
      </c>
      <c r="J832" t="s">
        <v>24</v>
      </c>
      <c r="K832">
        <v>0</v>
      </c>
      <c r="L832" s="4">
        <v>7893</v>
      </c>
      <c r="M832">
        <v>2000</v>
      </c>
      <c r="N832">
        <v>5893</v>
      </c>
      <c r="O832" t="s">
        <v>25</v>
      </c>
      <c r="P832">
        <v>3.4</v>
      </c>
      <c r="Q832">
        <v>48</v>
      </c>
      <c r="R832" t="str">
        <f>TEXT(Healthcare_Data[[#This Row],[Visit_Date]],"mmm")</f>
        <v>Oct</v>
      </c>
      <c r="S832">
        <f>MONTH(Healthcare_Data[[#This Row],[Visit_Date]])</f>
        <v>10</v>
      </c>
      <c r="T832" t="str">
        <f>IF(Healthcare_Data[[#This Row],[Final_Bill]]&gt;=50000,"High",IF(Healthcare_Data[[#This Row],[Final_Bill]]&gt;=20000,"Medium","low"))</f>
        <v>low</v>
      </c>
    </row>
    <row r="833" spans="1:20" x14ac:dyDescent="0.3">
      <c r="A833" t="s">
        <v>888</v>
      </c>
      <c r="B833" s="3">
        <v>45960</v>
      </c>
      <c r="C833" t="s">
        <v>44</v>
      </c>
      <c r="D833" t="s">
        <v>34</v>
      </c>
      <c r="E833" t="s">
        <v>20</v>
      </c>
      <c r="F833" t="s">
        <v>21</v>
      </c>
      <c r="G833">
        <v>25</v>
      </c>
      <c r="H833" t="s">
        <v>41</v>
      </c>
      <c r="I833" t="s">
        <v>72</v>
      </c>
      <c r="J833" t="s">
        <v>31</v>
      </c>
      <c r="K833">
        <v>0</v>
      </c>
      <c r="L833" s="4">
        <v>4093</v>
      </c>
      <c r="M833">
        <v>500</v>
      </c>
      <c r="N833">
        <v>3593</v>
      </c>
      <c r="O833" t="s">
        <v>25</v>
      </c>
      <c r="P833">
        <v>3.4</v>
      </c>
      <c r="Q833">
        <v>76</v>
      </c>
      <c r="R833" t="str">
        <f>TEXT(Healthcare_Data[[#This Row],[Visit_Date]],"mmm")</f>
        <v>Oct</v>
      </c>
      <c r="S833">
        <f>MONTH(Healthcare_Data[[#This Row],[Visit_Date]])</f>
        <v>10</v>
      </c>
      <c r="T833" t="str">
        <f>IF(Healthcare_Data[[#This Row],[Final_Bill]]&gt;=50000,"High",IF(Healthcare_Data[[#This Row],[Final_Bill]]&gt;=20000,"Medium","low"))</f>
        <v>low</v>
      </c>
    </row>
    <row r="834" spans="1:20" x14ac:dyDescent="0.3">
      <c r="A834" t="s">
        <v>889</v>
      </c>
      <c r="B834" s="3">
        <v>45960</v>
      </c>
      <c r="C834" t="s">
        <v>54</v>
      </c>
      <c r="D834" t="s">
        <v>34</v>
      </c>
      <c r="E834" t="s">
        <v>20</v>
      </c>
      <c r="F834" t="s">
        <v>21</v>
      </c>
      <c r="G834">
        <v>52</v>
      </c>
      <c r="H834" t="s">
        <v>115</v>
      </c>
      <c r="I834" t="s">
        <v>61</v>
      </c>
      <c r="J834" t="s">
        <v>24</v>
      </c>
      <c r="K834">
        <v>0</v>
      </c>
      <c r="L834" s="4">
        <v>1755</v>
      </c>
      <c r="M834">
        <v>500</v>
      </c>
      <c r="N834">
        <v>1255</v>
      </c>
      <c r="O834" t="s">
        <v>25</v>
      </c>
      <c r="P834">
        <v>2.6</v>
      </c>
      <c r="Q834">
        <v>60</v>
      </c>
      <c r="R834" t="str">
        <f>TEXT(Healthcare_Data[[#This Row],[Visit_Date]],"mmm")</f>
        <v>Oct</v>
      </c>
      <c r="S834">
        <f>MONTH(Healthcare_Data[[#This Row],[Visit_Date]])</f>
        <v>10</v>
      </c>
      <c r="T834" t="str">
        <f>IF(Healthcare_Data[[#This Row],[Final_Bill]]&gt;=50000,"High",IF(Healthcare_Data[[#This Row],[Final_Bill]]&gt;=20000,"Medium","low"))</f>
        <v>low</v>
      </c>
    </row>
    <row r="835" spans="1:20" x14ac:dyDescent="0.3">
      <c r="A835" t="s">
        <v>890</v>
      </c>
      <c r="B835" s="3">
        <v>45960</v>
      </c>
      <c r="C835" t="s">
        <v>50</v>
      </c>
      <c r="D835" t="s">
        <v>19</v>
      </c>
      <c r="E835" t="s">
        <v>52</v>
      </c>
      <c r="F835" t="s">
        <v>40</v>
      </c>
      <c r="G835">
        <v>63</v>
      </c>
      <c r="H835" t="s">
        <v>56</v>
      </c>
      <c r="I835" t="s">
        <v>69</v>
      </c>
      <c r="J835" t="s">
        <v>58</v>
      </c>
      <c r="K835">
        <v>7</v>
      </c>
      <c r="L835" s="4">
        <v>38555</v>
      </c>
      <c r="M835">
        <v>500</v>
      </c>
      <c r="N835">
        <v>38055</v>
      </c>
      <c r="O835" t="s">
        <v>25</v>
      </c>
      <c r="P835">
        <v>3.2</v>
      </c>
      <c r="Q835">
        <v>27</v>
      </c>
      <c r="R835" t="str">
        <f>TEXT(Healthcare_Data[[#This Row],[Visit_Date]],"mmm")</f>
        <v>Oct</v>
      </c>
      <c r="S835">
        <f>MONTH(Healthcare_Data[[#This Row],[Visit_Date]])</f>
        <v>10</v>
      </c>
      <c r="T835" t="str">
        <f>IF(Healthcare_Data[[#This Row],[Final_Bill]]&gt;=50000,"High",IF(Healthcare_Data[[#This Row],[Final_Bill]]&gt;=20000,"Medium","low"))</f>
        <v>Medium</v>
      </c>
    </row>
    <row r="836" spans="1:20" x14ac:dyDescent="0.3">
      <c r="A836" t="s">
        <v>891</v>
      </c>
      <c r="B836" s="3">
        <v>45961</v>
      </c>
      <c r="C836" t="s">
        <v>44</v>
      </c>
      <c r="D836" t="s">
        <v>28</v>
      </c>
      <c r="E836" t="s">
        <v>54</v>
      </c>
      <c r="F836" t="s">
        <v>21</v>
      </c>
      <c r="G836">
        <v>80</v>
      </c>
      <c r="H836" t="s">
        <v>56</v>
      </c>
      <c r="I836" t="s">
        <v>69</v>
      </c>
      <c r="J836" t="s">
        <v>31</v>
      </c>
      <c r="K836">
        <v>0</v>
      </c>
      <c r="L836" s="4">
        <v>22855</v>
      </c>
      <c r="M836">
        <v>500</v>
      </c>
      <c r="N836">
        <v>22355</v>
      </c>
      <c r="O836" t="s">
        <v>25</v>
      </c>
      <c r="P836">
        <v>3.5</v>
      </c>
      <c r="Q836">
        <v>107</v>
      </c>
      <c r="R836" t="str">
        <f>TEXT(Healthcare_Data[[#This Row],[Visit_Date]],"mmm")</f>
        <v>Oct</v>
      </c>
      <c r="S836">
        <f>MONTH(Healthcare_Data[[#This Row],[Visit_Date]])</f>
        <v>10</v>
      </c>
      <c r="T836" t="str">
        <f>IF(Healthcare_Data[[#This Row],[Final_Bill]]&gt;=50000,"High",IF(Healthcare_Data[[#This Row],[Final_Bill]]&gt;=20000,"Medium","low"))</f>
        <v>Medium</v>
      </c>
    </row>
    <row r="837" spans="1:20" x14ac:dyDescent="0.3">
      <c r="A837" t="s">
        <v>892</v>
      </c>
      <c r="B837" s="3">
        <v>45961</v>
      </c>
      <c r="C837" t="s">
        <v>54</v>
      </c>
      <c r="D837" t="s">
        <v>39</v>
      </c>
      <c r="E837" t="s">
        <v>52</v>
      </c>
      <c r="F837" t="s">
        <v>40</v>
      </c>
      <c r="G837">
        <v>30</v>
      </c>
      <c r="H837" t="s">
        <v>46</v>
      </c>
      <c r="I837" t="s">
        <v>69</v>
      </c>
      <c r="J837" t="s">
        <v>24</v>
      </c>
      <c r="K837">
        <v>13</v>
      </c>
      <c r="L837" s="4">
        <v>61707</v>
      </c>
      <c r="M837">
        <v>1000</v>
      </c>
      <c r="N837">
        <v>60707</v>
      </c>
      <c r="O837" t="s">
        <v>25</v>
      </c>
      <c r="P837">
        <v>4.0999999999999996</v>
      </c>
      <c r="Q837">
        <v>99</v>
      </c>
      <c r="R837" t="str">
        <f>TEXT(Healthcare_Data[[#This Row],[Visit_Date]],"mmm")</f>
        <v>Oct</v>
      </c>
      <c r="S837">
        <f>MONTH(Healthcare_Data[[#This Row],[Visit_Date]])</f>
        <v>10</v>
      </c>
      <c r="T837" t="str">
        <f>IF(Healthcare_Data[[#This Row],[Final_Bill]]&gt;=50000,"High",IF(Healthcare_Data[[#This Row],[Final_Bill]]&gt;=20000,"Medium","low"))</f>
        <v>High</v>
      </c>
    </row>
    <row r="838" spans="1:20" x14ac:dyDescent="0.3">
      <c r="A838" t="s">
        <v>893</v>
      </c>
      <c r="B838" s="3">
        <v>45961</v>
      </c>
      <c r="C838" t="s">
        <v>18</v>
      </c>
      <c r="D838" t="s">
        <v>34</v>
      </c>
      <c r="E838" t="s">
        <v>20</v>
      </c>
      <c r="F838" t="s">
        <v>21</v>
      </c>
      <c r="G838">
        <v>63</v>
      </c>
      <c r="H838" t="s">
        <v>56</v>
      </c>
      <c r="I838" t="s">
        <v>42</v>
      </c>
      <c r="J838" t="s">
        <v>58</v>
      </c>
      <c r="K838">
        <v>0</v>
      </c>
      <c r="L838" s="4">
        <v>5587</v>
      </c>
      <c r="M838">
        <v>0</v>
      </c>
      <c r="N838">
        <v>5587</v>
      </c>
      <c r="O838" t="s">
        <v>25</v>
      </c>
      <c r="P838">
        <v>2.9</v>
      </c>
      <c r="Q838">
        <v>29</v>
      </c>
      <c r="R838" t="str">
        <f>TEXT(Healthcare_Data[[#This Row],[Visit_Date]],"mmm")</f>
        <v>Oct</v>
      </c>
      <c r="S838">
        <f>MONTH(Healthcare_Data[[#This Row],[Visit_Date]])</f>
        <v>10</v>
      </c>
      <c r="T838" t="str">
        <f>IF(Healthcare_Data[[#This Row],[Final_Bill]]&gt;=50000,"High",IF(Healthcare_Data[[#This Row],[Final_Bill]]&gt;=20000,"Medium","low"))</f>
        <v>low</v>
      </c>
    </row>
    <row r="839" spans="1:20" x14ac:dyDescent="0.3">
      <c r="A839" t="s">
        <v>894</v>
      </c>
      <c r="B839" s="3">
        <v>45961</v>
      </c>
      <c r="C839" t="s">
        <v>48</v>
      </c>
      <c r="D839" t="s">
        <v>39</v>
      </c>
      <c r="E839" t="s">
        <v>20</v>
      </c>
      <c r="F839" t="s">
        <v>40</v>
      </c>
      <c r="G839">
        <v>32</v>
      </c>
      <c r="H839" t="s">
        <v>22</v>
      </c>
      <c r="I839" t="s">
        <v>69</v>
      </c>
      <c r="J839" t="s">
        <v>58</v>
      </c>
      <c r="K839">
        <v>0</v>
      </c>
      <c r="L839" s="4">
        <v>9141</v>
      </c>
      <c r="M839">
        <v>0</v>
      </c>
      <c r="N839">
        <v>9141</v>
      </c>
      <c r="O839" t="s">
        <v>25</v>
      </c>
      <c r="P839">
        <v>4.4000000000000004</v>
      </c>
      <c r="Q839">
        <v>119</v>
      </c>
      <c r="R839" t="str">
        <f>TEXT(Healthcare_Data[[#This Row],[Visit_Date]],"mmm")</f>
        <v>Oct</v>
      </c>
      <c r="S839">
        <f>MONTH(Healthcare_Data[[#This Row],[Visit_Date]])</f>
        <v>10</v>
      </c>
      <c r="T839" t="str">
        <f>IF(Healthcare_Data[[#This Row],[Final_Bill]]&gt;=50000,"High",IF(Healthcare_Data[[#This Row],[Final_Bill]]&gt;=20000,"Medium","low"))</f>
        <v>low</v>
      </c>
    </row>
    <row r="840" spans="1:20" x14ac:dyDescent="0.3">
      <c r="A840" t="s">
        <v>895</v>
      </c>
      <c r="B840" s="3">
        <v>45961</v>
      </c>
      <c r="C840" t="s">
        <v>50</v>
      </c>
      <c r="D840" t="s">
        <v>34</v>
      </c>
      <c r="E840" t="s">
        <v>20</v>
      </c>
      <c r="F840" t="s">
        <v>21</v>
      </c>
      <c r="G840">
        <v>37</v>
      </c>
      <c r="H840" t="s">
        <v>35</v>
      </c>
      <c r="I840" t="s">
        <v>61</v>
      </c>
      <c r="J840" t="s">
        <v>36</v>
      </c>
      <c r="K840">
        <v>0</v>
      </c>
      <c r="L840" s="4">
        <v>8558</v>
      </c>
      <c r="M840">
        <v>1500</v>
      </c>
      <c r="N840">
        <v>7058</v>
      </c>
      <c r="O840" t="s">
        <v>25</v>
      </c>
      <c r="P840">
        <v>2.5</v>
      </c>
      <c r="Q840">
        <v>74</v>
      </c>
      <c r="R840" t="str">
        <f>TEXT(Healthcare_Data[[#This Row],[Visit_Date]],"mmm")</f>
        <v>Oct</v>
      </c>
      <c r="S840">
        <f>MONTH(Healthcare_Data[[#This Row],[Visit_Date]])</f>
        <v>10</v>
      </c>
      <c r="T840" t="str">
        <f>IF(Healthcare_Data[[#This Row],[Final_Bill]]&gt;=50000,"High",IF(Healthcare_Data[[#This Row],[Final_Bill]]&gt;=20000,"Medium","low"))</f>
        <v>low</v>
      </c>
    </row>
    <row r="841" spans="1:20" x14ac:dyDescent="0.3">
      <c r="A841" t="s">
        <v>896</v>
      </c>
      <c r="B841" s="3">
        <v>45962</v>
      </c>
      <c r="C841" t="s">
        <v>67</v>
      </c>
      <c r="D841" t="s">
        <v>51</v>
      </c>
      <c r="E841" t="s">
        <v>20</v>
      </c>
      <c r="F841" t="s">
        <v>40</v>
      </c>
      <c r="G841">
        <v>34</v>
      </c>
      <c r="H841" t="s">
        <v>46</v>
      </c>
      <c r="I841" t="s">
        <v>1057</v>
      </c>
      <c r="J841" t="s">
        <v>36</v>
      </c>
      <c r="K841">
        <v>0</v>
      </c>
      <c r="L841" s="4">
        <v>9565</v>
      </c>
      <c r="M841">
        <v>0</v>
      </c>
      <c r="N841">
        <v>9565</v>
      </c>
      <c r="O841" t="s">
        <v>25</v>
      </c>
      <c r="P841">
        <v>3.9</v>
      </c>
      <c r="Q841">
        <v>77</v>
      </c>
      <c r="R841" t="str">
        <f>TEXT(Healthcare_Data[[#This Row],[Visit_Date]],"mmm")</f>
        <v>Nov</v>
      </c>
      <c r="S841">
        <f>MONTH(Healthcare_Data[[#This Row],[Visit_Date]])</f>
        <v>11</v>
      </c>
      <c r="T841" t="str">
        <f>IF(Healthcare_Data[[#This Row],[Final_Bill]]&gt;=50000,"High",IF(Healthcare_Data[[#This Row],[Final_Bill]]&gt;=20000,"Medium","low"))</f>
        <v>low</v>
      </c>
    </row>
    <row r="842" spans="1:20" x14ac:dyDescent="0.3">
      <c r="A842" t="s">
        <v>897</v>
      </c>
      <c r="B842" s="3">
        <v>45962</v>
      </c>
      <c r="C842" t="s">
        <v>27</v>
      </c>
      <c r="D842" t="s">
        <v>19</v>
      </c>
      <c r="E842" t="s">
        <v>20</v>
      </c>
      <c r="F842" t="s">
        <v>40</v>
      </c>
      <c r="G842">
        <v>23</v>
      </c>
      <c r="H842" t="s">
        <v>22</v>
      </c>
      <c r="I842" t="s">
        <v>23</v>
      </c>
      <c r="J842" t="s">
        <v>31</v>
      </c>
      <c r="K842">
        <v>0</v>
      </c>
      <c r="L842" s="4">
        <v>11720</v>
      </c>
      <c r="M842">
        <v>0</v>
      </c>
      <c r="N842">
        <v>11720</v>
      </c>
      <c r="O842" t="s">
        <v>25</v>
      </c>
      <c r="P842">
        <v>3.7</v>
      </c>
      <c r="Q842">
        <v>9</v>
      </c>
      <c r="R842" t="str">
        <f>TEXT(Healthcare_Data[[#This Row],[Visit_Date]],"mmm")</f>
        <v>Nov</v>
      </c>
      <c r="S842">
        <f>MONTH(Healthcare_Data[[#This Row],[Visit_Date]])</f>
        <v>11</v>
      </c>
      <c r="T842" t="str">
        <f>IF(Healthcare_Data[[#This Row],[Final_Bill]]&gt;=50000,"High",IF(Healthcare_Data[[#This Row],[Final_Bill]]&gt;=20000,"Medium","low"))</f>
        <v>low</v>
      </c>
    </row>
    <row r="843" spans="1:20" x14ac:dyDescent="0.3">
      <c r="A843" t="s">
        <v>898</v>
      </c>
      <c r="B843" s="3">
        <v>45963</v>
      </c>
      <c r="C843" t="s">
        <v>44</v>
      </c>
      <c r="D843" t="s">
        <v>19</v>
      </c>
      <c r="E843" t="s">
        <v>20</v>
      </c>
      <c r="F843" t="s">
        <v>21</v>
      </c>
      <c r="G843">
        <v>59</v>
      </c>
      <c r="H843" t="s">
        <v>35</v>
      </c>
      <c r="I843" t="s">
        <v>23</v>
      </c>
      <c r="J843" t="s">
        <v>31</v>
      </c>
      <c r="K843">
        <v>0</v>
      </c>
      <c r="L843" s="4">
        <v>15091</v>
      </c>
      <c r="M843">
        <v>0</v>
      </c>
      <c r="N843">
        <v>15091</v>
      </c>
      <c r="O843" t="s">
        <v>59</v>
      </c>
      <c r="P843">
        <v>4.7</v>
      </c>
      <c r="Q843">
        <v>37</v>
      </c>
      <c r="R843" t="str">
        <f>TEXT(Healthcare_Data[[#This Row],[Visit_Date]],"mmm")</f>
        <v>Nov</v>
      </c>
      <c r="S843">
        <f>MONTH(Healthcare_Data[[#This Row],[Visit_Date]])</f>
        <v>11</v>
      </c>
      <c r="T843" t="str">
        <f>IF(Healthcare_Data[[#This Row],[Final_Bill]]&gt;=50000,"High",IF(Healthcare_Data[[#This Row],[Final_Bill]]&gt;=20000,"Medium","low"))</f>
        <v>low</v>
      </c>
    </row>
    <row r="844" spans="1:20" x14ac:dyDescent="0.3">
      <c r="A844" t="s">
        <v>899</v>
      </c>
      <c r="B844" s="3">
        <v>45963</v>
      </c>
      <c r="C844" t="s">
        <v>50</v>
      </c>
      <c r="D844" t="s">
        <v>34</v>
      </c>
      <c r="E844" t="s">
        <v>20</v>
      </c>
      <c r="F844" t="s">
        <v>40</v>
      </c>
      <c r="G844">
        <v>40</v>
      </c>
      <c r="H844" t="s">
        <v>35</v>
      </c>
      <c r="I844" t="s">
        <v>57</v>
      </c>
      <c r="J844" t="s">
        <v>31</v>
      </c>
      <c r="K844">
        <v>0</v>
      </c>
      <c r="L844" s="4">
        <v>10021</v>
      </c>
      <c r="M844">
        <v>500</v>
      </c>
      <c r="N844">
        <v>9521</v>
      </c>
      <c r="O844" t="s">
        <v>32</v>
      </c>
      <c r="P844">
        <v>3</v>
      </c>
      <c r="Q844">
        <v>70</v>
      </c>
      <c r="R844" t="str">
        <f>TEXT(Healthcare_Data[[#This Row],[Visit_Date]],"mmm")</f>
        <v>Nov</v>
      </c>
      <c r="S844">
        <f>MONTH(Healthcare_Data[[#This Row],[Visit_Date]])</f>
        <v>11</v>
      </c>
      <c r="T844" t="str">
        <f>IF(Healthcare_Data[[#This Row],[Final_Bill]]&gt;=50000,"High",IF(Healthcare_Data[[#This Row],[Final_Bill]]&gt;=20000,"Medium","low"))</f>
        <v>low</v>
      </c>
    </row>
    <row r="845" spans="1:20" x14ac:dyDescent="0.3">
      <c r="A845" t="s">
        <v>900</v>
      </c>
      <c r="B845" s="3">
        <v>45963</v>
      </c>
      <c r="C845" t="s">
        <v>54</v>
      </c>
      <c r="D845" t="s">
        <v>39</v>
      </c>
      <c r="E845" t="s">
        <v>20</v>
      </c>
      <c r="F845" t="s">
        <v>40</v>
      </c>
      <c r="G845">
        <v>22</v>
      </c>
      <c r="H845" t="s">
        <v>65</v>
      </c>
      <c r="I845" t="s">
        <v>72</v>
      </c>
      <c r="J845" t="s">
        <v>31</v>
      </c>
      <c r="K845">
        <v>0</v>
      </c>
      <c r="L845" s="4">
        <v>8349</v>
      </c>
      <c r="M845">
        <v>500</v>
      </c>
      <c r="N845">
        <v>7849</v>
      </c>
      <c r="O845" t="s">
        <v>25</v>
      </c>
      <c r="P845">
        <v>3.9</v>
      </c>
      <c r="Q845">
        <v>69</v>
      </c>
      <c r="R845" t="str">
        <f>TEXT(Healthcare_Data[[#This Row],[Visit_Date]],"mmm")</f>
        <v>Nov</v>
      </c>
      <c r="S845">
        <f>MONTH(Healthcare_Data[[#This Row],[Visit_Date]])</f>
        <v>11</v>
      </c>
      <c r="T845" t="str">
        <f>IF(Healthcare_Data[[#This Row],[Final_Bill]]&gt;=50000,"High",IF(Healthcare_Data[[#This Row],[Final_Bill]]&gt;=20000,"Medium","low"))</f>
        <v>low</v>
      </c>
    </row>
    <row r="846" spans="1:20" x14ac:dyDescent="0.3">
      <c r="A846" t="s">
        <v>901</v>
      </c>
      <c r="B846" s="3">
        <v>45964</v>
      </c>
      <c r="C846" t="s">
        <v>54</v>
      </c>
      <c r="D846" t="s">
        <v>51</v>
      </c>
      <c r="E846" t="s">
        <v>20</v>
      </c>
      <c r="F846" t="s">
        <v>21</v>
      </c>
      <c r="G846">
        <v>62</v>
      </c>
      <c r="H846" t="s">
        <v>29</v>
      </c>
      <c r="I846" t="s">
        <v>72</v>
      </c>
      <c r="J846" t="s">
        <v>31</v>
      </c>
      <c r="K846">
        <v>0</v>
      </c>
      <c r="L846" s="4">
        <v>17559</v>
      </c>
      <c r="M846">
        <v>1000</v>
      </c>
      <c r="N846">
        <v>16559</v>
      </c>
      <c r="O846" t="s">
        <v>25</v>
      </c>
      <c r="P846">
        <v>4.7</v>
      </c>
      <c r="Q846">
        <v>95</v>
      </c>
      <c r="R846" t="str">
        <f>TEXT(Healthcare_Data[[#This Row],[Visit_Date]],"mmm")</f>
        <v>Nov</v>
      </c>
      <c r="S846">
        <f>MONTH(Healthcare_Data[[#This Row],[Visit_Date]])</f>
        <v>11</v>
      </c>
      <c r="T846" t="str">
        <f>IF(Healthcare_Data[[#This Row],[Final_Bill]]&gt;=50000,"High",IF(Healthcare_Data[[#This Row],[Final_Bill]]&gt;=20000,"Medium","low"))</f>
        <v>low</v>
      </c>
    </row>
    <row r="847" spans="1:20" x14ac:dyDescent="0.3">
      <c r="A847" t="s">
        <v>902</v>
      </c>
      <c r="B847" s="3">
        <v>45964</v>
      </c>
      <c r="C847" t="s">
        <v>38</v>
      </c>
      <c r="D847" t="s">
        <v>28</v>
      </c>
      <c r="E847" t="s">
        <v>20</v>
      </c>
      <c r="F847" t="s">
        <v>40</v>
      </c>
      <c r="G847">
        <v>46</v>
      </c>
      <c r="H847" t="s">
        <v>115</v>
      </c>
      <c r="I847" t="s">
        <v>23</v>
      </c>
      <c r="J847" t="s">
        <v>24</v>
      </c>
      <c r="K847">
        <v>0</v>
      </c>
      <c r="L847" s="4">
        <v>8630</v>
      </c>
      <c r="M847">
        <v>0</v>
      </c>
      <c r="N847">
        <v>8630</v>
      </c>
      <c r="O847" t="s">
        <v>25</v>
      </c>
      <c r="P847">
        <v>3.1</v>
      </c>
      <c r="Q847">
        <v>18</v>
      </c>
      <c r="R847" t="str">
        <f>TEXT(Healthcare_Data[[#This Row],[Visit_Date]],"mmm")</f>
        <v>Nov</v>
      </c>
      <c r="S847">
        <f>MONTH(Healthcare_Data[[#This Row],[Visit_Date]])</f>
        <v>11</v>
      </c>
      <c r="T847" t="str">
        <f>IF(Healthcare_Data[[#This Row],[Final_Bill]]&gt;=50000,"High",IF(Healthcare_Data[[#This Row],[Final_Bill]]&gt;=20000,"Medium","low"))</f>
        <v>low</v>
      </c>
    </row>
    <row r="848" spans="1:20" x14ac:dyDescent="0.3">
      <c r="A848" t="s">
        <v>903</v>
      </c>
      <c r="B848" s="3">
        <v>45965</v>
      </c>
      <c r="C848" t="s">
        <v>38</v>
      </c>
      <c r="D848" t="s">
        <v>19</v>
      </c>
      <c r="E848" t="s">
        <v>20</v>
      </c>
      <c r="F848" t="s">
        <v>21</v>
      </c>
      <c r="G848">
        <v>80</v>
      </c>
      <c r="H848" t="s">
        <v>29</v>
      </c>
      <c r="I848" t="s">
        <v>57</v>
      </c>
      <c r="J848" t="s">
        <v>58</v>
      </c>
      <c r="K848">
        <v>0</v>
      </c>
      <c r="L848" s="4">
        <v>14571</v>
      </c>
      <c r="M848">
        <v>1000</v>
      </c>
      <c r="N848">
        <v>13571</v>
      </c>
      <c r="O848" t="s">
        <v>25</v>
      </c>
      <c r="P848">
        <v>2.9</v>
      </c>
      <c r="Q848">
        <v>92</v>
      </c>
      <c r="R848" t="str">
        <f>TEXT(Healthcare_Data[[#This Row],[Visit_Date]],"mmm")</f>
        <v>Nov</v>
      </c>
      <c r="S848">
        <f>MONTH(Healthcare_Data[[#This Row],[Visit_Date]])</f>
        <v>11</v>
      </c>
      <c r="T848" t="str">
        <f>IF(Healthcare_Data[[#This Row],[Final_Bill]]&gt;=50000,"High",IF(Healthcare_Data[[#This Row],[Final_Bill]]&gt;=20000,"Medium","low"))</f>
        <v>low</v>
      </c>
    </row>
    <row r="849" spans="1:20" x14ac:dyDescent="0.3">
      <c r="A849" t="s">
        <v>904</v>
      </c>
      <c r="B849" s="3">
        <v>45965</v>
      </c>
      <c r="C849" t="s">
        <v>18</v>
      </c>
      <c r="D849" t="s">
        <v>34</v>
      </c>
      <c r="E849" t="s">
        <v>54</v>
      </c>
      <c r="F849" t="s">
        <v>21</v>
      </c>
      <c r="G849">
        <v>63</v>
      </c>
      <c r="H849" t="s">
        <v>65</v>
      </c>
      <c r="I849" t="s">
        <v>42</v>
      </c>
      <c r="J849" t="s">
        <v>58</v>
      </c>
      <c r="K849">
        <v>0</v>
      </c>
      <c r="L849" s="4">
        <v>21017</v>
      </c>
      <c r="M849">
        <v>1500</v>
      </c>
      <c r="N849">
        <v>19517</v>
      </c>
      <c r="O849" t="s">
        <v>25</v>
      </c>
      <c r="P849">
        <v>3.2</v>
      </c>
      <c r="Q849">
        <v>53</v>
      </c>
      <c r="R849" t="str">
        <f>TEXT(Healthcare_Data[[#This Row],[Visit_Date]],"mmm")</f>
        <v>Nov</v>
      </c>
      <c r="S849">
        <f>MONTH(Healthcare_Data[[#This Row],[Visit_Date]])</f>
        <v>11</v>
      </c>
      <c r="T849" t="str">
        <f>IF(Healthcare_Data[[#This Row],[Final_Bill]]&gt;=50000,"High",IF(Healthcare_Data[[#This Row],[Final_Bill]]&gt;=20000,"Medium","low"))</f>
        <v>low</v>
      </c>
    </row>
    <row r="850" spans="1:20" x14ac:dyDescent="0.3">
      <c r="A850" t="s">
        <v>905</v>
      </c>
      <c r="B850" s="3">
        <v>45965</v>
      </c>
      <c r="C850" t="s">
        <v>67</v>
      </c>
      <c r="D850" t="s">
        <v>19</v>
      </c>
      <c r="E850" t="s">
        <v>20</v>
      </c>
      <c r="F850" t="s">
        <v>40</v>
      </c>
      <c r="G850">
        <v>69</v>
      </c>
      <c r="H850" t="s">
        <v>56</v>
      </c>
      <c r="I850" t="s">
        <v>42</v>
      </c>
      <c r="J850" t="s">
        <v>58</v>
      </c>
      <c r="K850">
        <v>0</v>
      </c>
      <c r="L850" s="4">
        <v>3669</v>
      </c>
      <c r="M850">
        <v>2000</v>
      </c>
      <c r="N850">
        <v>1669</v>
      </c>
      <c r="O850" t="s">
        <v>25</v>
      </c>
      <c r="P850">
        <v>4.5999999999999996</v>
      </c>
      <c r="Q850">
        <v>55</v>
      </c>
      <c r="R850" t="str">
        <f>TEXT(Healthcare_Data[[#This Row],[Visit_Date]],"mmm")</f>
        <v>Nov</v>
      </c>
      <c r="S850">
        <f>MONTH(Healthcare_Data[[#This Row],[Visit_Date]])</f>
        <v>11</v>
      </c>
      <c r="T850" t="str">
        <f>IF(Healthcare_Data[[#This Row],[Final_Bill]]&gt;=50000,"High",IF(Healthcare_Data[[#This Row],[Final_Bill]]&gt;=20000,"Medium","low"))</f>
        <v>low</v>
      </c>
    </row>
    <row r="851" spans="1:20" x14ac:dyDescent="0.3">
      <c r="A851" t="s">
        <v>906</v>
      </c>
      <c r="B851" s="3">
        <v>45966</v>
      </c>
      <c r="C851" t="s">
        <v>27</v>
      </c>
      <c r="D851" t="s">
        <v>34</v>
      </c>
      <c r="E851" t="s">
        <v>20</v>
      </c>
      <c r="F851" t="s">
        <v>21</v>
      </c>
      <c r="G851">
        <v>68</v>
      </c>
      <c r="H851" t="s">
        <v>46</v>
      </c>
      <c r="I851" t="s">
        <v>61</v>
      </c>
      <c r="J851" t="s">
        <v>31</v>
      </c>
      <c r="K851">
        <v>0</v>
      </c>
      <c r="L851" s="4">
        <v>6261</v>
      </c>
      <c r="M851">
        <v>500</v>
      </c>
      <c r="N851">
        <v>5761</v>
      </c>
      <c r="O851" t="s">
        <v>32</v>
      </c>
      <c r="P851">
        <v>3.7</v>
      </c>
      <c r="Q851">
        <v>106</v>
      </c>
      <c r="R851" t="str">
        <f>TEXT(Healthcare_Data[[#This Row],[Visit_Date]],"mmm")</f>
        <v>Nov</v>
      </c>
      <c r="S851">
        <f>MONTH(Healthcare_Data[[#This Row],[Visit_Date]])</f>
        <v>11</v>
      </c>
      <c r="T851" t="str">
        <f>IF(Healthcare_Data[[#This Row],[Final_Bill]]&gt;=50000,"High",IF(Healthcare_Data[[#This Row],[Final_Bill]]&gt;=20000,"Medium","low"))</f>
        <v>low</v>
      </c>
    </row>
    <row r="852" spans="1:20" x14ac:dyDescent="0.3">
      <c r="A852" t="s">
        <v>907</v>
      </c>
      <c r="B852" s="3">
        <v>45967</v>
      </c>
      <c r="C852" t="s">
        <v>44</v>
      </c>
      <c r="D852" t="s">
        <v>39</v>
      </c>
      <c r="E852" t="s">
        <v>52</v>
      </c>
      <c r="F852" t="s">
        <v>21</v>
      </c>
      <c r="G852">
        <v>57</v>
      </c>
      <c r="H852" t="s">
        <v>35</v>
      </c>
      <c r="I852" t="s">
        <v>61</v>
      </c>
      <c r="J852" t="s">
        <v>1057</v>
      </c>
      <c r="K852">
        <v>13</v>
      </c>
      <c r="L852" s="4">
        <v>19150</v>
      </c>
      <c r="M852">
        <v>0</v>
      </c>
      <c r="N852">
        <v>19150</v>
      </c>
      <c r="O852" t="s">
        <v>25</v>
      </c>
      <c r="P852">
        <v>4.2</v>
      </c>
      <c r="Q852">
        <v>24</v>
      </c>
      <c r="R852" t="str">
        <f>TEXT(Healthcare_Data[[#This Row],[Visit_Date]],"mmm")</f>
        <v>Nov</v>
      </c>
      <c r="S852">
        <f>MONTH(Healthcare_Data[[#This Row],[Visit_Date]])</f>
        <v>11</v>
      </c>
      <c r="T852" t="str">
        <f>IF(Healthcare_Data[[#This Row],[Final_Bill]]&gt;=50000,"High",IF(Healthcare_Data[[#This Row],[Final_Bill]]&gt;=20000,"Medium","low"))</f>
        <v>low</v>
      </c>
    </row>
    <row r="853" spans="1:20" x14ac:dyDescent="0.3">
      <c r="A853" t="s">
        <v>908</v>
      </c>
      <c r="B853" s="3">
        <v>45967</v>
      </c>
      <c r="C853" t="s">
        <v>27</v>
      </c>
      <c r="D853" t="s">
        <v>39</v>
      </c>
      <c r="E853" t="s">
        <v>20</v>
      </c>
      <c r="F853" t="s">
        <v>40</v>
      </c>
      <c r="G853">
        <v>45</v>
      </c>
      <c r="H853" t="s">
        <v>46</v>
      </c>
      <c r="I853" t="s">
        <v>61</v>
      </c>
      <c r="J853" t="s">
        <v>58</v>
      </c>
      <c r="K853">
        <v>0</v>
      </c>
      <c r="L853" s="4">
        <v>18774</v>
      </c>
      <c r="M853">
        <v>500</v>
      </c>
      <c r="N853">
        <v>18274</v>
      </c>
      <c r="O853" t="s">
        <v>32</v>
      </c>
      <c r="P853">
        <v>4.0999999999999996</v>
      </c>
      <c r="Q853">
        <v>102</v>
      </c>
      <c r="R853" t="str">
        <f>TEXT(Healthcare_Data[[#This Row],[Visit_Date]],"mmm")</f>
        <v>Nov</v>
      </c>
      <c r="S853">
        <f>MONTH(Healthcare_Data[[#This Row],[Visit_Date]])</f>
        <v>11</v>
      </c>
      <c r="T853" t="str">
        <f>IF(Healthcare_Data[[#This Row],[Final_Bill]]&gt;=50000,"High",IF(Healthcare_Data[[#This Row],[Final_Bill]]&gt;=20000,"Medium","low"))</f>
        <v>low</v>
      </c>
    </row>
    <row r="854" spans="1:20" x14ac:dyDescent="0.3">
      <c r="A854" t="s">
        <v>909</v>
      </c>
      <c r="B854" s="3">
        <v>45968</v>
      </c>
      <c r="C854" t="s">
        <v>50</v>
      </c>
      <c r="D854" t="s">
        <v>19</v>
      </c>
      <c r="E854" t="s">
        <v>54</v>
      </c>
      <c r="F854" t="s">
        <v>40</v>
      </c>
      <c r="G854">
        <v>60</v>
      </c>
      <c r="H854" t="s">
        <v>65</v>
      </c>
      <c r="I854" t="s">
        <v>23</v>
      </c>
      <c r="J854" t="s">
        <v>24</v>
      </c>
      <c r="K854">
        <v>0</v>
      </c>
      <c r="L854" s="4">
        <v>20334</v>
      </c>
      <c r="M854">
        <v>0</v>
      </c>
      <c r="N854">
        <v>20334</v>
      </c>
      <c r="O854" t="s">
        <v>32</v>
      </c>
      <c r="P854">
        <v>3.1</v>
      </c>
      <c r="Q854">
        <v>36</v>
      </c>
      <c r="R854" t="str">
        <f>TEXT(Healthcare_Data[[#This Row],[Visit_Date]],"mmm")</f>
        <v>Nov</v>
      </c>
      <c r="S854">
        <f>MONTH(Healthcare_Data[[#This Row],[Visit_Date]])</f>
        <v>11</v>
      </c>
      <c r="T854" t="str">
        <f>IF(Healthcare_Data[[#This Row],[Final_Bill]]&gt;=50000,"High",IF(Healthcare_Data[[#This Row],[Final_Bill]]&gt;=20000,"Medium","low"))</f>
        <v>Medium</v>
      </c>
    </row>
    <row r="855" spans="1:20" x14ac:dyDescent="0.3">
      <c r="A855" t="s">
        <v>910</v>
      </c>
      <c r="B855" s="3">
        <v>45968</v>
      </c>
      <c r="C855" t="s">
        <v>38</v>
      </c>
      <c r="D855" t="s">
        <v>34</v>
      </c>
      <c r="E855" t="s">
        <v>20</v>
      </c>
      <c r="F855" t="s">
        <v>21</v>
      </c>
      <c r="G855">
        <v>30</v>
      </c>
      <c r="H855" t="s">
        <v>56</v>
      </c>
      <c r="I855" t="s">
        <v>30</v>
      </c>
      <c r="J855" t="s">
        <v>31</v>
      </c>
      <c r="K855">
        <v>0</v>
      </c>
      <c r="L855" s="4">
        <v>5397</v>
      </c>
      <c r="M855">
        <v>0</v>
      </c>
      <c r="N855">
        <v>5397</v>
      </c>
      <c r="O855" t="s">
        <v>32</v>
      </c>
      <c r="P855">
        <v>3.4</v>
      </c>
      <c r="Q855">
        <v>119</v>
      </c>
      <c r="R855" t="str">
        <f>TEXT(Healthcare_Data[[#This Row],[Visit_Date]],"mmm")</f>
        <v>Nov</v>
      </c>
      <c r="S855">
        <f>MONTH(Healthcare_Data[[#This Row],[Visit_Date]])</f>
        <v>11</v>
      </c>
      <c r="T855" t="str">
        <f>IF(Healthcare_Data[[#This Row],[Final_Bill]]&gt;=50000,"High",IF(Healthcare_Data[[#This Row],[Final_Bill]]&gt;=20000,"Medium","low"))</f>
        <v>low</v>
      </c>
    </row>
    <row r="856" spans="1:20" x14ac:dyDescent="0.3">
      <c r="A856" t="s">
        <v>911</v>
      </c>
      <c r="B856" s="3">
        <v>45968</v>
      </c>
      <c r="C856" t="s">
        <v>38</v>
      </c>
      <c r="D856" t="s">
        <v>28</v>
      </c>
      <c r="E856" t="s">
        <v>54</v>
      </c>
      <c r="F856" t="s">
        <v>21</v>
      </c>
      <c r="G856">
        <v>57</v>
      </c>
      <c r="H856" t="s">
        <v>35</v>
      </c>
      <c r="I856" t="s">
        <v>23</v>
      </c>
      <c r="J856" t="s">
        <v>24</v>
      </c>
      <c r="K856">
        <v>0</v>
      </c>
      <c r="L856" s="4">
        <v>24679</v>
      </c>
      <c r="M856">
        <v>1000</v>
      </c>
      <c r="N856">
        <v>23679</v>
      </c>
      <c r="O856" t="s">
        <v>25</v>
      </c>
      <c r="P856">
        <v>2.6</v>
      </c>
      <c r="Q856">
        <v>21</v>
      </c>
      <c r="R856" t="str">
        <f>TEXT(Healthcare_Data[[#This Row],[Visit_Date]],"mmm")</f>
        <v>Nov</v>
      </c>
      <c r="S856">
        <f>MONTH(Healthcare_Data[[#This Row],[Visit_Date]])</f>
        <v>11</v>
      </c>
      <c r="T856" t="str">
        <f>IF(Healthcare_Data[[#This Row],[Final_Bill]]&gt;=50000,"High",IF(Healthcare_Data[[#This Row],[Final_Bill]]&gt;=20000,"Medium","low"))</f>
        <v>Medium</v>
      </c>
    </row>
    <row r="857" spans="1:20" x14ac:dyDescent="0.3">
      <c r="A857" t="s">
        <v>912</v>
      </c>
      <c r="B857" s="3">
        <v>45969</v>
      </c>
      <c r="C857" t="s">
        <v>44</v>
      </c>
      <c r="D857" t="s">
        <v>19</v>
      </c>
      <c r="E857" t="s">
        <v>20</v>
      </c>
      <c r="F857" t="s">
        <v>40</v>
      </c>
      <c r="G857">
        <v>75</v>
      </c>
      <c r="H857" t="s">
        <v>46</v>
      </c>
      <c r="I857" t="s">
        <v>30</v>
      </c>
      <c r="J857" t="s">
        <v>24</v>
      </c>
      <c r="K857">
        <v>0</v>
      </c>
      <c r="L857" s="4">
        <v>6156</v>
      </c>
      <c r="M857">
        <v>1500</v>
      </c>
      <c r="N857">
        <v>4656</v>
      </c>
      <c r="O857" t="s">
        <v>25</v>
      </c>
      <c r="P857">
        <v>4.7</v>
      </c>
      <c r="Q857">
        <v>21</v>
      </c>
      <c r="R857" t="str">
        <f>TEXT(Healthcare_Data[[#This Row],[Visit_Date]],"mmm")</f>
        <v>Nov</v>
      </c>
      <c r="S857">
        <f>MONTH(Healthcare_Data[[#This Row],[Visit_Date]])</f>
        <v>11</v>
      </c>
      <c r="T857" t="str">
        <f>IF(Healthcare_Data[[#This Row],[Final_Bill]]&gt;=50000,"High",IF(Healthcare_Data[[#This Row],[Final_Bill]]&gt;=20000,"Medium","low"))</f>
        <v>low</v>
      </c>
    </row>
    <row r="858" spans="1:20" x14ac:dyDescent="0.3">
      <c r="A858" t="s">
        <v>913</v>
      </c>
      <c r="B858" s="3">
        <v>45969</v>
      </c>
      <c r="C858" t="s">
        <v>44</v>
      </c>
      <c r="D858" t="s">
        <v>39</v>
      </c>
      <c r="E858" t="s">
        <v>20</v>
      </c>
      <c r="F858" t="s">
        <v>40</v>
      </c>
      <c r="G858">
        <v>34</v>
      </c>
      <c r="H858" t="s">
        <v>41</v>
      </c>
      <c r="I858" t="s">
        <v>69</v>
      </c>
      <c r="J858" t="s">
        <v>24</v>
      </c>
      <c r="K858">
        <v>0</v>
      </c>
      <c r="L858" s="4">
        <v>15798</v>
      </c>
      <c r="M858">
        <v>0</v>
      </c>
      <c r="N858">
        <v>15798</v>
      </c>
      <c r="O858" t="s">
        <v>25</v>
      </c>
      <c r="P858">
        <v>4.2</v>
      </c>
      <c r="Q858">
        <v>75</v>
      </c>
      <c r="R858" t="str">
        <f>TEXT(Healthcare_Data[[#This Row],[Visit_Date]],"mmm")</f>
        <v>Nov</v>
      </c>
      <c r="S858">
        <f>MONTH(Healthcare_Data[[#This Row],[Visit_Date]])</f>
        <v>11</v>
      </c>
      <c r="T858" t="str">
        <f>IF(Healthcare_Data[[#This Row],[Final_Bill]]&gt;=50000,"High",IF(Healthcare_Data[[#This Row],[Final_Bill]]&gt;=20000,"Medium","low"))</f>
        <v>low</v>
      </c>
    </row>
    <row r="859" spans="1:20" x14ac:dyDescent="0.3">
      <c r="A859" t="s">
        <v>914</v>
      </c>
      <c r="B859" s="3">
        <v>45969</v>
      </c>
      <c r="C859" t="s">
        <v>18</v>
      </c>
      <c r="D859" t="s">
        <v>51</v>
      </c>
      <c r="E859" t="s">
        <v>20</v>
      </c>
      <c r="F859" t="s">
        <v>21</v>
      </c>
      <c r="G859">
        <v>27</v>
      </c>
      <c r="H859" t="s">
        <v>22</v>
      </c>
      <c r="I859" t="s">
        <v>42</v>
      </c>
      <c r="J859" t="s">
        <v>36</v>
      </c>
      <c r="K859">
        <v>0</v>
      </c>
      <c r="L859" s="4">
        <v>3165</v>
      </c>
      <c r="M859">
        <v>500</v>
      </c>
      <c r="N859">
        <v>2665</v>
      </c>
      <c r="O859" t="s">
        <v>25</v>
      </c>
      <c r="P859">
        <v>4.5999999999999996</v>
      </c>
      <c r="Q859">
        <v>26</v>
      </c>
      <c r="R859" t="str">
        <f>TEXT(Healthcare_Data[[#This Row],[Visit_Date]],"mmm")</f>
        <v>Nov</v>
      </c>
      <c r="S859">
        <f>MONTH(Healthcare_Data[[#This Row],[Visit_Date]])</f>
        <v>11</v>
      </c>
      <c r="T859" t="str">
        <f>IF(Healthcare_Data[[#This Row],[Final_Bill]]&gt;=50000,"High",IF(Healthcare_Data[[#This Row],[Final_Bill]]&gt;=20000,"Medium","low"))</f>
        <v>low</v>
      </c>
    </row>
    <row r="860" spans="1:20" x14ac:dyDescent="0.3">
      <c r="A860" t="s">
        <v>915</v>
      </c>
      <c r="B860" s="3">
        <v>45970</v>
      </c>
      <c r="C860" t="s">
        <v>38</v>
      </c>
      <c r="D860" t="s">
        <v>28</v>
      </c>
      <c r="E860" t="s">
        <v>52</v>
      </c>
      <c r="F860" t="s">
        <v>21</v>
      </c>
      <c r="G860">
        <v>27</v>
      </c>
      <c r="H860" t="s">
        <v>41</v>
      </c>
      <c r="I860" t="s">
        <v>72</v>
      </c>
      <c r="J860" t="s">
        <v>36</v>
      </c>
      <c r="K860">
        <v>12</v>
      </c>
      <c r="L860" s="4">
        <v>57845</v>
      </c>
      <c r="M860">
        <v>500</v>
      </c>
      <c r="N860">
        <v>57345</v>
      </c>
      <c r="O860" t="s">
        <v>32</v>
      </c>
      <c r="P860">
        <v>4.5999999999999996</v>
      </c>
      <c r="Q860">
        <v>8</v>
      </c>
      <c r="R860" t="str">
        <f>TEXT(Healthcare_Data[[#This Row],[Visit_Date]],"mmm")</f>
        <v>Nov</v>
      </c>
      <c r="S860">
        <f>MONTH(Healthcare_Data[[#This Row],[Visit_Date]])</f>
        <v>11</v>
      </c>
      <c r="T860" t="str">
        <f>IF(Healthcare_Data[[#This Row],[Final_Bill]]&gt;=50000,"High",IF(Healthcare_Data[[#This Row],[Final_Bill]]&gt;=20000,"Medium","low"))</f>
        <v>High</v>
      </c>
    </row>
    <row r="861" spans="1:20" x14ac:dyDescent="0.3">
      <c r="A861" t="s">
        <v>916</v>
      </c>
      <c r="B861" s="3">
        <v>45970</v>
      </c>
      <c r="C861" t="s">
        <v>44</v>
      </c>
      <c r="D861" t="s">
        <v>19</v>
      </c>
      <c r="E861" t="s">
        <v>20</v>
      </c>
      <c r="F861" t="s">
        <v>21</v>
      </c>
      <c r="G861">
        <v>39</v>
      </c>
      <c r="H861" t="s">
        <v>56</v>
      </c>
      <c r="I861" t="s">
        <v>30</v>
      </c>
      <c r="J861" t="s">
        <v>24</v>
      </c>
      <c r="K861">
        <v>0</v>
      </c>
      <c r="L861" s="4">
        <v>18668</v>
      </c>
      <c r="M861">
        <v>1000</v>
      </c>
      <c r="N861">
        <v>17668</v>
      </c>
      <c r="O861" t="s">
        <v>32</v>
      </c>
      <c r="P861">
        <v>4.5999999999999996</v>
      </c>
      <c r="Q861">
        <v>36</v>
      </c>
      <c r="R861" t="str">
        <f>TEXT(Healthcare_Data[[#This Row],[Visit_Date]],"mmm")</f>
        <v>Nov</v>
      </c>
      <c r="S861">
        <f>MONTH(Healthcare_Data[[#This Row],[Visit_Date]])</f>
        <v>11</v>
      </c>
      <c r="T861" t="str">
        <f>IF(Healthcare_Data[[#This Row],[Final_Bill]]&gt;=50000,"High",IF(Healthcare_Data[[#This Row],[Final_Bill]]&gt;=20000,"Medium","low"))</f>
        <v>low</v>
      </c>
    </row>
    <row r="862" spans="1:20" x14ac:dyDescent="0.3">
      <c r="A862" t="s">
        <v>917</v>
      </c>
      <c r="B862" s="3">
        <v>45971</v>
      </c>
      <c r="C862" t="s">
        <v>67</v>
      </c>
      <c r="D862" t="s">
        <v>39</v>
      </c>
      <c r="E862" t="s">
        <v>52</v>
      </c>
      <c r="F862" t="s">
        <v>40</v>
      </c>
      <c r="G862">
        <v>56</v>
      </c>
      <c r="H862" t="s">
        <v>115</v>
      </c>
      <c r="I862" t="s">
        <v>72</v>
      </c>
      <c r="J862" t="s">
        <v>31</v>
      </c>
      <c r="K862">
        <v>10</v>
      </c>
      <c r="L862" s="4">
        <v>79322</v>
      </c>
      <c r="M862">
        <v>1000</v>
      </c>
      <c r="N862">
        <v>78322</v>
      </c>
      <c r="O862" t="s">
        <v>59</v>
      </c>
      <c r="P862">
        <v>2.6</v>
      </c>
      <c r="Q862">
        <v>66</v>
      </c>
      <c r="R862" t="str">
        <f>TEXT(Healthcare_Data[[#This Row],[Visit_Date]],"mmm")</f>
        <v>Nov</v>
      </c>
      <c r="S862">
        <f>MONTH(Healthcare_Data[[#This Row],[Visit_Date]])</f>
        <v>11</v>
      </c>
      <c r="T862" t="str">
        <f>IF(Healthcare_Data[[#This Row],[Final_Bill]]&gt;=50000,"High",IF(Healthcare_Data[[#This Row],[Final_Bill]]&gt;=20000,"Medium","low"))</f>
        <v>High</v>
      </c>
    </row>
    <row r="863" spans="1:20" x14ac:dyDescent="0.3">
      <c r="A863" t="s">
        <v>918</v>
      </c>
      <c r="B863" s="3">
        <v>45971</v>
      </c>
      <c r="C863" t="s">
        <v>18</v>
      </c>
      <c r="D863" t="s">
        <v>51</v>
      </c>
      <c r="E863" t="s">
        <v>20</v>
      </c>
      <c r="F863" t="s">
        <v>21</v>
      </c>
      <c r="G863">
        <v>72</v>
      </c>
      <c r="H863" t="s">
        <v>22</v>
      </c>
      <c r="I863" t="s">
        <v>61</v>
      </c>
      <c r="J863" t="s">
        <v>36</v>
      </c>
      <c r="K863">
        <v>0</v>
      </c>
      <c r="L863" s="4">
        <v>3383</v>
      </c>
      <c r="M863">
        <v>1000</v>
      </c>
      <c r="N863">
        <v>2383</v>
      </c>
      <c r="O863" t="s">
        <v>25</v>
      </c>
      <c r="P863">
        <v>3.8</v>
      </c>
      <c r="Q863">
        <v>88</v>
      </c>
      <c r="R863" t="str">
        <f>TEXT(Healthcare_Data[[#This Row],[Visit_Date]],"mmm")</f>
        <v>Nov</v>
      </c>
      <c r="S863">
        <f>MONTH(Healthcare_Data[[#This Row],[Visit_Date]])</f>
        <v>11</v>
      </c>
      <c r="T863" t="str">
        <f>IF(Healthcare_Data[[#This Row],[Final_Bill]]&gt;=50000,"High",IF(Healthcare_Data[[#This Row],[Final_Bill]]&gt;=20000,"Medium","low"))</f>
        <v>low</v>
      </c>
    </row>
    <row r="864" spans="1:20" x14ac:dyDescent="0.3">
      <c r="A864" t="s">
        <v>919</v>
      </c>
      <c r="B864" s="3">
        <v>45971</v>
      </c>
      <c r="C864" t="s">
        <v>50</v>
      </c>
      <c r="D864" t="s">
        <v>39</v>
      </c>
      <c r="E864" t="s">
        <v>20</v>
      </c>
      <c r="F864" t="s">
        <v>21</v>
      </c>
      <c r="G864">
        <v>75</v>
      </c>
      <c r="H864" t="s">
        <v>35</v>
      </c>
      <c r="I864" t="s">
        <v>63</v>
      </c>
      <c r="J864" t="s">
        <v>58</v>
      </c>
      <c r="K864">
        <v>0</v>
      </c>
      <c r="L864" s="4">
        <v>15840</v>
      </c>
      <c r="M864">
        <v>1500</v>
      </c>
      <c r="N864">
        <v>14340</v>
      </c>
      <c r="O864" t="s">
        <v>25</v>
      </c>
      <c r="P864">
        <v>3.9</v>
      </c>
      <c r="Q864">
        <v>86</v>
      </c>
      <c r="R864" t="str">
        <f>TEXT(Healthcare_Data[[#This Row],[Visit_Date]],"mmm")</f>
        <v>Nov</v>
      </c>
      <c r="S864">
        <f>MONTH(Healthcare_Data[[#This Row],[Visit_Date]])</f>
        <v>11</v>
      </c>
      <c r="T864" t="str">
        <f>IF(Healthcare_Data[[#This Row],[Final_Bill]]&gt;=50000,"High",IF(Healthcare_Data[[#This Row],[Final_Bill]]&gt;=20000,"Medium","low"))</f>
        <v>low</v>
      </c>
    </row>
    <row r="865" spans="1:20" x14ac:dyDescent="0.3">
      <c r="A865" t="s">
        <v>920</v>
      </c>
      <c r="B865" s="3">
        <v>45972</v>
      </c>
      <c r="C865" t="s">
        <v>38</v>
      </c>
      <c r="D865" t="s">
        <v>34</v>
      </c>
      <c r="E865" t="s">
        <v>20</v>
      </c>
      <c r="F865" t="s">
        <v>21</v>
      </c>
      <c r="G865">
        <v>23</v>
      </c>
      <c r="H865" t="s">
        <v>115</v>
      </c>
      <c r="I865" t="s">
        <v>69</v>
      </c>
      <c r="J865" t="s">
        <v>36</v>
      </c>
      <c r="K865">
        <v>0</v>
      </c>
      <c r="L865" s="4">
        <v>1831</v>
      </c>
      <c r="M865">
        <v>0</v>
      </c>
      <c r="N865">
        <v>1831</v>
      </c>
      <c r="O865" t="s">
        <v>25</v>
      </c>
      <c r="P865">
        <v>4.3</v>
      </c>
      <c r="Q865">
        <v>94</v>
      </c>
      <c r="R865" t="str">
        <f>TEXT(Healthcare_Data[[#This Row],[Visit_Date]],"mmm")</f>
        <v>Nov</v>
      </c>
      <c r="S865">
        <f>MONTH(Healthcare_Data[[#This Row],[Visit_Date]])</f>
        <v>11</v>
      </c>
      <c r="T865" t="str">
        <f>IF(Healthcare_Data[[#This Row],[Final_Bill]]&gt;=50000,"High",IF(Healthcare_Data[[#This Row],[Final_Bill]]&gt;=20000,"Medium","low"))</f>
        <v>low</v>
      </c>
    </row>
    <row r="866" spans="1:20" x14ac:dyDescent="0.3">
      <c r="A866" t="s">
        <v>921</v>
      </c>
      <c r="B866" s="3">
        <v>45972</v>
      </c>
      <c r="C866" t="s">
        <v>50</v>
      </c>
      <c r="D866" t="s">
        <v>39</v>
      </c>
      <c r="E866" t="s">
        <v>54</v>
      </c>
      <c r="F866" t="s">
        <v>21</v>
      </c>
      <c r="G866">
        <v>54</v>
      </c>
      <c r="H866" t="s">
        <v>41</v>
      </c>
      <c r="I866" t="s">
        <v>69</v>
      </c>
      <c r="J866" t="s">
        <v>24</v>
      </c>
      <c r="K866">
        <v>0</v>
      </c>
      <c r="L866" s="4">
        <v>29702</v>
      </c>
      <c r="M866">
        <v>1500</v>
      </c>
      <c r="N866">
        <v>28202</v>
      </c>
      <c r="O866" t="s">
        <v>25</v>
      </c>
      <c r="P866">
        <v>3</v>
      </c>
      <c r="Q866">
        <v>64</v>
      </c>
      <c r="R866" t="str">
        <f>TEXT(Healthcare_Data[[#This Row],[Visit_Date]],"mmm")</f>
        <v>Nov</v>
      </c>
      <c r="S866">
        <f>MONTH(Healthcare_Data[[#This Row],[Visit_Date]])</f>
        <v>11</v>
      </c>
      <c r="T866" t="str">
        <f>IF(Healthcare_Data[[#This Row],[Final_Bill]]&gt;=50000,"High",IF(Healthcare_Data[[#This Row],[Final_Bill]]&gt;=20000,"Medium","low"))</f>
        <v>Medium</v>
      </c>
    </row>
    <row r="867" spans="1:20" x14ac:dyDescent="0.3">
      <c r="A867" t="s">
        <v>922</v>
      </c>
      <c r="B867" s="3">
        <v>45972</v>
      </c>
      <c r="C867" t="s">
        <v>67</v>
      </c>
      <c r="D867" t="s">
        <v>39</v>
      </c>
      <c r="E867" t="s">
        <v>20</v>
      </c>
      <c r="F867" t="s">
        <v>40</v>
      </c>
      <c r="G867">
        <v>44</v>
      </c>
      <c r="H867" t="s">
        <v>46</v>
      </c>
      <c r="I867" t="s">
        <v>72</v>
      </c>
      <c r="J867" t="s">
        <v>24</v>
      </c>
      <c r="K867">
        <v>0</v>
      </c>
      <c r="L867" s="4">
        <v>9743</v>
      </c>
      <c r="M867">
        <v>0</v>
      </c>
      <c r="N867">
        <v>9743</v>
      </c>
      <c r="O867" t="s">
        <v>25</v>
      </c>
      <c r="P867">
        <v>2.9</v>
      </c>
      <c r="Q867">
        <v>16</v>
      </c>
      <c r="R867" t="str">
        <f>TEXT(Healthcare_Data[[#This Row],[Visit_Date]],"mmm")</f>
        <v>Nov</v>
      </c>
      <c r="S867">
        <f>MONTH(Healthcare_Data[[#This Row],[Visit_Date]])</f>
        <v>11</v>
      </c>
      <c r="T867" t="str">
        <f>IF(Healthcare_Data[[#This Row],[Final_Bill]]&gt;=50000,"High",IF(Healthcare_Data[[#This Row],[Final_Bill]]&gt;=20000,"Medium","low"))</f>
        <v>low</v>
      </c>
    </row>
    <row r="868" spans="1:20" x14ac:dyDescent="0.3">
      <c r="A868" t="s">
        <v>923</v>
      </c>
      <c r="B868" s="3">
        <v>45973</v>
      </c>
      <c r="C868" t="s">
        <v>18</v>
      </c>
      <c r="D868" t="s">
        <v>28</v>
      </c>
      <c r="E868" t="s">
        <v>54</v>
      </c>
      <c r="F868" t="s">
        <v>40</v>
      </c>
      <c r="G868">
        <v>23</v>
      </c>
      <c r="H868" t="s">
        <v>35</v>
      </c>
      <c r="I868" t="s">
        <v>30</v>
      </c>
      <c r="J868" t="s">
        <v>24</v>
      </c>
      <c r="K868">
        <v>0</v>
      </c>
      <c r="L868" s="4">
        <v>19294</v>
      </c>
      <c r="M868">
        <v>0</v>
      </c>
      <c r="N868">
        <v>19294</v>
      </c>
      <c r="O868" t="s">
        <v>32</v>
      </c>
      <c r="P868">
        <v>3.2</v>
      </c>
      <c r="Q868">
        <v>38</v>
      </c>
      <c r="R868" t="str">
        <f>TEXT(Healthcare_Data[[#This Row],[Visit_Date]],"mmm")</f>
        <v>Nov</v>
      </c>
      <c r="S868">
        <f>MONTH(Healthcare_Data[[#This Row],[Visit_Date]])</f>
        <v>11</v>
      </c>
      <c r="T868" t="str">
        <f>IF(Healthcare_Data[[#This Row],[Final_Bill]]&gt;=50000,"High",IF(Healthcare_Data[[#This Row],[Final_Bill]]&gt;=20000,"Medium","low"))</f>
        <v>low</v>
      </c>
    </row>
    <row r="869" spans="1:20" x14ac:dyDescent="0.3">
      <c r="A869" t="s">
        <v>924</v>
      </c>
      <c r="B869" s="3">
        <v>45973</v>
      </c>
      <c r="C869" t="s">
        <v>27</v>
      </c>
      <c r="D869" t="s">
        <v>39</v>
      </c>
      <c r="E869" t="s">
        <v>20</v>
      </c>
      <c r="F869" t="s">
        <v>40</v>
      </c>
      <c r="G869">
        <v>74</v>
      </c>
      <c r="H869" t="s">
        <v>46</v>
      </c>
      <c r="I869" t="s">
        <v>42</v>
      </c>
      <c r="J869" t="s">
        <v>24</v>
      </c>
      <c r="K869">
        <v>0</v>
      </c>
      <c r="L869" s="4">
        <v>8710</v>
      </c>
      <c r="M869">
        <v>0</v>
      </c>
      <c r="N869">
        <v>8710</v>
      </c>
      <c r="O869" t="s">
        <v>25</v>
      </c>
      <c r="P869">
        <v>3.9</v>
      </c>
      <c r="Q869">
        <v>60</v>
      </c>
      <c r="R869" t="str">
        <f>TEXT(Healthcare_Data[[#This Row],[Visit_Date]],"mmm")</f>
        <v>Nov</v>
      </c>
      <c r="S869">
        <f>MONTH(Healthcare_Data[[#This Row],[Visit_Date]])</f>
        <v>11</v>
      </c>
      <c r="T869" t="str">
        <f>IF(Healthcare_Data[[#This Row],[Final_Bill]]&gt;=50000,"High",IF(Healthcare_Data[[#This Row],[Final_Bill]]&gt;=20000,"Medium","low"))</f>
        <v>low</v>
      </c>
    </row>
    <row r="870" spans="1:20" x14ac:dyDescent="0.3">
      <c r="A870" t="s">
        <v>925</v>
      </c>
      <c r="B870" s="3">
        <v>45973</v>
      </c>
      <c r="C870" t="s">
        <v>38</v>
      </c>
      <c r="D870" t="s">
        <v>19</v>
      </c>
      <c r="E870" t="s">
        <v>54</v>
      </c>
      <c r="F870" t="s">
        <v>40</v>
      </c>
      <c r="G870">
        <v>61</v>
      </c>
      <c r="H870" t="s">
        <v>35</v>
      </c>
      <c r="I870" t="s">
        <v>57</v>
      </c>
      <c r="J870" t="s">
        <v>31</v>
      </c>
      <c r="K870">
        <v>0</v>
      </c>
      <c r="L870" s="4">
        <v>29352</v>
      </c>
      <c r="M870">
        <v>2000</v>
      </c>
      <c r="N870">
        <v>27352</v>
      </c>
      <c r="O870" t="s">
        <v>59</v>
      </c>
      <c r="P870">
        <v>3.5</v>
      </c>
      <c r="Q870">
        <v>5</v>
      </c>
      <c r="R870" t="str">
        <f>TEXT(Healthcare_Data[[#This Row],[Visit_Date]],"mmm")</f>
        <v>Nov</v>
      </c>
      <c r="S870">
        <f>MONTH(Healthcare_Data[[#This Row],[Visit_Date]])</f>
        <v>11</v>
      </c>
      <c r="T870" t="str">
        <f>IF(Healthcare_Data[[#This Row],[Final_Bill]]&gt;=50000,"High",IF(Healthcare_Data[[#This Row],[Final_Bill]]&gt;=20000,"Medium","low"))</f>
        <v>Medium</v>
      </c>
    </row>
    <row r="871" spans="1:20" x14ac:dyDescent="0.3">
      <c r="A871" t="s">
        <v>926</v>
      </c>
      <c r="B871" s="3">
        <v>45974</v>
      </c>
      <c r="C871" t="s">
        <v>48</v>
      </c>
      <c r="D871" t="s">
        <v>51</v>
      </c>
      <c r="E871" t="s">
        <v>54</v>
      </c>
      <c r="F871" t="s">
        <v>21</v>
      </c>
      <c r="G871">
        <v>34</v>
      </c>
      <c r="H871" t="s">
        <v>46</v>
      </c>
      <c r="I871" t="s">
        <v>30</v>
      </c>
      <c r="J871" t="s">
        <v>31</v>
      </c>
      <c r="K871">
        <v>0</v>
      </c>
      <c r="L871" s="4">
        <v>13105</v>
      </c>
      <c r="M871">
        <v>1000</v>
      </c>
      <c r="N871">
        <v>12105</v>
      </c>
      <c r="O871" t="s">
        <v>25</v>
      </c>
      <c r="P871">
        <v>2.8</v>
      </c>
      <c r="Q871">
        <v>91</v>
      </c>
      <c r="R871" t="str">
        <f>TEXT(Healthcare_Data[[#This Row],[Visit_Date]],"mmm")</f>
        <v>Nov</v>
      </c>
      <c r="S871">
        <f>MONTH(Healthcare_Data[[#This Row],[Visit_Date]])</f>
        <v>11</v>
      </c>
      <c r="T871" t="str">
        <f>IF(Healthcare_Data[[#This Row],[Final_Bill]]&gt;=50000,"High",IF(Healthcare_Data[[#This Row],[Final_Bill]]&gt;=20000,"Medium","low"))</f>
        <v>low</v>
      </c>
    </row>
    <row r="872" spans="1:20" x14ac:dyDescent="0.3">
      <c r="A872" t="s">
        <v>927</v>
      </c>
      <c r="B872" s="3">
        <v>45974</v>
      </c>
      <c r="C872" t="s">
        <v>54</v>
      </c>
      <c r="D872" t="s">
        <v>51</v>
      </c>
      <c r="E872" t="s">
        <v>54</v>
      </c>
      <c r="F872" t="s">
        <v>40</v>
      </c>
      <c r="G872">
        <v>64</v>
      </c>
      <c r="H872" t="s">
        <v>46</v>
      </c>
      <c r="I872" t="s">
        <v>23</v>
      </c>
      <c r="J872" t="s">
        <v>24</v>
      </c>
      <c r="K872">
        <v>0</v>
      </c>
      <c r="L872" s="4">
        <v>13958</v>
      </c>
      <c r="M872">
        <v>1500</v>
      </c>
      <c r="N872">
        <v>12458</v>
      </c>
      <c r="O872" t="s">
        <v>25</v>
      </c>
      <c r="P872">
        <v>2.8</v>
      </c>
      <c r="Q872">
        <v>8</v>
      </c>
      <c r="R872" t="str">
        <f>TEXT(Healthcare_Data[[#This Row],[Visit_Date]],"mmm")</f>
        <v>Nov</v>
      </c>
      <c r="S872">
        <f>MONTH(Healthcare_Data[[#This Row],[Visit_Date]])</f>
        <v>11</v>
      </c>
      <c r="T872" t="str">
        <f>IF(Healthcare_Data[[#This Row],[Final_Bill]]&gt;=50000,"High",IF(Healthcare_Data[[#This Row],[Final_Bill]]&gt;=20000,"Medium","low"))</f>
        <v>low</v>
      </c>
    </row>
    <row r="873" spans="1:20" x14ac:dyDescent="0.3">
      <c r="A873" t="s">
        <v>928</v>
      </c>
      <c r="B873" s="3">
        <v>45974</v>
      </c>
      <c r="C873" t="s">
        <v>48</v>
      </c>
      <c r="D873" t="s">
        <v>51</v>
      </c>
      <c r="E873" t="s">
        <v>20</v>
      </c>
      <c r="F873" t="s">
        <v>21</v>
      </c>
      <c r="G873">
        <v>76</v>
      </c>
      <c r="H873" t="s">
        <v>41</v>
      </c>
      <c r="I873" t="s">
        <v>23</v>
      </c>
      <c r="J873" t="s">
        <v>31</v>
      </c>
      <c r="K873">
        <v>0</v>
      </c>
      <c r="L873" s="4">
        <v>7729</v>
      </c>
      <c r="M873">
        <v>500</v>
      </c>
      <c r="N873">
        <v>7229</v>
      </c>
      <c r="O873" t="s">
        <v>59</v>
      </c>
      <c r="P873">
        <v>3.4</v>
      </c>
      <c r="Q873">
        <v>95</v>
      </c>
      <c r="R873" t="str">
        <f>TEXT(Healthcare_Data[[#This Row],[Visit_Date]],"mmm")</f>
        <v>Nov</v>
      </c>
      <c r="S873">
        <f>MONTH(Healthcare_Data[[#This Row],[Visit_Date]])</f>
        <v>11</v>
      </c>
      <c r="T873" t="str">
        <f>IF(Healthcare_Data[[#This Row],[Final_Bill]]&gt;=50000,"High",IF(Healthcare_Data[[#This Row],[Final_Bill]]&gt;=20000,"Medium","low"))</f>
        <v>low</v>
      </c>
    </row>
    <row r="874" spans="1:20" x14ac:dyDescent="0.3">
      <c r="A874" t="s">
        <v>929</v>
      </c>
      <c r="B874" s="3">
        <v>45974</v>
      </c>
      <c r="C874" t="s">
        <v>27</v>
      </c>
      <c r="D874" t="s">
        <v>39</v>
      </c>
      <c r="E874" t="s">
        <v>54</v>
      </c>
      <c r="F874" t="s">
        <v>40</v>
      </c>
      <c r="G874">
        <v>69</v>
      </c>
      <c r="H874" t="s">
        <v>41</v>
      </c>
      <c r="I874" t="s">
        <v>63</v>
      </c>
      <c r="J874" t="s">
        <v>24</v>
      </c>
      <c r="K874">
        <v>0</v>
      </c>
      <c r="L874" s="4">
        <v>24205</v>
      </c>
      <c r="M874">
        <v>1000</v>
      </c>
      <c r="N874">
        <v>23205</v>
      </c>
      <c r="O874" t="s">
        <v>25</v>
      </c>
      <c r="Q874">
        <v>99</v>
      </c>
      <c r="R874" t="str">
        <f>TEXT(Healthcare_Data[[#This Row],[Visit_Date]],"mmm")</f>
        <v>Nov</v>
      </c>
      <c r="S874">
        <f>MONTH(Healthcare_Data[[#This Row],[Visit_Date]])</f>
        <v>11</v>
      </c>
      <c r="T874" t="str">
        <f>IF(Healthcare_Data[[#This Row],[Final_Bill]]&gt;=50000,"High",IF(Healthcare_Data[[#This Row],[Final_Bill]]&gt;=20000,"Medium","low"))</f>
        <v>Medium</v>
      </c>
    </row>
    <row r="875" spans="1:20" x14ac:dyDescent="0.3">
      <c r="A875" t="s">
        <v>930</v>
      </c>
      <c r="B875" s="3">
        <v>45975</v>
      </c>
      <c r="C875" t="s">
        <v>67</v>
      </c>
      <c r="D875" t="s">
        <v>39</v>
      </c>
      <c r="E875" t="s">
        <v>20</v>
      </c>
      <c r="F875" t="s">
        <v>40</v>
      </c>
      <c r="G875">
        <v>77</v>
      </c>
      <c r="H875" t="s">
        <v>46</v>
      </c>
      <c r="I875" t="s">
        <v>30</v>
      </c>
      <c r="J875" t="s">
        <v>24</v>
      </c>
      <c r="K875">
        <v>0</v>
      </c>
      <c r="L875" s="4">
        <v>18069</v>
      </c>
      <c r="M875">
        <v>0</v>
      </c>
      <c r="N875">
        <v>18069</v>
      </c>
      <c r="O875" t="s">
        <v>25</v>
      </c>
      <c r="P875">
        <v>2.7</v>
      </c>
      <c r="Q875">
        <v>56</v>
      </c>
      <c r="R875" t="str">
        <f>TEXT(Healthcare_Data[[#This Row],[Visit_Date]],"mmm")</f>
        <v>Nov</v>
      </c>
      <c r="S875">
        <f>MONTH(Healthcare_Data[[#This Row],[Visit_Date]])</f>
        <v>11</v>
      </c>
      <c r="T875" t="str">
        <f>IF(Healthcare_Data[[#This Row],[Final_Bill]]&gt;=50000,"High",IF(Healthcare_Data[[#This Row],[Final_Bill]]&gt;=20000,"Medium","low"))</f>
        <v>low</v>
      </c>
    </row>
    <row r="876" spans="1:20" x14ac:dyDescent="0.3">
      <c r="A876" t="s">
        <v>931</v>
      </c>
      <c r="B876" s="3">
        <v>45975</v>
      </c>
      <c r="C876" t="s">
        <v>48</v>
      </c>
      <c r="D876" t="s">
        <v>34</v>
      </c>
      <c r="E876" t="s">
        <v>52</v>
      </c>
      <c r="F876" t="s">
        <v>40</v>
      </c>
      <c r="G876">
        <v>76</v>
      </c>
      <c r="H876" t="s">
        <v>115</v>
      </c>
      <c r="I876" t="s">
        <v>30</v>
      </c>
      <c r="J876" t="s">
        <v>24</v>
      </c>
      <c r="K876">
        <v>5</v>
      </c>
      <c r="L876" s="4">
        <v>16728</v>
      </c>
      <c r="M876">
        <v>0</v>
      </c>
      <c r="N876">
        <v>16728</v>
      </c>
      <c r="O876" t="s">
        <v>25</v>
      </c>
      <c r="P876">
        <v>3.1</v>
      </c>
      <c r="Q876">
        <v>55</v>
      </c>
      <c r="R876" t="str">
        <f>TEXT(Healthcare_Data[[#This Row],[Visit_Date]],"mmm")</f>
        <v>Nov</v>
      </c>
      <c r="S876">
        <f>MONTH(Healthcare_Data[[#This Row],[Visit_Date]])</f>
        <v>11</v>
      </c>
      <c r="T876" t="str">
        <f>IF(Healthcare_Data[[#This Row],[Final_Bill]]&gt;=50000,"High",IF(Healthcare_Data[[#This Row],[Final_Bill]]&gt;=20000,"Medium","low"))</f>
        <v>low</v>
      </c>
    </row>
    <row r="877" spans="1:20" x14ac:dyDescent="0.3">
      <c r="A877" t="s">
        <v>932</v>
      </c>
      <c r="B877" s="3">
        <v>45975</v>
      </c>
      <c r="C877" t="s">
        <v>18</v>
      </c>
      <c r="D877" t="s">
        <v>19</v>
      </c>
      <c r="E877" t="s">
        <v>20</v>
      </c>
      <c r="F877" t="s">
        <v>21</v>
      </c>
      <c r="G877">
        <v>79</v>
      </c>
      <c r="H877" t="s">
        <v>22</v>
      </c>
      <c r="I877" t="s">
        <v>42</v>
      </c>
      <c r="J877" t="s">
        <v>36</v>
      </c>
      <c r="K877">
        <v>0</v>
      </c>
      <c r="L877" s="4">
        <v>3343</v>
      </c>
      <c r="M877">
        <v>1000</v>
      </c>
      <c r="N877">
        <v>2343</v>
      </c>
      <c r="O877" t="s">
        <v>25</v>
      </c>
      <c r="P877">
        <v>3</v>
      </c>
      <c r="Q877">
        <v>28</v>
      </c>
      <c r="R877" t="str">
        <f>TEXT(Healthcare_Data[[#This Row],[Visit_Date]],"mmm")</f>
        <v>Nov</v>
      </c>
      <c r="S877">
        <f>MONTH(Healthcare_Data[[#This Row],[Visit_Date]])</f>
        <v>11</v>
      </c>
      <c r="T877" t="str">
        <f>IF(Healthcare_Data[[#This Row],[Final_Bill]]&gt;=50000,"High",IF(Healthcare_Data[[#This Row],[Final_Bill]]&gt;=20000,"Medium","low"))</f>
        <v>low</v>
      </c>
    </row>
    <row r="878" spans="1:20" x14ac:dyDescent="0.3">
      <c r="A878" t="s">
        <v>933</v>
      </c>
      <c r="B878" s="3">
        <v>45975</v>
      </c>
      <c r="C878" t="s">
        <v>38</v>
      </c>
      <c r="D878" t="s">
        <v>28</v>
      </c>
      <c r="E878" t="s">
        <v>54</v>
      </c>
      <c r="F878" t="s">
        <v>40</v>
      </c>
      <c r="G878">
        <v>31</v>
      </c>
      <c r="H878" t="s">
        <v>56</v>
      </c>
      <c r="I878" t="s">
        <v>61</v>
      </c>
      <c r="J878" t="s">
        <v>24</v>
      </c>
      <c r="K878">
        <v>0</v>
      </c>
      <c r="L878" s="4">
        <v>42258</v>
      </c>
      <c r="M878">
        <v>0</v>
      </c>
      <c r="N878">
        <v>42258</v>
      </c>
      <c r="O878" t="s">
        <v>25</v>
      </c>
      <c r="P878">
        <v>3.7</v>
      </c>
      <c r="Q878">
        <v>30</v>
      </c>
      <c r="R878" t="str">
        <f>TEXT(Healthcare_Data[[#This Row],[Visit_Date]],"mmm")</f>
        <v>Nov</v>
      </c>
      <c r="S878">
        <f>MONTH(Healthcare_Data[[#This Row],[Visit_Date]])</f>
        <v>11</v>
      </c>
      <c r="T878" t="str">
        <f>IF(Healthcare_Data[[#This Row],[Final_Bill]]&gt;=50000,"High",IF(Healthcare_Data[[#This Row],[Final_Bill]]&gt;=20000,"Medium","low"))</f>
        <v>Medium</v>
      </c>
    </row>
    <row r="879" spans="1:20" x14ac:dyDescent="0.3">
      <c r="A879" t="s">
        <v>934</v>
      </c>
      <c r="B879" s="3">
        <v>45976</v>
      </c>
      <c r="C879" t="s">
        <v>50</v>
      </c>
      <c r="D879" t="s">
        <v>34</v>
      </c>
      <c r="E879" t="s">
        <v>20</v>
      </c>
      <c r="F879" t="s">
        <v>21</v>
      </c>
      <c r="G879">
        <v>36</v>
      </c>
      <c r="H879" t="s">
        <v>35</v>
      </c>
      <c r="I879" t="s">
        <v>61</v>
      </c>
      <c r="J879" t="s">
        <v>24</v>
      </c>
      <c r="K879">
        <v>0</v>
      </c>
      <c r="L879" s="4">
        <v>5977</v>
      </c>
      <c r="M879">
        <v>500</v>
      </c>
      <c r="N879">
        <v>5477</v>
      </c>
      <c r="O879" t="s">
        <v>59</v>
      </c>
      <c r="P879">
        <v>3.3</v>
      </c>
      <c r="Q879">
        <v>101</v>
      </c>
      <c r="R879" t="str">
        <f>TEXT(Healthcare_Data[[#This Row],[Visit_Date]],"mmm")</f>
        <v>Nov</v>
      </c>
      <c r="S879">
        <f>MONTH(Healthcare_Data[[#This Row],[Visit_Date]])</f>
        <v>11</v>
      </c>
      <c r="T879" t="str">
        <f>IF(Healthcare_Data[[#This Row],[Final_Bill]]&gt;=50000,"High",IF(Healthcare_Data[[#This Row],[Final_Bill]]&gt;=20000,"Medium","low"))</f>
        <v>low</v>
      </c>
    </row>
    <row r="880" spans="1:20" x14ac:dyDescent="0.3">
      <c r="A880" t="s">
        <v>935</v>
      </c>
      <c r="B880" s="3">
        <v>45976</v>
      </c>
      <c r="C880" t="s">
        <v>67</v>
      </c>
      <c r="D880" t="s">
        <v>51</v>
      </c>
      <c r="E880" t="s">
        <v>20</v>
      </c>
      <c r="F880" t="s">
        <v>21</v>
      </c>
      <c r="G880">
        <v>47</v>
      </c>
      <c r="H880" t="s">
        <v>56</v>
      </c>
      <c r="I880" t="s">
        <v>69</v>
      </c>
      <c r="J880" t="s">
        <v>58</v>
      </c>
      <c r="K880">
        <v>0</v>
      </c>
      <c r="L880" s="4">
        <v>18682</v>
      </c>
      <c r="M880">
        <v>500</v>
      </c>
      <c r="N880">
        <v>18182</v>
      </c>
      <c r="O880" t="s">
        <v>25</v>
      </c>
      <c r="P880">
        <v>5</v>
      </c>
      <c r="Q880">
        <v>57</v>
      </c>
      <c r="R880" t="str">
        <f>TEXT(Healthcare_Data[[#This Row],[Visit_Date]],"mmm")</f>
        <v>Nov</v>
      </c>
      <c r="S880">
        <f>MONTH(Healthcare_Data[[#This Row],[Visit_Date]])</f>
        <v>11</v>
      </c>
      <c r="T880" t="str">
        <f>IF(Healthcare_Data[[#This Row],[Final_Bill]]&gt;=50000,"High",IF(Healthcare_Data[[#This Row],[Final_Bill]]&gt;=20000,"Medium","low"))</f>
        <v>low</v>
      </c>
    </row>
    <row r="881" spans="1:20" x14ac:dyDescent="0.3">
      <c r="A881" t="s">
        <v>936</v>
      </c>
      <c r="B881" s="3">
        <v>45977</v>
      </c>
      <c r="C881" t="s">
        <v>48</v>
      </c>
      <c r="D881" t="s">
        <v>19</v>
      </c>
      <c r="E881" t="s">
        <v>20</v>
      </c>
      <c r="F881" t="s">
        <v>40</v>
      </c>
      <c r="G881">
        <v>43</v>
      </c>
      <c r="H881" t="s">
        <v>65</v>
      </c>
      <c r="I881" t="s">
        <v>69</v>
      </c>
      <c r="J881" t="s">
        <v>24</v>
      </c>
      <c r="K881">
        <v>0</v>
      </c>
      <c r="L881" s="4">
        <v>9114</v>
      </c>
      <c r="M881">
        <v>1500</v>
      </c>
      <c r="N881">
        <v>7614</v>
      </c>
      <c r="O881" t="s">
        <v>25</v>
      </c>
      <c r="P881">
        <v>4.5</v>
      </c>
      <c r="Q881">
        <v>105</v>
      </c>
      <c r="R881" t="str">
        <f>TEXT(Healthcare_Data[[#This Row],[Visit_Date]],"mmm")</f>
        <v>Nov</v>
      </c>
      <c r="S881">
        <f>MONTH(Healthcare_Data[[#This Row],[Visit_Date]])</f>
        <v>11</v>
      </c>
      <c r="T881" t="str">
        <f>IF(Healthcare_Data[[#This Row],[Final_Bill]]&gt;=50000,"High",IF(Healthcare_Data[[#This Row],[Final_Bill]]&gt;=20000,"Medium","low"))</f>
        <v>low</v>
      </c>
    </row>
    <row r="882" spans="1:20" x14ac:dyDescent="0.3">
      <c r="A882" t="s">
        <v>937</v>
      </c>
      <c r="B882" s="3">
        <v>45977</v>
      </c>
      <c r="C882" t="s">
        <v>67</v>
      </c>
      <c r="D882" t="s">
        <v>39</v>
      </c>
      <c r="E882" t="s">
        <v>20</v>
      </c>
      <c r="F882" t="s">
        <v>21</v>
      </c>
      <c r="G882">
        <v>59</v>
      </c>
      <c r="H882" t="s">
        <v>22</v>
      </c>
      <c r="I882" t="s">
        <v>61</v>
      </c>
      <c r="J882" t="s">
        <v>24</v>
      </c>
      <c r="K882">
        <v>0</v>
      </c>
      <c r="L882" s="4">
        <v>16731</v>
      </c>
      <c r="M882">
        <v>0</v>
      </c>
      <c r="N882">
        <v>16731</v>
      </c>
      <c r="O882" t="s">
        <v>25</v>
      </c>
      <c r="P882">
        <v>3.1</v>
      </c>
      <c r="Q882">
        <v>115</v>
      </c>
      <c r="R882" t="str">
        <f>TEXT(Healthcare_Data[[#This Row],[Visit_Date]],"mmm")</f>
        <v>Nov</v>
      </c>
      <c r="S882">
        <f>MONTH(Healthcare_Data[[#This Row],[Visit_Date]])</f>
        <v>11</v>
      </c>
      <c r="T882" t="str">
        <f>IF(Healthcare_Data[[#This Row],[Final_Bill]]&gt;=50000,"High",IF(Healthcare_Data[[#This Row],[Final_Bill]]&gt;=20000,"Medium","low"))</f>
        <v>low</v>
      </c>
    </row>
    <row r="883" spans="1:20" x14ac:dyDescent="0.3">
      <c r="A883" t="s">
        <v>938</v>
      </c>
      <c r="B883" s="3">
        <v>45977</v>
      </c>
      <c r="C883" t="s">
        <v>54</v>
      </c>
      <c r="D883" t="s">
        <v>28</v>
      </c>
      <c r="E883" t="s">
        <v>54</v>
      </c>
      <c r="F883" t="s">
        <v>40</v>
      </c>
      <c r="G883">
        <v>59</v>
      </c>
      <c r="H883" t="s">
        <v>22</v>
      </c>
      <c r="I883" t="s">
        <v>72</v>
      </c>
      <c r="J883" t="s">
        <v>58</v>
      </c>
      <c r="K883">
        <v>0</v>
      </c>
      <c r="L883" s="4">
        <v>29371</v>
      </c>
      <c r="M883">
        <v>2000</v>
      </c>
      <c r="N883">
        <v>27371</v>
      </c>
      <c r="O883" t="s">
        <v>25</v>
      </c>
      <c r="P883">
        <v>4.4000000000000004</v>
      </c>
      <c r="Q883">
        <v>28</v>
      </c>
      <c r="R883" t="str">
        <f>TEXT(Healthcare_Data[[#This Row],[Visit_Date]],"mmm")</f>
        <v>Nov</v>
      </c>
      <c r="S883">
        <f>MONTH(Healthcare_Data[[#This Row],[Visit_Date]])</f>
        <v>11</v>
      </c>
      <c r="T883" t="str">
        <f>IF(Healthcare_Data[[#This Row],[Final_Bill]]&gt;=50000,"High",IF(Healthcare_Data[[#This Row],[Final_Bill]]&gt;=20000,"Medium","low"))</f>
        <v>Medium</v>
      </c>
    </row>
    <row r="884" spans="1:20" x14ac:dyDescent="0.3">
      <c r="A884" t="s">
        <v>939</v>
      </c>
      <c r="B884" s="3">
        <v>45978</v>
      </c>
      <c r="C884" t="s">
        <v>38</v>
      </c>
      <c r="D884" t="s">
        <v>34</v>
      </c>
      <c r="E884" t="s">
        <v>54</v>
      </c>
      <c r="F884" t="s">
        <v>21</v>
      </c>
      <c r="G884">
        <v>42</v>
      </c>
      <c r="H884" t="s">
        <v>29</v>
      </c>
      <c r="I884" t="s">
        <v>61</v>
      </c>
      <c r="J884" t="s">
        <v>24</v>
      </c>
      <c r="K884">
        <v>0</v>
      </c>
      <c r="L884" s="4">
        <v>28774</v>
      </c>
      <c r="M884">
        <v>500</v>
      </c>
      <c r="N884">
        <v>28274</v>
      </c>
      <c r="O884" t="s">
        <v>32</v>
      </c>
      <c r="P884">
        <v>3.8</v>
      </c>
      <c r="Q884">
        <v>107</v>
      </c>
      <c r="R884" t="str">
        <f>TEXT(Healthcare_Data[[#This Row],[Visit_Date]],"mmm")</f>
        <v>Nov</v>
      </c>
      <c r="S884">
        <f>MONTH(Healthcare_Data[[#This Row],[Visit_Date]])</f>
        <v>11</v>
      </c>
      <c r="T884" t="str">
        <f>IF(Healthcare_Data[[#This Row],[Final_Bill]]&gt;=50000,"High",IF(Healthcare_Data[[#This Row],[Final_Bill]]&gt;=20000,"Medium","low"))</f>
        <v>Medium</v>
      </c>
    </row>
    <row r="885" spans="1:20" x14ac:dyDescent="0.3">
      <c r="A885" t="s">
        <v>940</v>
      </c>
      <c r="B885" s="3">
        <v>45978</v>
      </c>
      <c r="C885" t="s">
        <v>50</v>
      </c>
      <c r="D885" t="s">
        <v>39</v>
      </c>
      <c r="E885" t="s">
        <v>20</v>
      </c>
      <c r="F885" t="s">
        <v>21</v>
      </c>
      <c r="G885">
        <v>62</v>
      </c>
      <c r="H885" t="s">
        <v>41</v>
      </c>
      <c r="I885" t="s">
        <v>23</v>
      </c>
      <c r="J885" t="s">
        <v>24</v>
      </c>
      <c r="K885">
        <v>0</v>
      </c>
      <c r="L885" s="4">
        <v>6536</v>
      </c>
      <c r="M885">
        <v>0</v>
      </c>
      <c r="N885">
        <v>6536</v>
      </c>
      <c r="O885" t="s">
        <v>25</v>
      </c>
      <c r="P885">
        <v>3.6</v>
      </c>
      <c r="Q885">
        <v>47</v>
      </c>
      <c r="R885" t="str">
        <f>TEXT(Healthcare_Data[[#This Row],[Visit_Date]],"mmm")</f>
        <v>Nov</v>
      </c>
      <c r="S885">
        <f>MONTH(Healthcare_Data[[#This Row],[Visit_Date]])</f>
        <v>11</v>
      </c>
      <c r="T885" t="str">
        <f>IF(Healthcare_Data[[#This Row],[Final_Bill]]&gt;=50000,"High",IF(Healthcare_Data[[#This Row],[Final_Bill]]&gt;=20000,"Medium","low"))</f>
        <v>low</v>
      </c>
    </row>
    <row r="886" spans="1:20" x14ac:dyDescent="0.3">
      <c r="A886" t="s">
        <v>941</v>
      </c>
      <c r="B886" s="3">
        <v>45979</v>
      </c>
      <c r="C886" t="s">
        <v>67</v>
      </c>
      <c r="D886" t="s">
        <v>19</v>
      </c>
      <c r="E886" t="s">
        <v>20</v>
      </c>
      <c r="F886" t="s">
        <v>40</v>
      </c>
      <c r="G886">
        <v>52</v>
      </c>
      <c r="H886" t="s">
        <v>46</v>
      </c>
      <c r="I886" t="s">
        <v>42</v>
      </c>
      <c r="J886" t="s">
        <v>36</v>
      </c>
      <c r="K886">
        <v>0</v>
      </c>
      <c r="L886" s="4">
        <v>17358</v>
      </c>
      <c r="M886">
        <v>1500</v>
      </c>
      <c r="N886">
        <v>15858</v>
      </c>
      <c r="O886" t="s">
        <v>32</v>
      </c>
      <c r="P886">
        <v>4.2</v>
      </c>
      <c r="Q886">
        <v>104</v>
      </c>
      <c r="R886" t="str">
        <f>TEXT(Healthcare_Data[[#This Row],[Visit_Date]],"mmm")</f>
        <v>Nov</v>
      </c>
      <c r="S886">
        <f>MONTH(Healthcare_Data[[#This Row],[Visit_Date]])</f>
        <v>11</v>
      </c>
      <c r="T886" t="str">
        <f>IF(Healthcare_Data[[#This Row],[Final_Bill]]&gt;=50000,"High",IF(Healthcare_Data[[#This Row],[Final_Bill]]&gt;=20000,"Medium","low"))</f>
        <v>low</v>
      </c>
    </row>
    <row r="887" spans="1:20" x14ac:dyDescent="0.3">
      <c r="A887" t="s">
        <v>942</v>
      </c>
      <c r="B887" s="3">
        <v>45979</v>
      </c>
      <c r="C887" t="s">
        <v>27</v>
      </c>
      <c r="D887" t="s">
        <v>51</v>
      </c>
      <c r="E887" t="s">
        <v>20</v>
      </c>
      <c r="F887" t="s">
        <v>40</v>
      </c>
      <c r="G887">
        <v>43</v>
      </c>
      <c r="H887" t="s">
        <v>115</v>
      </c>
      <c r="I887" t="s">
        <v>63</v>
      </c>
      <c r="J887" t="s">
        <v>24</v>
      </c>
      <c r="K887">
        <v>0</v>
      </c>
      <c r="L887" s="4">
        <v>18445</v>
      </c>
      <c r="M887">
        <v>0</v>
      </c>
      <c r="N887">
        <v>18445</v>
      </c>
      <c r="O887" t="s">
        <v>25</v>
      </c>
      <c r="P887">
        <v>5</v>
      </c>
      <c r="Q887">
        <v>13</v>
      </c>
      <c r="R887" t="str">
        <f>TEXT(Healthcare_Data[[#This Row],[Visit_Date]],"mmm")</f>
        <v>Nov</v>
      </c>
      <c r="S887">
        <f>MONTH(Healthcare_Data[[#This Row],[Visit_Date]])</f>
        <v>11</v>
      </c>
      <c r="T887" t="str">
        <f>IF(Healthcare_Data[[#This Row],[Final_Bill]]&gt;=50000,"High",IF(Healthcare_Data[[#This Row],[Final_Bill]]&gt;=20000,"Medium","low"))</f>
        <v>low</v>
      </c>
    </row>
    <row r="888" spans="1:20" x14ac:dyDescent="0.3">
      <c r="A888" t="s">
        <v>943</v>
      </c>
      <c r="B888" s="3">
        <v>45980</v>
      </c>
      <c r="C888" t="s">
        <v>54</v>
      </c>
      <c r="D888" t="s">
        <v>39</v>
      </c>
      <c r="E888" t="s">
        <v>20</v>
      </c>
      <c r="F888" t="s">
        <v>40</v>
      </c>
      <c r="G888">
        <v>79</v>
      </c>
      <c r="H888" t="s">
        <v>35</v>
      </c>
      <c r="I888" t="s">
        <v>23</v>
      </c>
      <c r="J888" t="s">
        <v>24</v>
      </c>
      <c r="K888">
        <v>0</v>
      </c>
      <c r="L888" s="4">
        <v>19693</v>
      </c>
      <c r="M888">
        <v>500</v>
      </c>
      <c r="N888">
        <v>19193</v>
      </c>
      <c r="O888" t="s">
        <v>25</v>
      </c>
      <c r="P888">
        <v>4.5999999999999996</v>
      </c>
      <c r="Q888">
        <v>90</v>
      </c>
      <c r="R888" t="str">
        <f>TEXT(Healthcare_Data[[#This Row],[Visit_Date]],"mmm")</f>
        <v>Nov</v>
      </c>
      <c r="S888">
        <f>MONTH(Healthcare_Data[[#This Row],[Visit_Date]])</f>
        <v>11</v>
      </c>
      <c r="T888" t="str">
        <f>IF(Healthcare_Data[[#This Row],[Final_Bill]]&gt;=50000,"High",IF(Healthcare_Data[[#This Row],[Final_Bill]]&gt;=20000,"Medium","low"))</f>
        <v>low</v>
      </c>
    </row>
    <row r="889" spans="1:20" x14ac:dyDescent="0.3">
      <c r="A889" t="s">
        <v>944</v>
      </c>
      <c r="B889" s="3">
        <v>45980</v>
      </c>
      <c r="C889" t="s">
        <v>44</v>
      </c>
      <c r="D889" t="s">
        <v>39</v>
      </c>
      <c r="E889" t="s">
        <v>54</v>
      </c>
      <c r="F889" t="s">
        <v>40</v>
      </c>
      <c r="G889">
        <v>18</v>
      </c>
      <c r="H889" t="s">
        <v>41</v>
      </c>
      <c r="I889" t="s">
        <v>63</v>
      </c>
      <c r="J889" t="s">
        <v>31</v>
      </c>
      <c r="K889">
        <v>0</v>
      </c>
      <c r="L889" s="4">
        <v>10810</v>
      </c>
      <c r="M889">
        <v>0</v>
      </c>
      <c r="N889">
        <v>10810</v>
      </c>
      <c r="O889" t="s">
        <v>59</v>
      </c>
      <c r="P889">
        <v>3.7</v>
      </c>
      <c r="Q889">
        <v>104</v>
      </c>
      <c r="R889" t="str">
        <f>TEXT(Healthcare_Data[[#This Row],[Visit_Date]],"mmm")</f>
        <v>Nov</v>
      </c>
      <c r="S889">
        <f>MONTH(Healthcare_Data[[#This Row],[Visit_Date]])</f>
        <v>11</v>
      </c>
      <c r="T889" t="str">
        <f>IF(Healthcare_Data[[#This Row],[Final_Bill]]&gt;=50000,"High",IF(Healthcare_Data[[#This Row],[Final_Bill]]&gt;=20000,"Medium","low"))</f>
        <v>low</v>
      </c>
    </row>
    <row r="890" spans="1:20" x14ac:dyDescent="0.3">
      <c r="A890" t="s">
        <v>945</v>
      </c>
      <c r="B890" s="3">
        <v>45980</v>
      </c>
      <c r="C890" t="s">
        <v>38</v>
      </c>
      <c r="D890" t="s">
        <v>39</v>
      </c>
      <c r="E890" t="s">
        <v>52</v>
      </c>
      <c r="F890" t="s">
        <v>21</v>
      </c>
      <c r="G890">
        <v>62</v>
      </c>
      <c r="H890" t="s">
        <v>41</v>
      </c>
      <c r="I890" t="s">
        <v>30</v>
      </c>
      <c r="J890" t="s">
        <v>24</v>
      </c>
      <c r="K890">
        <v>13</v>
      </c>
      <c r="L890" s="4">
        <v>63774</v>
      </c>
      <c r="M890">
        <v>1000</v>
      </c>
      <c r="N890">
        <v>62774</v>
      </c>
      <c r="O890" t="s">
        <v>32</v>
      </c>
      <c r="P890">
        <v>3.5</v>
      </c>
      <c r="Q890">
        <v>10</v>
      </c>
      <c r="R890" t="str">
        <f>TEXT(Healthcare_Data[[#This Row],[Visit_Date]],"mmm")</f>
        <v>Nov</v>
      </c>
      <c r="S890">
        <f>MONTH(Healthcare_Data[[#This Row],[Visit_Date]])</f>
        <v>11</v>
      </c>
      <c r="T890" t="str">
        <f>IF(Healthcare_Data[[#This Row],[Final_Bill]]&gt;=50000,"High",IF(Healthcare_Data[[#This Row],[Final_Bill]]&gt;=20000,"Medium","low"))</f>
        <v>High</v>
      </c>
    </row>
    <row r="891" spans="1:20" x14ac:dyDescent="0.3">
      <c r="A891" t="s">
        <v>946</v>
      </c>
      <c r="B891" s="3">
        <v>45981</v>
      </c>
      <c r="C891" t="s">
        <v>44</v>
      </c>
      <c r="D891" t="s">
        <v>19</v>
      </c>
      <c r="E891" t="s">
        <v>20</v>
      </c>
      <c r="F891" t="s">
        <v>40</v>
      </c>
      <c r="G891">
        <v>78</v>
      </c>
      <c r="H891" t="s">
        <v>115</v>
      </c>
      <c r="I891" t="s">
        <v>61</v>
      </c>
      <c r="J891" t="s">
        <v>24</v>
      </c>
      <c r="K891">
        <v>0</v>
      </c>
      <c r="L891" s="4">
        <v>15774</v>
      </c>
      <c r="M891">
        <v>0</v>
      </c>
      <c r="N891">
        <v>15774</v>
      </c>
      <c r="O891" t="s">
        <v>25</v>
      </c>
      <c r="P891">
        <v>3.4</v>
      </c>
      <c r="Q891">
        <v>52</v>
      </c>
      <c r="R891" t="str">
        <f>TEXT(Healthcare_Data[[#This Row],[Visit_Date]],"mmm")</f>
        <v>Nov</v>
      </c>
      <c r="S891">
        <f>MONTH(Healthcare_Data[[#This Row],[Visit_Date]])</f>
        <v>11</v>
      </c>
      <c r="T891" t="str">
        <f>IF(Healthcare_Data[[#This Row],[Final_Bill]]&gt;=50000,"High",IF(Healthcare_Data[[#This Row],[Final_Bill]]&gt;=20000,"Medium","low"))</f>
        <v>low</v>
      </c>
    </row>
    <row r="892" spans="1:20" x14ac:dyDescent="0.3">
      <c r="A892" t="s">
        <v>947</v>
      </c>
      <c r="B892" s="3">
        <v>45981</v>
      </c>
      <c r="C892" t="s">
        <v>48</v>
      </c>
      <c r="D892" t="s">
        <v>28</v>
      </c>
      <c r="E892" t="s">
        <v>20</v>
      </c>
      <c r="F892" t="s">
        <v>21</v>
      </c>
      <c r="G892">
        <v>39</v>
      </c>
      <c r="H892" t="s">
        <v>29</v>
      </c>
      <c r="I892" t="s">
        <v>61</v>
      </c>
      <c r="J892" t="s">
        <v>36</v>
      </c>
      <c r="K892">
        <v>0</v>
      </c>
      <c r="L892" s="4">
        <v>15165</v>
      </c>
      <c r="M892">
        <v>0</v>
      </c>
      <c r="N892">
        <v>15165</v>
      </c>
      <c r="O892" t="s">
        <v>25</v>
      </c>
      <c r="P892">
        <v>4</v>
      </c>
      <c r="Q892">
        <v>38</v>
      </c>
      <c r="R892" t="str">
        <f>TEXT(Healthcare_Data[[#This Row],[Visit_Date]],"mmm")</f>
        <v>Nov</v>
      </c>
      <c r="S892">
        <f>MONTH(Healthcare_Data[[#This Row],[Visit_Date]])</f>
        <v>11</v>
      </c>
      <c r="T892" t="str">
        <f>IF(Healthcare_Data[[#This Row],[Final_Bill]]&gt;=50000,"High",IF(Healthcare_Data[[#This Row],[Final_Bill]]&gt;=20000,"Medium","low"))</f>
        <v>low</v>
      </c>
    </row>
    <row r="893" spans="1:20" x14ac:dyDescent="0.3">
      <c r="A893" t="s">
        <v>948</v>
      </c>
      <c r="B893" s="3">
        <v>45982</v>
      </c>
      <c r="C893" t="s">
        <v>48</v>
      </c>
      <c r="D893" t="s">
        <v>34</v>
      </c>
      <c r="E893" t="s">
        <v>52</v>
      </c>
      <c r="F893" t="s">
        <v>40</v>
      </c>
      <c r="G893">
        <v>20</v>
      </c>
      <c r="H893" t="s">
        <v>41</v>
      </c>
      <c r="I893" t="s">
        <v>61</v>
      </c>
      <c r="J893" t="s">
        <v>58</v>
      </c>
      <c r="K893">
        <v>4</v>
      </c>
      <c r="L893" s="4">
        <v>48536</v>
      </c>
      <c r="M893">
        <v>0</v>
      </c>
      <c r="N893">
        <v>48536</v>
      </c>
      <c r="O893" t="s">
        <v>25</v>
      </c>
      <c r="P893">
        <v>4.4000000000000004</v>
      </c>
      <c r="Q893">
        <v>99</v>
      </c>
      <c r="R893" t="str">
        <f>TEXT(Healthcare_Data[[#This Row],[Visit_Date]],"mmm")</f>
        <v>Nov</v>
      </c>
      <c r="S893">
        <f>MONTH(Healthcare_Data[[#This Row],[Visit_Date]])</f>
        <v>11</v>
      </c>
      <c r="T893" t="str">
        <f>IF(Healthcare_Data[[#This Row],[Final_Bill]]&gt;=50000,"High",IF(Healthcare_Data[[#This Row],[Final_Bill]]&gt;=20000,"Medium","low"))</f>
        <v>Medium</v>
      </c>
    </row>
    <row r="894" spans="1:20" x14ac:dyDescent="0.3">
      <c r="A894" t="s">
        <v>949</v>
      </c>
      <c r="B894" s="3">
        <v>45982</v>
      </c>
      <c r="C894" t="s">
        <v>27</v>
      </c>
      <c r="D894" t="s">
        <v>34</v>
      </c>
      <c r="E894" t="s">
        <v>20</v>
      </c>
      <c r="F894" t="s">
        <v>40</v>
      </c>
      <c r="G894">
        <v>70</v>
      </c>
      <c r="H894" t="s">
        <v>35</v>
      </c>
      <c r="I894" t="s">
        <v>72</v>
      </c>
      <c r="J894" t="s">
        <v>58</v>
      </c>
      <c r="K894">
        <v>0</v>
      </c>
      <c r="L894" s="4">
        <v>14888</v>
      </c>
      <c r="M894">
        <v>2000</v>
      </c>
      <c r="N894">
        <v>12888</v>
      </c>
      <c r="O894" t="s">
        <v>25</v>
      </c>
      <c r="P894">
        <v>2.7</v>
      </c>
      <c r="Q894">
        <v>70</v>
      </c>
      <c r="R894" t="str">
        <f>TEXT(Healthcare_Data[[#This Row],[Visit_Date]],"mmm")</f>
        <v>Nov</v>
      </c>
      <c r="S894">
        <f>MONTH(Healthcare_Data[[#This Row],[Visit_Date]])</f>
        <v>11</v>
      </c>
      <c r="T894" t="str">
        <f>IF(Healthcare_Data[[#This Row],[Final_Bill]]&gt;=50000,"High",IF(Healthcare_Data[[#This Row],[Final_Bill]]&gt;=20000,"Medium","low"))</f>
        <v>low</v>
      </c>
    </row>
    <row r="895" spans="1:20" x14ac:dyDescent="0.3">
      <c r="A895" t="s">
        <v>950</v>
      </c>
      <c r="B895" s="3">
        <v>45982</v>
      </c>
      <c r="C895" t="s">
        <v>27</v>
      </c>
      <c r="D895" t="s">
        <v>51</v>
      </c>
      <c r="E895" t="s">
        <v>20</v>
      </c>
      <c r="F895" t="s">
        <v>21</v>
      </c>
      <c r="G895">
        <v>79</v>
      </c>
      <c r="H895" t="s">
        <v>35</v>
      </c>
      <c r="I895" t="s">
        <v>57</v>
      </c>
      <c r="J895" t="s">
        <v>24</v>
      </c>
      <c r="K895">
        <v>0</v>
      </c>
      <c r="L895" s="4">
        <v>18148</v>
      </c>
      <c r="M895">
        <v>1500</v>
      </c>
      <c r="N895">
        <v>16648</v>
      </c>
      <c r="O895" t="s">
        <v>25</v>
      </c>
      <c r="P895">
        <v>3.2</v>
      </c>
      <c r="Q895">
        <v>100</v>
      </c>
      <c r="R895" t="str">
        <f>TEXT(Healthcare_Data[[#This Row],[Visit_Date]],"mmm")</f>
        <v>Nov</v>
      </c>
      <c r="S895">
        <f>MONTH(Healthcare_Data[[#This Row],[Visit_Date]])</f>
        <v>11</v>
      </c>
      <c r="T895" t="str">
        <f>IF(Healthcare_Data[[#This Row],[Final_Bill]]&gt;=50000,"High",IF(Healthcare_Data[[#This Row],[Final_Bill]]&gt;=20000,"Medium","low"))</f>
        <v>low</v>
      </c>
    </row>
    <row r="896" spans="1:20" x14ac:dyDescent="0.3">
      <c r="A896" t="s">
        <v>951</v>
      </c>
      <c r="B896" s="3">
        <v>45983</v>
      </c>
      <c r="C896" t="s">
        <v>54</v>
      </c>
      <c r="D896" t="s">
        <v>34</v>
      </c>
      <c r="E896" t="s">
        <v>20</v>
      </c>
      <c r="F896" t="s">
        <v>40</v>
      </c>
      <c r="G896">
        <v>69</v>
      </c>
      <c r="H896" t="s">
        <v>29</v>
      </c>
      <c r="I896" t="s">
        <v>42</v>
      </c>
      <c r="J896" t="s">
        <v>24</v>
      </c>
      <c r="K896">
        <v>0</v>
      </c>
      <c r="L896" s="4">
        <v>13794</v>
      </c>
      <c r="M896">
        <v>1500</v>
      </c>
      <c r="N896">
        <v>12294</v>
      </c>
      <c r="O896" t="s">
        <v>59</v>
      </c>
      <c r="P896">
        <v>4.5</v>
      </c>
      <c r="Q896">
        <v>72</v>
      </c>
      <c r="R896" t="str">
        <f>TEXT(Healthcare_Data[[#This Row],[Visit_Date]],"mmm")</f>
        <v>Nov</v>
      </c>
      <c r="S896">
        <f>MONTH(Healthcare_Data[[#This Row],[Visit_Date]])</f>
        <v>11</v>
      </c>
      <c r="T896" t="str">
        <f>IF(Healthcare_Data[[#This Row],[Final_Bill]]&gt;=50000,"High",IF(Healthcare_Data[[#This Row],[Final_Bill]]&gt;=20000,"Medium","low"))</f>
        <v>low</v>
      </c>
    </row>
    <row r="897" spans="1:20" x14ac:dyDescent="0.3">
      <c r="A897" t="s">
        <v>952</v>
      </c>
      <c r="B897" s="3">
        <v>45983</v>
      </c>
      <c r="C897" t="s">
        <v>27</v>
      </c>
      <c r="D897" t="s">
        <v>51</v>
      </c>
      <c r="E897" t="s">
        <v>20</v>
      </c>
      <c r="F897" t="s">
        <v>40</v>
      </c>
      <c r="G897">
        <v>20</v>
      </c>
      <c r="H897" t="s">
        <v>65</v>
      </c>
      <c r="I897" t="s">
        <v>72</v>
      </c>
      <c r="J897" t="s">
        <v>36</v>
      </c>
      <c r="K897">
        <v>0</v>
      </c>
      <c r="L897" s="4">
        <v>2374</v>
      </c>
      <c r="M897">
        <v>1000</v>
      </c>
      <c r="N897">
        <v>1374</v>
      </c>
      <c r="O897" t="s">
        <v>25</v>
      </c>
      <c r="P897">
        <v>4.7</v>
      </c>
      <c r="Q897">
        <v>119</v>
      </c>
      <c r="R897" t="str">
        <f>TEXT(Healthcare_Data[[#This Row],[Visit_Date]],"mmm")</f>
        <v>Nov</v>
      </c>
      <c r="S897">
        <f>MONTH(Healthcare_Data[[#This Row],[Visit_Date]])</f>
        <v>11</v>
      </c>
      <c r="T897" t="str">
        <f>IF(Healthcare_Data[[#This Row],[Final_Bill]]&gt;=50000,"High",IF(Healthcare_Data[[#This Row],[Final_Bill]]&gt;=20000,"Medium","low"))</f>
        <v>low</v>
      </c>
    </row>
    <row r="898" spans="1:20" x14ac:dyDescent="0.3">
      <c r="A898" t="s">
        <v>953</v>
      </c>
      <c r="B898" s="3">
        <v>45983</v>
      </c>
      <c r="C898" t="s">
        <v>67</v>
      </c>
      <c r="D898" t="s">
        <v>51</v>
      </c>
      <c r="E898" t="s">
        <v>20</v>
      </c>
      <c r="F898" t="s">
        <v>40</v>
      </c>
      <c r="G898">
        <v>29</v>
      </c>
      <c r="H898" t="s">
        <v>115</v>
      </c>
      <c r="I898" t="s">
        <v>57</v>
      </c>
      <c r="J898" t="s">
        <v>24</v>
      </c>
      <c r="K898">
        <v>0</v>
      </c>
      <c r="L898" s="4">
        <v>15251</v>
      </c>
      <c r="M898">
        <v>0</v>
      </c>
      <c r="N898">
        <v>15251</v>
      </c>
      <c r="O898" t="s">
        <v>59</v>
      </c>
      <c r="P898">
        <v>3.4</v>
      </c>
      <c r="Q898">
        <v>37</v>
      </c>
      <c r="R898" t="str">
        <f>TEXT(Healthcare_Data[[#This Row],[Visit_Date]],"mmm")</f>
        <v>Nov</v>
      </c>
      <c r="S898">
        <f>MONTH(Healthcare_Data[[#This Row],[Visit_Date]])</f>
        <v>11</v>
      </c>
      <c r="T898" t="str">
        <f>IF(Healthcare_Data[[#This Row],[Final_Bill]]&gt;=50000,"High",IF(Healthcare_Data[[#This Row],[Final_Bill]]&gt;=20000,"Medium","low"))</f>
        <v>low</v>
      </c>
    </row>
    <row r="899" spans="1:20" x14ac:dyDescent="0.3">
      <c r="A899" t="s">
        <v>954</v>
      </c>
      <c r="B899" s="3">
        <v>45983</v>
      </c>
      <c r="C899" t="s">
        <v>67</v>
      </c>
      <c r="D899" t="s">
        <v>34</v>
      </c>
      <c r="E899" t="s">
        <v>20</v>
      </c>
      <c r="F899" t="s">
        <v>21</v>
      </c>
      <c r="G899">
        <v>73</v>
      </c>
      <c r="H899" t="s">
        <v>22</v>
      </c>
      <c r="I899" t="s">
        <v>63</v>
      </c>
      <c r="J899" t="s">
        <v>24</v>
      </c>
      <c r="K899">
        <v>0</v>
      </c>
      <c r="L899" s="4">
        <v>9828</v>
      </c>
      <c r="M899">
        <v>0</v>
      </c>
      <c r="N899">
        <v>9828</v>
      </c>
      <c r="O899" t="s">
        <v>25</v>
      </c>
      <c r="P899">
        <v>3.8</v>
      </c>
      <c r="Q899">
        <v>50</v>
      </c>
      <c r="R899" t="str">
        <f>TEXT(Healthcare_Data[[#This Row],[Visit_Date]],"mmm")</f>
        <v>Nov</v>
      </c>
      <c r="S899">
        <f>MONTH(Healthcare_Data[[#This Row],[Visit_Date]])</f>
        <v>11</v>
      </c>
      <c r="T899" t="str">
        <f>IF(Healthcare_Data[[#This Row],[Final_Bill]]&gt;=50000,"High",IF(Healthcare_Data[[#This Row],[Final_Bill]]&gt;=20000,"Medium","low"))</f>
        <v>low</v>
      </c>
    </row>
    <row r="900" spans="1:20" x14ac:dyDescent="0.3">
      <c r="A900" t="s">
        <v>955</v>
      </c>
      <c r="B900" s="3">
        <v>45984</v>
      </c>
      <c r="C900" t="s">
        <v>18</v>
      </c>
      <c r="D900" t="s">
        <v>19</v>
      </c>
      <c r="E900" t="s">
        <v>20</v>
      </c>
      <c r="F900" t="s">
        <v>40</v>
      </c>
      <c r="G900">
        <v>55</v>
      </c>
      <c r="H900" t="s">
        <v>115</v>
      </c>
      <c r="I900" t="s">
        <v>23</v>
      </c>
      <c r="J900" t="s">
        <v>31</v>
      </c>
      <c r="K900">
        <v>0</v>
      </c>
      <c r="L900" s="4">
        <v>9752</v>
      </c>
      <c r="M900">
        <v>0</v>
      </c>
      <c r="N900">
        <v>9752</v>
      </c>
      <c r="O900" t="s">
        <v>25</v>
      </c>
      <c r="P900">
        <v>3.1</v>
      </c>
      <c r="Q900">
        <v>37</v>
      </c>
      <c r="R900" t="str">
        <f>TEXT(Healthcare_Data[[#This Row],[Visit_Date]],"mmm")</f>
        <v>Nov</v>
      </c>
      <c r="S900">
        <f>MONTH(Healthcare_Data[[#This Row],[Visit_Date]])</f>
        <v>11</v>
      </c>
      <c r="T900" t="str">
        <f>IF(Healthcare_Data[[#This Row],[Final_Bill]]&gt;=50000,"High",IF(Healthcare_Data[[#This Row],[Final_Bill]]&gt;=20000,"Medium","low"))</f>
        <v>low</v>
      </c>
    </row>
    <row r="901" spans="1:20" x14ac:dyDescent="0.3">
      <c r="A901" t="s">
        <v>956</v>
      </c>
      <c r="B901" s="3">
        <v>45984</v>
      </c>
      <c r="C901" t="s">
        <v>48</v>
      </c>
      <c r="D901" t="s">
        <v>51</v>
      </c>
      <c r="E901" t="s">
        <v>52</v>
      </c>
      <c r="F901" t="s">
        <v>21</v>
      </c>
      <c r="G901">
        <v>72</v>
      </c>
      <c r="H901" t="s">
        <v>29</v>
      </c>
      <c r="I901" t="s">
        <v>69</v>
      </c>
      <c r="J901" t="s">
        <v>31</v>
      </c>
      <c r="K901">
        <v>13</v>
      </c>
      <c r="L901" s="4">
        <v>19979</v>
      </c>
      <c r="M901">
        <v>1000</v>
      </c>
      <c r="N901">
        <v>18979</v>
      </c>
      <c r="O901" t="s">
        <v>25</v>
      </c>
      <c r="P901">
        <v>3.4</v>
      </c>
      <c r="Q901">
        <v>52</v>
      </c>
      <c r="R901" t="str">
        <f>TEXT(Healthcare_Data[[#This Row],[Visit_Date]],"mmm")</f>
        <v>Nov</v>
      </c>
      <c r="S901">
        <f>MONTH(Healthcare_Data[[#This Row],[Visit_Date]])</f>
        <v>11</v>
      </c>
      <c r="T901" t="str">
        <f>IF(Healthcare_Data[[#This Row],[Final_Bill]]&gt;=50000,"High",IF(Healthcare_Data[[#This Row],[Final_Bill]]&gt;=20000,"Medium","low"))</f>
        <v>low</v>
      </c>
    </row>
    <row r="902" spans="1:20" x14ac:dyDescent="0.3">
      <c r="A902" t="s">
        <v>957</v>
      </c>
      <c r="B902" s="3">
        <v>45984</v>
      </c>
      <c r="C902" t="s">
        <v>38</v>
      </c>
      <c r="D902" t="s">
        <v>34</v>
      </c>
      <c r="E902" t="s">
        <v>20</v>
      </c>
      <c r="F902" t="s">
        <v>21</v>
      </c>
      <c r="G902">
        <v>34</v>
      </c>
      <c r="H902" t="s">
        <v>22</v>
      </c>
      <c r="I902" t="s">
        <v>23</v>
      </c>
      <c r="J902" t="s">
        <v>24</v>
      </c>
      <c r="K902">
        <v>0</v>
      </c>
      <c r="L902" s="4">
        <v>7256</v>
      </c>
      <c r="M902">
        <v>1500</v>
      </c>
      <c r="N902">
        <v>5756</v>
      </c>
      <c r="O902" t="s">
        <v>25</v>
      </c>
      <c r="P902">
        <v>2.8</v>
      </c>
      <c r="Q902">
        <v>95</v>
      </c>
      <c r="R902" t="str">
        <f>TEXT(Healthcare_Data[[#This Row],[Visit_Date]],"mmm")</f>
        <v>Nov</v>
      </c>
      <c r="S902">
        <f>MONTH(Healthcare_Data[[#This Row],[Visit_Date]])</f>
        <v>11</v>
      </c>
      <c r="T902" t="str">
        <f>IF(Healthcare_Data[[#This Row],[Final_Bill]]&gt;=50000,"High",IF(Healthcare_Data[[#This Row],[Final_Bill]]&gt;=20000,"Medium","low"))</f>
        <v>low</v>
      </c>
    </row>
    <row r="903" spans="1:20" x14ac:dyDescent="0.3">
      <c r="A903" t="s">
        <v>958</v>
      </c>
      <c r="B903" s="3">
        <v>45985</v>
      </c>
      <c r="C903" t="s">
        <v>67</v>
      </c>
      <c r="D903" t="s">
        <v>28</v>
      </c>
      <c r="E903" t="s">
        <v>52</v>
      </c>
      <c r="F903" t="s">
        <v>21</v>
      </c>
      <c r="G903">
        <v>55</v>
      </c>
      <c r="H903" t="s">
        <v>115</v>
      </c>
      <c r="I903" t="s">
        <v>72</v>
      </c>
      <c r="J903" t="s">
        <v>31</v>
      </c>
      <c r="K903">
        <v>4</v>
      </c>
      <c r="L903" s="4">
        <v>59358</v>
      </c>
      <c r="M903">
        <v>0</v>
      </c>
      <c r="N903">
        <v>59358</v>
      </c>
      <c r="O903" t="s">
        <v>25</v>
      </c>
      <c r="P903">
        <v>4.5999999999999996</v>
      </c>
      <c r="Q903">
        <v>21</v>
      </c>
      <c r="R903" t="str">
        <f>TEXT(Healthcare_Data[[#This Row],[Visit_Date]],"mmm")</f>
        <v>Nov</v>
      </c>
      <c r="S903">
        <f>MONTH(Healthcare_Data[[#This Row],[Visit_Date]])</f>
        <v>11</v>
      </c>
      <c r="T903" t="str">
        <f>IF(Healthcare_Data[[#This Row],[Final_Bill]]&gt;=50000,"High",IF(Healthcare_Data[[#This Row],[Final_Bill]]&gt;=20000,"Medium","low"))</f>
        <v>High</v>
      </c>
    </row>
    <row r="904" spans="1:20" x14ac:dyDescent="0.3">
      <c r="A904" t="s">
        <v>959</v>
      </c>
      <c r="B904" s="3">
        <v>45986</v>
      </c>
      <c r="C904" t="s">
        <v>54</v>
      </c>
      <c r="D904" t="s">
        <v>39</v>
      </c>
      <c r="E904" t="s">
        <v>20</v>
      </c>
      <c r="F904" t="s">
        <v>21</v>
      </c>
      <c r="G904">
        <v>28</v>
      </c>
      <c r="H904" t="s">
        <v>29</v>
      </c>
      <c r="I904" t="s">
        <v>61</v>
      </c>
      <c r="J904" t="s">
        <v>24</v>
      </c>
      <c r="K904">
        <v>0</v>
      </c>
      <c r="L904" s="4">
        <v>17622</v>
      </c>
      <c r="M904">
        <v>0</v>
      </c>
      <c r="N904">
        <v>17622</v>
      </c>
      <c r="O904" t="s">
        <v>25</v>
      </c>
      <c r="P904">
        <v>4.9000000000000004</v>
      </c>
      <c r="Q904">
        <v>74</v>
      </c>
      <c r="R904" t="str">
        <f>TEXT(Healthcare_Data[[#This Row],[Visit_Date]],"mmm")</f>
        <v>Nov</v>
      </c>
      <c r="S904">
        <f>MONTH(Healthcare_Data[[#This Row],[Visit_Date]])</f>
        <v>11</v>
      </c>
      <c r="T904" t="str">
        <f>IF(Healthcare_Data[[#This Row],[Final_Bill]]&gt;=50000,"High",IF(Healthcare_Data[[#This Row],[Final_Bill]]&gt;=20000,"Medium","low"))</f>
        <v>low</v>
      </c>
    </row>
    <row r="905" spans="1:20" x14ac:dyDescent="0.3">
      <c r="A905" t="s">
        <v>960</v>
      </c>
      <c r="B905" s="3">
        <v>45987</v>
      </c>
      <c r="C905" t="s">
        <v>67</v>
      </c>
      <c r="D905" t="s">
        <v>39</v>
      </c>
      <c r="E905" t="s">
        <v>20</v>
      </c>
      <c r="F905" t="s">
        <v>21</v>
      </c>
      <c r="G905">
        <v>26</v>
      </c>
      <c r="H905" t="s">
        <v>56</v>
      </c>
      <c r="I905" t="s">
        <v>72</v>
      </c>
      <c r="J905" t="s">
        <v>1057</v>
      </c>
      <c r="K905">
        <v>0</v>
      </c>
      <c r="L905" s="4">
        <v>15397</v>
      </c>
      <c r="M905">
        <v>500</v>
      </c>
      <c r="N905">
        <v>14897</v>
      </c>
      <c r="O905" t="s">
        <v>25</v>
      </c>
      <c r="P905">
        <v>4.7</v>
      </c>
      <c r="Q905">
        <v>18</v>
      </c>
      <c r="R905" t="str">
        <f>TEXT(Healthcare_Data[[#This Row],[Visit_Date]],"mmm")</f>
        <v>Nov</v>
      </c>
      <c r="S905">
        <f>MONTH(Healthcare_Data[[#This Row],[Visit_Date]])</f>
        <v>11</v>
      </c>
      <c r="T905" t="str">
        <f>IF(Healthcare_Data[[#This Row],[Final_Bill]]&gt;=50000,"High",IF(Healthcare_Data[[#This Row],[Final_Bill]]&gt;=20000,"Medium","low"))</f>
        <v>low</v>
      </c>
    </row>
    <row r="906" spans="1:20" x14ac:dyDescent="0.3">
      <c r="A906" t="s">
        <v>961</v>
      </c>
      <c r="B906" s="3">
        <v>45987</v>
      </c>
      <c r="C906" t="s">
        <v>67</v>
      </c>
      <c r="D906" t="s">
        <v>51</v>
      </c>
      <c r="E906" t="s">
        <v>20</v>
      </c>
      <c r="F906" t="s">
        <v>40</v>
      </c>
      <c r="G906">
        <v>43</v>
      </c>
      <c r="H906" t="s">
        <v>22</v>
      </c>
      <c r="I906" t="s">
        <v>23</v>
      </c>
      <c r="J906" t="s">
        <v>36</v>
      </c>
      <c r="K906">
        <v>0</v>
      </c>
      <c r="L906" s="4">
        <v>9131</v>
      </c>
      <c r="M906">
        <v>0</v>
      </c>
      <c r="N906">
        <v>9131</v>
      </c>
      <c r="O906" t="s">
        <v>25</v>
      </c>
      <c r="P906">
        <v>3.4</v>
      </c>
      <c r="Q906">
        <v>67</v>
      </c>
      <c r="R906" t="str">
        <f>TEXT(Healthcare_Data[[#This Row],[Visit_Date]],"mmm")</f>
        <v>Nov</v>
      </c>
      <c r="S906">
        <f>MONTH(Healthcare_Data[[#This Row],[Visit_Date]])</f>
        <v>11</v>
      </c>
      <c r="T906" t="str">
        <f>IF(Healthcare_Data[[#This Row],[Final_Bill]]&gt;=50000,"High",IF(Healthcare_Data[[#This Row],[Final_Bill]]&gt;=20000,"Medium","low"))</f>
        <v>low</v>
      </c>
    </row>
    <row r="907" spans="1:20" x14ac:dyDescent="0.3">
      <c r="A907" t="s">
        <v>962</v>
      </c>
      <c r="B907" s="3">
        <v>45987</v>
      </c>
      <c r="C907" t="s">
        <v>18</v>
      </c>
      <c r="D907" t="s">
        <v>19</v>
      </c>
      <c r="E907" t="s">
        <v>52</v>
      </c>
      <c r="F907" t="s">
        <v>21</v>
      </c>
      <c r="G907">
        <v>19</v>
      </c>
      <c r="H907" t="s">
        <v>35</v>
      </c>
      <c r="I907" t="s">
        <v>30</v>
      </c>
      <c r="J907" t="s">
        <v>31</v>
      </c>
      <c r="K907">
        <v>2</v>
      </c>
      <c r="L907" s="4">
        <v>52122</v>
      </c>
      <c r="M907">
        <v>0</v>
      </c>
      <c r="N907">
        <v>52122</v>
      </c>
      <c r="O907" t="s">
        <v>25</v>
      </c>
      <c r="P907">
        <v>4.5999999999999996</v>
      </c>
      <c r="Q907">
        <v>11</v>
      </c>
      <c r="R907" t="str">
        <f>TEXT(Healthcare_Data[[#This Row],[Visit_Date]],"mmm")</f>
        <v>Nov</v>
      </c>
      <c r="S907">
        <f>MONTH(Healthcare_Data[[#This Row],[Visit_Date]])</f>
        <v>11</v>
      </c>
      <c r="T907" t="str">
        <f>IF(Healthcare_Data[[#This Row],[Final_Bill]]&gt;=50000,"High",IF(Healthcare_Data[[#This Row],[Final_Bill]]&gt;=20000,"Medium","low"))</f>
        <v>High</v>
      </c>
    </row>
    <row r="908" spans="1:20" x14ac:dyDescent="0.3">
      <c r="A908" t="s">
        <v>963</v>
      </c>
      <c r="B908" s="3">
        <v>45988</v>
      </c>
      <c r="C908" t="s">
        <v>38</v>
      </c>
      <c r="D908" t="s">
        <v>28</v>
      </c>
      <c r="E908" t="s">
        <v>54</v>
      </c>
      <c r="F908" t="s">
        <v>40</v>
      </c>
      <c r="G908">
        <v>44</v>
      </c>
      <c r="H908" t="s">
        <v>29</v>
      </c>
      <c r="I908" t="s">
        <v>30</v>
      </c>
      <c r="J908" t="s">
        <v>24</v>
      </c>
      <c r="K908">
        <v>0</v>
      </c>
      <c r="L908" s="4">
        <v>18514</v>
      </c>
      <c r="M908">
        <v>0</v>
      </c>
      <c r="N908">
        <v>18514</v>
      </c>
      <c r="O908" t="s">
        <v>25</v>
      </c>
      <c r="P908">
        <v>3.9</v>
      </c>
      <c r="Q908">
        <v>17</v>
      </c>
      <c r="R908" t="str">
        <f>TEXT(Healthcare_Data[[#This Row],[Visit_Date]],"mmm")</f>
        <v>Nov</v>
      </c>
      <c r="S908">
        <f>MONTH(Healthcare_Data[[#This Row],[Visit_Date]])</f>
        <v>11</v>
      </c>
      <c r="T908" t="str">
        <f>IF(Healthcare_Data[[#This Row],[Final_Bill]]&gt;=50000,"High",IF(Healthcare_Data[[#This Row],[Final_Bill]]&gt;=20000,"Medium","low"))</f>
        <v>low</v>
      </c>
    </row>
    <row r="909" spans="1:20" x14ac:dyDescent="0.3">
      <c r="A909" t="s">
        <v>964</v>
      </c>
      <c r="B909" s="3">
        <v>45988</v>
      </c>
      <c r="C909" t="s">
        <v>18</v>
      </c>
      <c r="D909" t="s">
        <v>39</v>
      </c>
      <c r="E909" t="s">
        <v>20</v>
      </c>
      <c r="F909" t="s">
        <v>40</v>
      </c>
      <c r="G909">
        <v>57</v>
      </c>
      <c r="H909" t="s">
        <v>29</v>
      </c>
      <c r="I909" t="s">
        <v>61</v>
      </c>
      <c r="J909" t="s">
        <v>24</v>
      </c>
      <c r="K909">
        <v>0</v>
      </c>
      <c r="L909" s="4">
        <v>5310</v>
      </c>
      <c r="M909">
        <v>0</v>
      </c>
      <c r="N909">
        <v>5310</v>
      </c>
      <c r="O909" t="s">
        <v>25</v>
      </c>
      <c r="P909">
        <v>4.3</v>
      </c>
      <c r="Q909">
        <v>35</v>
      </c>
      <c r="R909" t="str">
        <f>TEXT(Healthcare_Data[[#This Row],[Visit_Date]],"mmm")</f>
        <v>Nov</v>
      </c>
      <c r="S909">
        <f>MONTH(Healthcare_Data[[#This Row],[Visit_Date]])</f>
        <v>11</v>
      </c>
      <c r="T909" t="str">
        <f>IF(Healthcare_Data[[#This Row],[Final_Bill]]&gt;=50000,"High",IF(Healthcare_Data[[#This Row],[Final_Bill]]&gt;=20000,"Medium","low"))</f>
        <v>low</v>
      </c>
    </row>
    <row r="910" spans="1:20" x14ac:dyDescent="0.3">
      <c r="A910" t="s">
        <v>965</v>
      </c>
      <c r="B910" s="3">
        <v>45988</v>
      </c>
      <c r="C910" t="s">
        <v>54</v>
      </c>
      <c r="D910" t="s">
        <v>51</v>
      </c>
      <c r="E910" t="s">
        <v>20</v>
      </c>
      <c r="F910" t="s">
        <v>40</v>
      </c>
      <c r="G910">
        <v>43</v>
      </c>
      <c r="H910" t="s">
        <v>29</v>
      </c>
      <c r="I910" t="s">
        <v>63</v>
      </c>
      <c r="J910" t="s">
        <v>24</v>
      </c>
      <c r="K910">
        <v>0</v>
      </c>
      <c r="L910" s="4">
        <v>18424</v>
      </c>
      <c r="M910">
        <v>2000</v>
      </c>
      <c r="N910">
        <v>16424</v>
      </c>
      <c r="O910" t="s">
        <v>32</v>
      </c>
      <c r="P910">
        <v>3.3</v>
      </c>
      <c r="Q910">
        <v>90</v>
      </c>
      <c r="R910" t="str">
        <f>TEXT(Healthcare_Data[[#This Row],[Visit_Date]],"mmm")</f>
        <v>Nov</v>
      </c>
      <c r="S910">
        <f>MONTH(Healthcare_Data[[#This Row],[Visit_Date]])</f>
        <v>11</v>
      </c>
      <c r="T910" t="str">
        <f>IF(Healthcare_Data[[#This Row],[Final_Bill]]&gt;=50000,"High",IF(Healthcare_Data[[#This Row],[Final_Bill]]&gt;=20000,"Medium","low"))</f>
        <v>low</v>
      </c>
    </row>
    <row r="911" spans="1:20" x14ac:dyDescent="0.3">
      <c r="A911" t="s">
        <v>966</v>
      </c>
      <c r="B911" s="3">
        <v>45988</v>
      </c>
      <c r="C911" t="s">
        <v>44</v>
      </c>
      <c r="D911" t="s">
        <v>34</v>
      </c>
      <c r="E911" t="s">
        <v>52</v>
      </c>
      <c r="F911" t="s">
        <v>40</v>
      </c>
      <c r="G911">
        <v>36</v>
      </c>
      <c r="H911" t="s">
        <v>22</v>
      </c>
      <c r="I911" t="s">
        <v>30</v>
      </c>
      <c r="J911" t="s">
        <v>24</v>
      </c>
      <c r="K911">
        <v>8</v>
      </c>
      <c r="L911" s="4">
        <v>31105</v>
      </c>
      <c r="M911">
        <v>1000</v>
      </c>
      <c r="N911">
        <v>30105</v>
      </c>
      <c r="O911" t="s">
        <v>32</v>
      </c>
      <c r="P911">
        <v>3.8</v>
      </c>
      <c r="Q911">
        <v>17</v>
      </c>
      <c r="R911" t="str">
        <f>TEXT(Healthcare_Data[[#This Row],[Visit_Date]],"mmm")</f>
        <v>Nov</v>
      </c>
      <c r="S911">
        <f>MONTH(Healthcare_Data[[#This Row],[Visit_Date]])</f>
        <v>11</v>
      </c>
      <c r="T911" t="str">
        <f>IF(Healthcare_Data[[#This Row],[Final_Bill]]&gt;=50000,"High",IF(Healthcare_Data[[#This Row],[Final_Bill]]&gt;=20000,"Medium","low"))</f>
        <v>Medium</v>
      </c>
    </row>
    <row r="912" spans="1:20" x14ac:dyDescent="0.3">
      <c r="A912" t="s">
        <v>967</v>
      </c>
      <c r="B912" s="3">
        <v>45990</v>
      </c>
      <c r="C912" t="s">
        <v>38</v>
      </c>
      <c r="D912" t="s">
        <v>19</v>
      </c>
      <c r="E912" t="s">
        <v>54</v>
      </c>
      <c r="F912" t="s">
        <v>40</v>
      </c>
      <c r="G912">
        <v>69</v>
      </c>
      <c r="H912" t="s">
        <v>29</v>
      </c>
      <c r="I912" t="s">
        <v>42</v>
      </c>
      <c r="J912" t="s">
        <v>24</v>
      </c>
      <c r="K912">
        <v>0</v>
      </c>
      <c r="L912" s="4">
        <v>26617</v>
      </c>
      <c r="M912">
        <v>1000</v>
      </c>
      <c r="N912">
        <v>25617</v>
      </c>
      <c r="O912" t="s">
        <v>59</v>
      </c>
      <c r="P912">
        <v>5</v>
      </c>
      <c r="Q912">
        <v>10</v>
      </c>
      <c r="R912" t="str">
        <f>TEXT(Healthcare_Data[[#This Row],[Visit_Date]],"mmm")</f>
        <v>Nov</v>
      </c>
      <c r="S912">
        <f>MONTH(Healthcare_Data[[#This Row],[Visit_Date]])</f>
        <v>11</v>
      </c>
      <c r="T912" t="str">
        <f>IF(Healthcare_Data[[#This Row],[Final_Bill]]&gt;=50000,"High",IF(Healthcare_Data[[#This Row],[Final_Bill]]&gt;=20000,"Medium","low"))</f>
        <v>Medium</v>
      </c>
    </row>
    <row r="913" spans="1:20" x14ac:dyDescent="0.3">
      <c r="A913" t="s">
        <v>968</v>
      </c>
      <c r="B913" s="3">
        <v>45992</v>
      </c>
      <c r="C913" t="s">
        <v>44</v>
      </c>
      <c r="D913" t="s">
        <v>34</v>
      </c>
      <c r="E913" t="s">
        <v>52</v>
      </c>
      <c r="F913" t="s">
        <v>40</v>
      </c>
      <c r="G913">
        <v>71</v>
      </c>
      <c r="H913" t="s">
        <v>29</v>
      </c>
      <c r="I913" t="s">
        <v>69</v>
      </c>
      <c r="J913" t="s">
        <v>36</v>
      </c>
      <c r="K913">
        <v>11</v>
      </c>
      <c r="L913" s="4">
        <v>16909</v>
      </c>
      <c r="M913">
        <v>500</v>
      </c>
      <c r="N913">
        <v>16409</v>
      </c>
      <c r="O913" t="s">
        <v>59</v>
      </c>
      <c r="P913">
        <v>4.2</v>
      </c>
      <c r="Q913">
        <v>92</v>
      </c>
      <c r="R913" t="str">
        <f>TEXT(Healthcare_Data[[#This Row],[Visit_Date]],"mmm")</f>
        <v>Dec</v>
      </c>
      <c r="S913">
        <f>MONTH(Healthcare_Data[[#This Row],[Visit_Date]])</f>
        <v>12</v>
      </c>
      <c r="T913" t="str">
        <f>IF(Healthcare_Data[[#This Row],[Final_Bill]]&gt;=50000,"High",IF(Healthcare_Data[[#This Row],[Final_Bill]]&gt;=20000,"Medium","low"))</f>
        <v>low</v>
      </c>
    </row>
    <row r="914" spans="1:20" x14ac:dyDescent="0.3">
      <c r="A914" t="s">
        <v>969</v>
      </c>
      <c r="B914" s="3">
        <v>45992</v>
      </c>
      <c r="C914" t="s">
        <v>38</v>
      </c>
      <c r="D914" t="s">
        <v>51</v>
      </c>
      <c r="E914" t="s">
        <v>20</v>
      </c>
      <c r="F914" t="s">
        <v>21</v>
      </c>
      <c r="G914">
        <v>40</v>
      </c>
      <c r="H914" t="s">
        <v>65</v>
      </c>
      <c r="I914" t="s">
        <v>61</v>
      </c>
      <c r="J914" t="s">
        <v>36</v>
      </c>
      <c r="K914">
        <v>0</v>
      </c>
      <c r="L914" s="4">
        <v>17014</v>
      </c>
      <c r="M914">
        <v>0</v>
      </c>
      <c r="N914">
        <v>17014</v>
      </c>
      <c r="O914" t="s">
        <v>25</v>
      </c>
      <c r="P914">
        <v>4.3</v>
      </c>
      <c r="Q914">
        <v>108</v>
      </c>
      <c r="R914" t="str">
        <f>TEXT(Healthcare_Data[[#This Row],[Visit_Date]],"mmm")</f>
        <v>Dec</v>
      </c>
      <c r="S914">
        <f>MONTH(Healthcare_Data[[#This Row],[Visit_Date]])</f>
        <v>12</v>
      </c>
      <c r="T914" t="str">
        <f>IF(Healthcare_Data[[#This Row],[Final_Bill]]&gt;=50000,"High",IF(Healthcare_Data[[#This Row],[Final_Bill]]&gt;=20000,"Medium","low"))</f>
        <v>low</v>
      </c>
    </row>
    <row r="915" spans="1:20" x14ac:dyDescent="0.3">
      <c r="A915" t="s">
        <v>970</v>
      </c>
      <c r="B915" s="3">
        <v>45992</v>
      </c>
      <c r="C915" t="s">
        <v>48</v>
      </c>
      <c r="D915" t="s">
        <v>28</v>
      </c>
      <c r="E915" t="s">
        <v>20</v>
      </c>
      <c r="F915" t="s">
        <v>40</v>
      </c>
      <c r="G915">
        <v>75</v>
      </c>
      <c r="H915" t="s">
        <v>115</v>
      </c>
      <c r="I915" t="s">
        <v>57</v>
      </c>
      <c r="J915" t="s">
        <v>24</v>
      </c>
      <c r="K915">
        <v>0</v>
      </c>
      <c r="L915" s="4">
        <v>5859</v>
      </c>
      <c r="M915">
        <v>2000</v>
      </c>
      <c r="N915">
        <v>3859</v>
      </c>
      <c r="O915" t="s">
        <v>25</v>
      </c>
      <c r="P915">
        <v>3.6</v>
      </c>
      <c r="Q915">
        <v>51</v>
      </c>
      <c r="R915" t="str">
        <f>TEXT(Healthcare_Data[[#This Row],[Visit_Date]],"mmm")</f>
        <v>Dec</v>
      </c>
      <c r="S915">
        <f>MONTH(Healthcare_Data[[#This Row],[Visit_Date]])</f>
        <v>12</v>
      </c>
      <c r="T915" t="str">
        <f>IF(Healthcare_Data[[#This Row],[Final_Bill]]&gt;=50000,"High",IF(Healthcare_Data[[#This Row],[Final_Bill]]&gt;=20000,"Medium","low"))</f>
        <v>low</v>
      </c>
    </row>
    <row r="916" spans="1:20" x14ac:dyDescent="0.3">
      <c r="A916" t="s">
        <v>971</v>
      </c>
      <c r="B916" s="3">
        <v>45992</v>
      </c>
      <c r="C916" t="s">
        <v>67</v>
      </c>
      <c r="D916" t="s">
        <v>51</v>
      </c>
      <c r="E916" t="s">
        <v>20</v>
      </c>
      <c r="F916" t="s">
        <v>21</v>
      </c>
      <c r="G916">
        <v>46</v>
      </c>
      <c r="H916" t="s">
        <v>46</v>
      </c>
      <c r="I916" t="s">
        <v>69</v>
      </c>
      <c r="J916" t="s">
        <v>24</v>
      </c>
      <c r="K916">
        <v>0</v>
      </c>
      <c r="L916" s="4">
        <v>3593</v>
      </c>
      <c r="M916">
        <v>2000</v>
      </c>
      <c r="N916">
        <v>1593</v>
      </c>
      <c r="O916" t="s">
        <v>25</v>
      </c>
      <c r="P916">
        <v>4.2</v>
      </c>
      <c r="Q916">
        <v>90</v>
      </c>
      <c r="R916" t="str">
        <f>TEXT(Healthcare_Data[[#This Row],[Visit_Date]],"mmm")</f>
        <v>Dec</v>
      </c>
      <c r="S916">
        <f>MONTH(Healthcare_Data[[#This Row],[Visit_Date]])</f>
        <v>12</v>
      </c>
      <c r="T916" t="str">
        <f>IF(Healthcare_Data[[#This Row],[Final_Bill]]&gt;=50000,"High",IF(Healthcare_Data[[#This Row],[Final_Bill]]&gt;=20000,"Medium","low"))</f>
        <v>low</v>
      </c>
    </row>
    <row r="917" spans="1:20" x14ac:dyDescent="0.3">
      <c r="A917" t="s">
        <v>972</v>
      </c>
      <c r="B917" s="3">
        <v>45993</v>
      </c>
      <c r="C917" t="s">
        <v>48</v>
      </c>
      <c r="D917" t="s">
        <v>19</v>
      </c>
      <c r="E917" t="s">
        <v>20</v>
      </c>
      <c r="F917" t="s">
        <v>40</v>
      </c>
      <c r="G917">
        <v>51</v>
      </c>
      <c r="H917" t="s">
        <v>22</v>
      </c>
      <c r="I917" t="s">
        <v>30</v>
      </c>
      <c r="J917" t="s">
        <v>58</v>
      </c>
      <c r="K917">
        <v>0</v>
      </c>
      <c r="L917" s="4">
        <v>8545</v>
      </c>
      <c r="M917">
        <v>500</v>
      </c>
      <c r="N917">
        <v>8045</v>
      </c>
      <c r="O917" t="s">
        <v>25</v>
      </c>
      <c r="P917">
        <v>4.8</v>
      </c>
      <c r="Q917">
        <v>38</v>
      </c>
      <c r="R917" t="str">
        <f>TEXT(Healthcare_Data[[#This Row],[Visit_Date]],"mmm")</f>
        <v>Dec</v>
      </c>
      <c r="S917">
        <f>MONTH(Healthcare_Data[[#This Row],[Visit_Date]])</f>
        <v>12</v>
      </c>
      <c r="T917" t="str">
        <f>IF(Healthcare_Data[[#This Row],[Final_Bill]]&gt;=50000,"High",IF(Healthcare_Data[[#This Row],[Final_Bill]]&gt;=20000,"Medium","low"))</f>
        <v>low</v>
      </c>
    </row>
    <row r="918" spans="1:20" x14ac:dyDescent="0.3">
      <c r="A918" t="s">
        <v>973</v>
      </c>
      <c r="B918" s="3">
        <v>45993</v>
      </c>
      <c r="C918" t="s">
        <v>27</v>
      </c>
      <c r="D918" t="s">
        <v>39</v>
      </c>
      <c r="E918" t="s">
        <v>20</v>
      </c>
      <c r="F918" t="s">
        <v>21</v>
      </c>
      <c r="G918">
        <v>80</v>
      </c>
      <c r="H918" t="s">
        <v>115</v>
      </c>
      <c r="I918" t="s">
        <v>57</v>
      </c>
      <c r="J918" t="s">
        <v>24</v>
      </c>
      <c r="K918">
        <v>0</v>
      </c>
      <c r="L918" s="4">
        <v>1852</v>
      </c>
      <c r="M918">
        <v>0</v>
      </c>
      <c r="N918">
        <v>1852</v>
      </c>
      <c r="O918" t="s">
        <v>32</v>
      </c>
      <c r="P918">
        <v>3.5</v>
      </c>
      <c r="Q918">
        <v>112</v>
      </c>
      <c r="R918" t="str">
        <f>TEXT(Healthcare_Data[[#This Row],[Visit_Date]],"mmm")</f>
        <v>Dec</v>
      </c>
      <c r="S918">
        <f>MONTH(Healthcare_Data[[#This Row],[Visit_Date]])</f>
        <v>12</v>
      </c>
      <c r="T918" t="str">
        <f>IF(Healthcare_Data[[#This Row],[Final_Bill]]&gt;=50000,"High",IF(Healthcare_Data[[#This Row],[Final_Bill]]&gt;=20000,"Medium","low"))</f>
        <v>low</v>
      </c>
    </row>
    <row r="919" spans="1:20" x14ac:dyDescent="0.3">
      <c r="A919" t="s">
        <v>974</v>
      </c>
      <c r="B919" s="3">
        <v>45994</v>
      </c>
      <c r="C919" t="s">
        <v>67</v>
      </c>
      <c r="D919" t="s">
        <v>51</v>
      </c>
      <c r="E919" t="s">
        <v>20</v>
      </c>
      <c r="F919" t="s">
        <v>40</v>
      </c>
      <c r="G919">
        <v>79</v>
      </c>
      <c r="H919" t="s">
        <v>22</v>
      </c>
      <c r="I919" t="s">
        <v>69</v>
      </c>
      <c r="J919" t="s">
        <v>58</v>
      </c>
      <c r="K919">
        <v>0</v>
      </c>
      <c r="L919" s="4">
        <v>5307</v>
      </c>
      <c r="M919">
        <v>1000</v>
      </c>
      <c r="N919">
        <v>4307</v>
      </c>
      <c r="O919" t="s">
        <v>25</v>
      </c>
      <c r="P919">
        <v>3.3</v>
      </c>
      <c r="Q919">
        <v>79</v>
      </c>
      <c r="R919" t="str">
        <f>TEXT(Healthcare_Data[[#This Row],[Visit_Date]],"mmm")</f>
        <v>Dec</v>
      </c>
      <c r="S919">
        <f>MONTH(Healthcare_Data[[#This Row],[Visit_Date]])</f>
        <v>12</v>
      </c>
      <c r="T919" t="str">
        <f>IF(Healthcare_Data[[#This Row],[Final_Bill]]&gt;=50000,"High",IF(Healthcare_Data[[#This Row],[Final_Bill]]&gt;=20000,"Medium","low"))</f>
        <v>low</v>
      </c>
    </row>
    <row r="920" spans="1:20" x14ac:dyDescent="0.3">
      <c r="A920" t="s">
        <v>975</v>
      </c>
      <c r="B920" s="3">
        <v>45994</v>
      </c>
      <c r="C920" t="s">
        <v>67</v>
      </c>
      <c r="D920" t="s">
        <v>51</v>
      </c>
      <c r="E920" t="s">
        <v>20</v>
      </c>
      <c r="F920" t="s">
        <v>40</v>
      </c>
      <c r="G920">
        <v>51</v>
      </c>
      <c r="H920" t="s">
        <v>41</v>
      </c>
      <c r="I920" t="s">
        <v>57</v>
      </c>
      <c r="J920" t="s">
        <v>58</v>
      </c>
      <c r="K920">
        <v>0</v>
      </c>
      <c r="L920" s="4">
        <v>17383</v>
      </c>
      <c r="M920">
        <v>500</v>
      </c>
      <c r="N920">
        <v>16883</v>
      </c>
      <c r="O920" t="s">
        <v>25</v>
      </c>
      <c r="P920">
        <v>3.3</v>
      </c>
      <c r="Q920">
        <v>110</v>
      </c>
      <c r="R920" t="str">
        <f>TEXT(Healthcare_Data[[#This Row],[Visit_Date]],"mmm")</f>
        <v>Dec</v>
      </c>
      <c r="S920">
        <f>MONTH(Healthcare_Data[[#This Row],[Visit_Date]])</f>
        <v>12</v>
      </c>
      <c r="T920" t="str">
        <f>IF(Healthcare_Data[[#This Row],[Final_Bill]]&gt;=50000,"High",IF(Healthcare_Data[[#This Row],[Final_Bill]]&gt;=20000,"Medium","low"))</f>
        <v>low</v>
      </c>
    </row>
    <row r="921" spans="1:20" x14ac:dyDescent="0.3">
      <c r="A921" t="s">
        <v>976</v>
      </c>
      <c r="B921" s="3">
        <v>45995</v>
      </c>
      <c r="C921" t="s">
        <v>44</v>
      </c>
      <c r="D921" t="s">
        <v>28</v>
      </c>
      <c r="E921" t="s">
        <v>20</v>
      </c>
      <c r="F921" t="s">
        <v>21</v>
      </c>
      <c r="G921">
        <v>54</v>
      </c>
      <c r="H921" t="s">
        <v>56</v>
      </c>
      <c r="I921" t="s">
        <v>42</v>
      </c>
      <c r="J921" t="s">
        <v>24</v>
      </c>
      <c r="K921">
        <v>0</v>
      </c>
      <c r="L921" s="4">
        <v>7544</v>
      </c>
      <c r="M921">
        <v>1500</v>
      </c>
      <c r="N921">
        <v>6044</v>
      </c>
      <c r="O921" t="s">
        <v>32</v>
      </c>
      <c r="P921">
        <v>4.7</v>
      </c>
      <c r="Q921">
        <v>19</v>
      </c>
      <c r="R921" t="str">
        <f>TEXT(Healthcare_Data[[#This Row],[Visit_Date]],"mmm")</f>
        <v>Dec</v>
      </c>
      <c r="S921">
        <f>MONTH(Healthcare_Data[[#This Row],[Visit_Date]])</f>
        <v>12</v>
      </c>
      <c r="T921" t="str">
        <f>IF(Healthcare_Data[[#This Row],[Final_Bill]]&gt;=50000,"High",IF(Healthcare_Data[[#This Row],[Final_Bill]]&gt;=20000,"Medium","low"))</f>
        <v>low</v>
      </c>
    </row>
    <row r="922" spans="1:20" x14ac:dyDescent="0.3">
      <c r="A922" t="s">
        <v>977</v>
      </c>
      <c r="B922" s="3">
        <v>45995</v>
      </c>
      <c r="C922" t="s">
        <v>54</v>
      </c>
      <c r="D922" t="s">
        <v>39</v>
      </c>
      <c r="E922" t="s">
        <v>20</v>
      </c>
      <c r="F922" t="s">
        <v>40</v>
      </c>
      <c r="G922">
        <v>23</v>
      </c>
      <c r="H922" t="s">
        <v>29</v>
      </c>
      <c r="I922" t="s">
        <v>30</v>
      </c>
      <c r="J922" t="s">
        <v>36</v>
      </c>
      <c r="K922">
        <v>0</v>
      </c>
      <c r="L922" s="4">
        <v>13230</v>
      </c>
      <c r="M922">
        <v>500</v>
      </c>
      <c r="N922">
        <v>12730</v>
      </c>
      <c r="O922" t="s">
        <v>25</v>
      </c>
      <c r="P922">
        <v>3.2</v>
      </c>
      <c r="Q922">
        <v>14</v>
      </c>
      <c r="R922" t="str">
        <f>TEXT(Healthcare_Data[[#This Row],[Visit_Date]],"mmm")</f>
        <v>Dec</v>
      </c>
      <c r="S922">
        <f>MONTH(Healthcare_Data[[#This Row],[Visit_Date]])</f>
        <v>12</v>
      </c>
      <c r="T922" t="str">
        <f>IF(Healthcare_Data[[#This Row],[Final_Bill]]&gt;=50000,"High",IF(Healthcare_Data[[#This Row],[Final_Bill]]&gt;=20000,"Medium","low"))</f>
        <v>low</v>
      </c>
    </row>
    <row r="923" spans="1:20" x14ac:dyDescent="0.3">
      <c r="A923" t="s">
        <v>978</v>
      </c>
      <c r="B923" s="3">
        <v>45995</v>
      </c>
      <c r="C923" t="s">
        <v>50</v>
      </c>
      <c r="D923" t="s">
        <v>19</v>
      </c>
      <c r="E923" t="s">
        <v>52</v>
      </c>
      <c r="F923" t="s">
        <v>21</v>
      </c>
      <c r="G923">
        <v>79</v>
      </c>
      <c r="H923" t="s">
        <v>46</v>
      </c>
      <c r="I923" t="s">
        <v>63</v>
      </c>
      <c r="J923" t="s">
        <v>36</v>
      </c>
      <c r="K923">
        <v>11</v>
      </c>
      <c r="L923" s="4">
        <v>33047</v>
      </c>
      <c r="M923">
        <v>500</v>
      </c>
      <c r="N923">
        <v>32547</v>
      </c>
      <c r="O923" t="s">
        <v>25</v>
      </c>
      <c r="P923">
        <v>3.5</v>
      </c>
      <c r="Q923">
        <v>78</v>
      </c>
      <c r="R923" t="str">
        <f>TEXT(Healthcare_Data[[#This Row],[Visit_Date]],"mmm")</f>
        <v>Dec</v>
      </c>
      <c r="S923">
        <f>MONTH(Healthcare_Data[[#This Row],[Visit_Date]])</f>
        <v>12</v>
      </c>
      <c r="T923" t="str">
        <f>IF(Healthcare_Data[[#This Row],[Final_Bill]]&gt;=50000,"High",IF(Healthcare_Data[[#This Row],[Final_Bill]]&gt;=20000,"Medium","low"))</f>
        <v>Medium</v>
      </c>
    </row>
    <row r="924" spans="1:20" x14ac:dyDescent="0.3">
      <c r="A924" t="s">
        <v>979</v>
      </c>
      <c r="B924" s="3">
        <v>45995</v>
      </c>
      <c r="C924" t="s">
        <v>27</v>
      </c>
      <c r="D924" t="s">
        <v>51</v>
      </c>
      <c r="E924" t="s">
        <v>20</v>
      </c>
      <c r="F924" t="s">
        <v>21</v>
      </c>
      <c r="G924">
        <v>66</v>
      </c>
      <c r="H924" t="s">
        <v>29</v>
      </c>
      <c r="I924" t="s">
        <v>23</v>
      </c>
      <c r="J924" t="s">
        <v>36</v>
      </c>
      <c r="K924">
        <v>0</v>
      </c>
      <c r="L924" s="4">
        <v>16425</v>
      </c>
      <c r="M924">
        <v>1000</v>
      </c>
      <c r="N924">
        <v>15425</v>
      </c>
      <c r="O924" t="s">
        <v>25</v>
      </c>
      <c r="P924">
        <v>2.7</v>
      </c>
      <c r="Q924">
        <v>85</v>
      </c>
      <c r="R924" t="str">
        <f>TEXT(Healthcare_Data[[#This Row],[Visit_Date]],"mmm")</f>
        <v>Dec</v>
      </c>
      <c r="S924">
        <f>MONTH(Healthcare_Data[[#This Row],[Visit_Date]])</f>
        <v>12</v>
      </c>
      <c r="T924" t="str">
        <f>IF(Healthcare_Data[[#This Row],[Final_Bill]]&gt;=50000,"High",IF(Healthcare_Data[[#This Row],[Final_Bill]]&gt;=20000,"Medium","low"))</f>
        <v>low</v>
      </c>
    </row>
    <row r="925" spans="1:20" x14ac:dyDescent="0.3">
      <c r="A925" t="s">
        <v>980</v>
      </c>
      <c r="B925" s="3">
        <v>45996</v>
      </c>
      <c r="C925" t="s">
        <v>27</v>
      </c>
      <c r="D925" t="s">
        <v>51</v>
      </c>
      <c r="E925" t="s">
        <v>20</v>
      </c>
      <c r="F925" t="s">
        <v>21</v>
      </c>
      <c r="G925">
        <v>54</v>
      </c>
      <c r="H925" t="s">
        <v>56</v>
      </c>
      <c r="I925" t="s">
        <v>42</v>
      </c>
      <c r="J925" t="s">
        <v>58</v>
      </c>
      <c r="K925">
        <v>0</v>
      </c>
      <c r="L925" s="4">
        <v>19642</v>
      </c>
      <c r="M925">
        <v>0</v>
      </c>
      <c r="N925">
        <v>19642</v>
      </c>
      <c r="O925" t="s">
        <v>32</v>
      </c>
      <c r="P925">
        <v>3.2</v>
      </c>
      <c r="Q925">
        <v>76</v>
      </c>
      <c r="R925" t="str">
        <f>TEXT(Healthcare_Data[[#This Row],[Visit_Date]],"mmm")</f>
        <v>Dec</v>
      </c>
      <c r="S925">
        <f>MONTH(Healthcare_Data[[#This Row],[Visit_Date]])</f>
        <v>12</v>
      </c>
      <c r="T925" t="str">
        <f>IF(Healthcare_Data[[#This Row],[Final_Bill]]&gt;=50000,"High",IF(Healthcare_Data[[#This Row],[Final_Bill]]&gt;=20000,"Medium","low"))</f>
        <v>low</v>
      </c>
    </row>
    <row r="926" spans="1:20" x14ac:dyDescent="0.3">
      <c r="A926" t="s">
        <v>981</v>
      </c>
      <c r="B926" s="3">
        <v>45996</v>
      </c>
      <c r="C926" t="s">
        <v>54</v>
      </c>
      <c r="D926" t="s">
        <v>39</v>
      </c>
      <c r="E926" t="s">
        <v>20</v>
      </c>
      <c r="F926" t="s">
        <v>21</v>
      </c>
      <c r="G926">
        <v>72</v>
      </c>
      <c r="H926" t="s">
        <v>41</v>
      </c>
      <c r="I926" t="s">
        <v>42</v>
      </c>
      <c r="J926" t="s">
        <v>24</v>
      </c>
      <c r="K926">
        <v>0</v>
      </c>
      <c r="L926" s="4">
        <v>7987</v>
      </c>
      <c r="M926">
        <v>1000</v>
      </c>
      <c r="N926">
        <v>6987</v>
      </c>
      <c r="O926" t="s">
        <v>25</v>
      </c>
      <c r="P926">
        <v>4.5999999999999996</v>
      </c>
      <c r="Q926">
        <v>106</v>
      </c>
      <c r="R926" t="str">
        <f>TEXT(Healthcare_Data[[#This Row],[Visit_Date]],"mmm")</f>
        <v>Dec</v>
      </c>
      <c r="S926">
        <f>MONTH(Healthcare_Data[[#This Row],[Visit_Date]])</f>
        <v>12</v>
      </c>
      <c r="T926" t="str">
        <f>IF(Healthcare_Data[[#This Row],[Final_Bill]]&gt;=50000,"High",IF(Healthcare_Data[[#This Row],[Final_Bill]]&gt;=20000,"Medium","low"))</f>
        <v>low</v>
      </c>
    </row>
    <row r="927" spans="1:20" x14ac:dyDescent="0.3">
      <c r="A927" t="s">
        <v>982</v>
      </c>
      <c r="B927" s="3">
        <v>45997</v>
      </c>
      <c r="C927" t="s">
        <v>27</v>
      </c>
      <c r="D927" t="s">
        <v>19</v>
      </c>
      <c r="E927" t="s">
        <v>20</v>
      </c>
      <c r="F927" t="s">
        <v>40</v>
      </c>
      <c r="G927">
        <v>25</v>
      </c>
      <c r="H927" t="s">
        <v>41</v>
      </c>
      <c r="I927" t="s">
        <v>61</v>
      </c>
      <c r="J927" t="s">
        <v>58</v>
      </c>
      <c r="K927">
        <v>0</v>
      </c>
      <c r="L927" s="4">
        <v>17658</v>
      </c>
      <c r="M927">
        <v>1000</v>
      </c>
      <c r="N927">
        <v>16658</v>
      </c>
      <c r="O927" t="s">
        <v>32</v>
      </c>
      <c r="P927">
        <v>4.8</v>
      </c>
      <c r="Q927">
        <v>77</v>
      </c>
      <c r="R927" t="str">
        <f>TEXT(Healthcare_Data[[#This Row],[Visit_Date]],"mmm")</f>
        <v>Dec</v>
      </c>
      <c r="S927">
        <f>MONTH(Healthcare_Data[[#This Row],[Visit_Date]])</f>
        <v>12</v>
      </c>
      <c r="T927" t="str">
        <f>IF(Healthcare_Data[[#This Row],[Final_Bill]]&gt;=50000,"High",IF(Healthcare_Data[[#This Row],[Final_Bill]]&gt;=20000,"Medium","low"))</f>
        <v>low</v>
      </c>
    </row>
    <row r="928" spans="1:20" x14ac:dyDescent="0.3">
      <c r="A928" t="s">
        <v>983</v>
      </c>
      <c r="B928" s="3">
        <v>45997</v>
      </c>
      <c r="C928" t="s">
        <v>67</v>
      </c>
      <c r="D928" t="s">
        <v>28</v>
      </c>
      <c r="E928" t="s">
        <v>52</v>
      </c>
      <c r="F928" t="s">
        <v>21</v>
      </c>
      <c r="G928">
        <v>37</v>
      </c>
      <c r="H928" t="s">
        <v>35</v>
      </c>
      <c r="I928" t="s">
        <v>23</v>
      </c>
      <c r="J928" t="s">
        <v>31</v>
      </c>
      <c r="K928">
        <v>5</v>
      </c>
      <c r="L928" s="4">
        <v>66696</v>
      </c>
      <c r="M928">
        <v>0</v>
      </c>
      <c r="N928">
        <v>66696</v>
      </c>
      <c r="O928" t="s">
        <v>59</v>
      </c>
      <c r="P928">
        <v>2.9</v>
      </c>
      <c r="Q928">
        <v>119</v>
      </c>
      <c r="R928" t="str">
        <f>TEXT(Healthcare_Data[[#This Row],[Visit_Date]],"mmm")</f>
        <v>Dec</v>
      </c>
      <c r="S928">
        <f>MONTH(Healthcare_Data[[#This Row],[Visit_Date]])</f>
        <v>12</v>
      </c>
      <c r="T928" t="str">
        <f>IF(Healthcare_Data[[#This Row],[Final_Bill]]&gt;=50000,"High",IF(Healthcare_Data[[#This Row],[Final_Bill]]&gt;=20000,"Medium","low"))</f>
        <v>High</v>
      </c>
    </row>
    <row r="929" spans="1:20" x14ac:dyDescent="0.3">
      <c r="A929" t="s">
        <v>984</v>
      </c>
      <c r="B929" s="3">
        <v>45997</v>
      </c>
      <c r="C929" t="s">
        <v>67</v>
      </c>
      <c r="D929" t="s">
        <v>34</v>
      </c>
      <c r="E929" t="s">
        <v>52</v>
      </c>
      <c r="F929" t="s">
        <v>40</v>
      </c>
      <c r="G929">
        <v>55</v>
      </c>
      <c r="H929" t="s">
        <v>41</v>
      </c>
      <c r="I929" t="s">
        <v>69</v>
      </c>
      <c r="J929" t="s">
        <v>24</v>
      </c>
      <c r="K929">
        <v>2</v>
      </c>
      <c r="L929" s="4">
        <v>74725</v>
      </c>
      <c r="M929">
        <v>0</v>
      </c>
      <c r="N929">
        <v>74725</v>
      </c>
      <c r="O929" t="s">
        <v>25</v>
      </c>
      <c r="P929">
        <v>4.3</v>
      </c>
      <c r="Q929">
        <v>36</v>
      </c>
      <c r="R929" t="str">
        <f>TEXT(Healthcare_Data[[#This Row],[Visit_Date]],"mmm")</f>
        <v>Dec</v>
      </c>
      <c r="S929">
        <f>MONTH(Healthcare_Data[[#This Row],[Visit_Date]])</f>
        <v>12</v>
      </c>
      <c r="T929" t="str">
        <f>IF(Healthcare_Data[[#This Row],[Final_Bill]]&gt;=50000,"High",IF(Healthcare_Data[[#This Row],[Final_Bill]]&gt;=20000,"Medium","low"))</f>
        <v>High</v>
      </c>
    </row>
    <row r="930" spans="1:20" x14ac:dyDescent="0.3">
      <c r="A930" t="s">
        <v>985</v>
      </c>
      <c r="B930" s="3">
        <v>45997</v>
      </c>
      <c r="C930" t="s">
        <v>48</v>
      </c>
      <c r="D930" t="s">
        <v>51</v>
      </c>
      <c r="E930" t="s">
        <v>54</v>
      </c>
      <c r="F930" t="s">
        <v>21</v>
      </c>
      <c r="G930">
        <v>27</v>
      </c>
      <c r="H930" t="s">
        <v>22</v>
      </c>
      <c r="I930" t="s">
        <v>30</v>
      </c>
      <c r="J930" t="s">
        <v>31</v>
      </c>
      <c r="K930">
        <v>0</v>
      </c>
      <c r="L930" s="4">
        <v>20612</v>
      </c>
      <c r="M930">
        <v>500</v>
      </c>
      <c r="N930">
        <v>20112</v>
      </c>
      <c r="O930" t="s">
        <v>25</v>
      </c>
      <c r="P930">
        <v>3.5</v>
      </c>
      <c r="Q930">
        <v>75</v>
      </c>
      <c r="R930" t="str">
        <f>TEXT(Healthcare_Data[[#This Row],[Visit_Date]],"mmm")</f>
        <v>Dec</v>
      </c>
      <c r="S930">
        <f>MONTH(Healthcare_Data[[#This Row],[Visit_Date]])</f>
        <v>12</v>
      </c>
      <c r="T930" t="str">
        <f>IF(Healthcare_Data[[#This Row],[Final_Bill]]&gt;=50000,"High",IF(Healthcare_Data[[#This Row],[Final_Bill]]&gt;=20000,"Medium","low"))</f>
        <v>Medium</v>
      </c>
    </row>
    <row r="931" spans="1:20" x14ac:dyDescent="0.3">
      <c r="A931" t="s">
        <v>986</v>
      </c>
      <c r="B931" s="3">
        <v>45997</v>
      </c>
      <c r="C931" t="s">
        <v>38</v>
      </c>
      <c r="D931" t="s">
        <v>51</v>
      </c>
      <c r="E931" t="s">
        <v>20</v>
      </c>
      <c r="F931" t="s">
        <v>40</v>
      </c>
      <c r="G931">
        <v>61</v>
      </c>
      <c r="H931" t="s">
        <v>35</v>
      </c>
      <c r="I931" t="s">
        <v>57</v>
      </c>
      <c r="J931" t="s">
        <v>36</v>
      </c>
      <c r="K931">
        <v>0</v>
      </c>
      <c r="L931" s="4">
        <v>11179</v>
      </c>
      <c r="M931">
        <v>0</v>
      </c>
      <c r="N931">
        <v>11179</v>
      </c>
      <c r="O931" t="s">
        <v>25</v>
      </c>
      <c r="P931">
        <v>4.8</v>
      </c>
      <c r="Q931">
        <v>98</v>
      </c>
      <c r="R931" t="str">
        <f>TEXT(Healthcare_Data[[#This Row],[Visit_Date]],"mmm")</f>
        <v>Dec</v>
      </c>
      <c r="S931">
        <f>MONTH(Healthcare_Data[[#This Row],[Visit_Date]])</f>
        <v>12</v>
      </c>
      <c r="T931" t="str">
        <f>IF(Healthcare_Data[[#This Row],[Final_Bill]]&gt;=50000,"High",IF(Healthcare_Data[[#This Row],[Final_Bill]]&gt;=20000,"Medium","low"))</f>
        <v>low</v>
      </c>
    </row>
    <row r="932" spans="1:20" x14ac:dyDescent="0.3">
      <c r="A932" t="s">
        <v>987</v>
      </c>
      <c r="B932" s="3">
        <v>45998</v>
      </c>
      <c r="C932" t="s">
        <v>38</v>
      </c>
      <c r="D932" t="s">
        <v>39</v>
      </c>
      <c r="E932" t="s">
        <v>20</v>
      </c>
      <c r="F932" t="s">
        <v>40</v>
      </c>
      <c r="G932">
        <v>53</v>
      </c>
      <c r="H932" t="s">
        <v>46</v>
      </c>
      <c r="I932" t="s">
        <v>30</v>
      </c>
      <c r="J932" t="s">
        <v>24</v>
      </c>
      <c r="K932">
        <v>0</v>
      </c>
      <c r="L932" s="4">
        <v>11478</v>
      </c>
      <c r="M932">
        <v>0</v>
      </c>
      <c r="N932">
        <v>11478</v>
      </c>
      <c r="O932" t="s">
        <v>59</v>
      </c>
      <c r="P932">
        <v>2.7</v>
      </c>
      <c r="Q932">
        <v>104</v>
      </c>
      <c r="R932" t="str">
        <f>TEXT(Healthcare_Data[[#This Row],[Visit_Date]],"mmm")</f>
        <v>Dec</v>
      </c>
      <c r="S932">
        <f>MONTH(Healthcare_Data[[#This Row],[Visit_Date]])</f>
        <v>12</v>
      </c>
      <c r="T932" t="str">
        <f>IF(Healthcare_Data[[#This Row],[Final_Bill]]&gt;=50000,"High",IF(Healthcare_Data[[#This Row],[Final_Bill]]&gt;=20000,"Medium","low"))</f>
        <v>low</v>
      </c>
    </row>
    <row r="933" spans="1:20" x14ac:dyDescent="0.3">
      <c r="A933" t="s">
        <v>988</v>
      </c>
      <c r="B933" s="3">
        <v>45998</v>
      </c>
      <c r="C933" t="s">
        <v>18</v>
      </c>
      <c r="D933" t="s">
        <v>28</v>
      </c>
      <c r="E933" t="s">
        <v>52</v>
      </c>
      <c r="F933" t="s">
        <v>40</v>
      </c>
      <c r="G933">
        <v>71</v>
      </c>
      <c r="H933" t="s">
        <v>56</v>
      </c>
      <c r="I933" t="s">
        <v>57</v>
      </c>
      <c r="J933" t="s">
        <v>58</v>
      </c>
      <c r="K933">
        <v>6</v>
      </c>
      <c r="L933" s="4">
        <v>60482</v>
      </c>
      <c r="M933">
        <v>0</v>
      </c>
      <c r="N933">
        <v>60482</v>
      </c>
      <c r="O933" t="s">
        <v>25</v>
      </c>
      <c r="P933">
        <v>3.7</v>
      </c>
      <c r="Q933">
        <v>39</v>
      </c>
      <c r="R933" t="str">
        <f>TEXT(Healthcare_Data[[#This Row],[Visit_Date]],"mmm")</f>
        <v>Dec</v>
      </c>
      <c r="S933">
        <f>MONTH(Healthcare_Data[[#This Row],[Visit_Date]])</f>
        <v>12</v>
      </c>
      <c r="T933" t="str">
        <f>IF(Healthcare_Data[[#This Row],[Final_Bill]]&gt;=50000,"High",IF(Healthcare_Data[[#This Row],[Final_Bill]]&gt;=20000,"Medium","low"))</f>
        <v>High</v>
      </c>
    </row>
    <row r="934" spans="1:20" x14ac:dyDescent="0.3">
      <c r="A934" t="s">
        <v>989</v>
      </c>
      <c r="B934" s="3">
        <v>45998</v>
      </c>
      <c r="C934" t="s">
        <v>44</v>
      </c>
      <c r="D934" t="s">
        <v>39</v>
      </c>
      <c r="E934" t="s">
        <v>20</v>
      </c>
      <c r="F934" t="s">
        <v>21</v>
      </c>
      <c r="G934">
        <v>46</v>
      </c>
      <c r="H934" t="s">
        <v>35</v>
      </c>
      <c r="I934" t="s">
        <v>72</v>
      </c>
      <c r="J934" t="s">
        <v>24</v>
      </c>
      <c r="K934">
        <v>0</v>
      </c>
      <c r="L934" s="4">
        <v>3406</v>
      </c>
      <c r="M934">
        <v>0</v>
      </c>
      <c r="N934">
        <v>3406</v>
      </c>
      <c r="O934" t="s">
        <v>25</v>
      </c>
      <c r="P934">
        <v>3.3</v>
      </c>
      <c r="Q934">
        <v>85</v>
      </c>
      <c r="R934" t="str">
        <f>TEXT(Healthcare_Data[[#This Row],[Visit_Date]],"mmm")</f>
        <v>Dec</v>
      </c>
      <c r="S934">
        <f>MONTH(Healthcare_Data[[#This Row],[Visit_Date]])</f>
        <v>12</v>
      </c>
      <c r="T934" t="str">
        <f>IF(Healthcare_Data[[#This Row],[Final_Bill]]&gt;=50000,"High",IF(Healthcare_Data[[#This Row],[Final_Bill]]&gt;=20000,"Medium","low"))</f>
        <v>low</v>
      </c>
    </row>
    <row r="935" spans="1:20" x14ac:dyDescent="0.3">
      <c r="A935" t="s">
        <v>990</v>
      </c>
      <c r="B935" s="3">
        <v>45999</v>
      </c>
      <c r="C935" t="s">
        <v>18</v>
      </c>
      <c r="D935" t="s">
        <v>51</v>
      </c>
      <c r="E935" t="s">
        <v>20</v>
      </c>
      <c r="F935" t="s">
        <v>40</v>
      </c>
      <c r="G935">
        <v>76</v>
      </c>
      <c r="H935" t="s">
        <v>29</v>
      </c>
      <c r="I935" t="s">
        <v>72</v>
      </c>
      <c r="J935" t="s">
        <v>24</v>
      </c>
      <c r="K935">
        <v>0</v>
      </c>
      <c r="L935" s="4">
        <v>9560</v>
      </c>
      <c r="M935">
        <v>1000</v>
      </c>
      <c r="N935">
        <v>8560</v>
      </c>
      <c r="O935" t="s">
        <v>25</v>
      </c>
      <c r="P935">
        <v>3.7</v>
      </c>
      <c r="Q935">
        <v>56</v>
      </c>
      <c r="R935" t="str">
        <f>TEXT(Healthcare_Data[[#This Row],[Visit_Date]],"mmm")</f>
        <v>Dec</v>
      </c>
      <c r="S935">
        <f>MONTH(Healthcare_Data[[#This Row],[Visit_Date]])</f>
        <v>12</v>
      </c>
      <c r="T935" t="str">
        <f>IF(Healthcare_Data[[#This Row],[Final_Bill]]&gt;=50000,"High",IF(Healthcare_Data[[#This Row],[Final_Bill]]&gt;=20000,"Medium","low"))</f>
        <v>low</v>
      </c>
    </row>
    <row r="936" spans="1:20" x14ac:dyDescent="0.3">
      <c r="A936" t="s">
        <v>991</v>
      </c>
      <c r="B936" s="3">
        <v>45999</v>
      </c>
      <c r="C936" t="s">
        <v>67</v>
      </c>
      <c r="D936" t="s">
        <v>19</v>
      </c>
      <c r="E936" t="s">
        <v>52</v>
      </c>
      <c r="F936" t="s">
        <v>40</v>
      </c>
      <c r="G936">
        <v>42</v>
      </c>
      <c r="H936" t="s">
        <v>29</v>
      </c>
      <c r="I936" t="s">
        <v>72</v>
      </c>
      <c r="J936" t="s">
        <v>24</v>
      </c>
      <c r="K936">
        <v>3</v>
      </c>
      <c r="L936" s="4">
        <v>37465</v>
      </c>
      <c r="M936">
        <v>0</v>
      </c>
      <c r="N936">
        <v>37465</v>
      </c>
      <c r="O936" t="s">
        <v>25</v>
      </c>
      <c r="P936">
        <v>3.2</v>
      </c>
      <c r="Q936">
        <v>14</v>
      </c>
      <c r="R936" t="str">
        <f>TEXT(Healthcare_Data[[#This Row],[Visit_Date]],"mmm")</f>
        <v>Dec</v>
      </c>
      <c r="S936">
        <f>MONTH(Healthcare_Data[[#This Row],[Visit_Date]])</f>
        <v>12</v>
      </c>
      <c r="T936" t="str">
        <f>IF(Healthcare_Data[[#This Row],[Final_Bill]]&gt;=50000,"High",IF(Healthcare_Data[[#This Row],[Final_Bill]]&gt;=20000,"Medium","low"))</f>
        <v>Medium</v>
      </c>
    </row>
    <row r="937" spans="1:20" x14ac:dyDescent="0.3">
      <c r="A937" t="s">
        <v>992</v>
      </c>
      <c r="B937" s="3">
        <v>45999</v>
      </c>
      <c r="C937" t="s">
        <v>27</v>
      </c>
      <c r="D937" t="s">
        <v>19</v>
      </c>
      <c r="E937" t="s">
        <v>20</v>
      </c>
      <c r="F937" t="s">
        <v>21</v>
      </c>
      <c r="G937">
        <v>41</v>
      </c>
      <c r="H937" t="s">
        <v>35</v>
      </c>
      <c r="I937" t="s">
        <v>42</v>
      </c>
      <c r="J937" t="s">
        <v>24</v>
      </c>
      <c r="K937">
        <v>0</v>
      </c>
      <c r="L937" s="4">
        <v>7898</v>
      </c>
      <c r="M937">
        <v>500</v>
      </c>
      <c r="N937">
        <v>7398</v>
      </c>
      <c r="O937" t="s">
        <v>25</v>
      </c>
      <c r="P937">
        <v>4.5999999999999996</v>
      </c>
      <c r="Q937">
        <v>7</v>
      </c>
      <c r="R937" t="str">
        <f>TEXT(Healthcare_Data[[#This Row],[Visit_Date]],"mmm")</f>
        <v>Dec</v>
      </c>
      <c r="S937">
        <f>MONTH(Healthcare_Data[[#This Row],[Visit_Date]])</f>
        <v>12</v>
      </c>
      <c r="T937" t="str">
        <f>IF(Healthcare_Data[[#This Row],[Final_Bill]]&gt;=50000,"High",IF(Healthcare_Data[[#This Row],[Final_Bill]]&gt;=20000,"Medium","low"))</f>
        <v>low</v>
      </c>
    </row>
    <row r="938" spans="1:20" x14ac:dyDescent="0.3">
      <c r="A938" t="s">
        <v>993</v>
      </c>
      <c r="B938" s="3">
        <v>45999</v>
      </c>
      <c r="C938" t="s">
        <v>27</v>
      </c>
      <c r="D938" t="s">
        <v>34</v>
      </c>
      <c r="E938" t="s">
        <v>20</v>
      </c>
      <c r="F938" t="s">
        <v>40</v>
      </c>
      <c r="G938">
        <v>79</v>
      </c>
      <c r="H938" t="s">
        <v>56</v>
      </c>
      <c r="I938" t="s">
        <v>1057</v>
      </c>
      <c r="J938" t="s">
        <v>24</v>
      </c>
      <c r="K938">
        <v>0</v>
      </c>
      <c r="L938" s="4">
        <v>7802</v>
      </c>
      <c r="M938">
        <v>500</v>
      </c>
      <c r="N938">
        <v>7302</v>
      </c>
      <c r="O938" t="s">
        <v>59</v>
      </c>
      <c r="P938">
        <v>4.3</v>
      </c>
      <c r="Q938">
        <v>5</v>
      </c>
      <c r="R938" t="str">
        <f>TEXT(Healthcare_Data[[#This Row],[Visit_Date]],"mmm")</f>
        <v>Dec</v>
      </c>
      <c r="S938">
        <f>MONTH(Healthcare_Data[[#This Row],[Visit_Date]])</f>
        <v>12</v>
      </c>
      <c r="T938" t="str">
        <f>IF(Healthcare_Data[[#This Row],[Final_Bill]]&gt;=50000,"High",IF(Healthcare_Data[[#This Row],[Final_Bill]]&gt;=20000,"Medium","low"))</f>
        <v>low</v>
      </c>
    </row>
    <row r="939" spans="1:20" x14ac:dyDescent="0.3">
      <c r="A939" t="s">
        <v>994</v>
      </c>
      <c r="B939" s="3">
        <v>45999</v>
      </c>
      <c r="C939" t="s">
        <v>27</v>
      </c>
      <c r="D939" t="s">
        <v>19</v>
      </c>
      <c r="E939" t="s">
        <v>20</v>
      </c>
      <c r="F939" t="s">
        <v>21</v>
      </c>
      <c r="G939">
        <v>29</v>
      </c>
      <c r="H939" t="s">
        <v>29</v>
      </c>
      <c r="I939" t="s">
        <v>69</v>
      </c>
      <c r="J939" t="s">
        <v>31</v>
      </c>
      <c r="K939">
        <v>0</v>
      </c>
      <c r="L939" s="4">
        <v>5575</v>
      </c>
      <c r="M939">
        <v>0</v>
      </c>
      <c r="N939">
        <v>5575</v>
      </c>
      <c r="O939" t="s">
        <v>25</v>
      </c>
      <c r="P939">
        <v>3.6</v>
      </c>
      <c r="Q939">
        <v>60</v>
      </c>
      <c r="R939" t="str">
        <f>TEXT(Healthcare_Data[[#This Row],[Visit_Date]],"mmm")</f>
        <v>Dec</v>
      </c>
      <c r="S939">
        <f>MONTH(Healthcare_Data[[#This Row],[Visit_Date]])</f>
        <v>12</v>
      </c>
      <c r="T939" t="str">
        <f>IF(Healthcare_Data[[#This Row],[Final_Bill]]&gt;=50000,"High",IF(Healthcare_Data[[#This Row],[Final_Bill]]&gt;=20000,"Medium","low"))</f>
        <v>low</v>
      </c>
    </row>
    <row r="940" spans="1:20" x14ac:dyDescent="0.3">
      <c r="A940" t="s">
        <v>995</v>
      </c>
      <c r="B940" s="3">
        <v>45999</v>
      </c>
      <c r="C940" t="s">
        <v>54</v>
      </c>
      <c r="D940" t="s">
        <v>39</v>
      </c>
      <c r="E940" t="s">
        <v>52</v>
      </c>
      <c r="F940" t="s">
        <v>40</v>
      </c>
      <c r="G940">
        <v>31</v>
      </c>
      <c r="H940" t="s">
        <v>22</v>
      </c>
      <c r="I940" t="s">
        <v>42</v>
      </c>
      <c r="J940" t="s">
        <v>24</v>
      </c>
      <c r="K940">
        <v>9</v>
      </c>
      <c r="L940" s="4">
        <v>17892</v>
      </c>
      <c r="M940">
        <v>500</v>
      </c>
      <c r="N940">
        <v>17392</v>
      </c>
      <c r="O940" t="s">
        <v>25</v>
      </c>
      <c r="P940">
        <v>4</v>
      </c>
      <c r="Q940">
        <v>15</v>
      </c>
      <c r="R940" t="str">
        <f>TEXT(Healthcare_Data[[#This Row],[Visit_Date]],"mmm")</f>
        <v>Dec</v>
      </c>
      <c r="S940">
        <f>MONTH(Healthcare_Data[[#This Row],[Visit_Date]])</f>
        <v>12</v>
      </c>
      <c r="T940" t="str">
        <f>IF(Healthcare_Data[[#This Row],[Final_Bill]]&gt;=50000,"High",IF(Healthcare_Data[[#This Row],[Final_Bill]]&gt;=20000,"Medium","low"))</f>
        <v>low</v>
      </c>
    </row>
    <row r="941" spans="1:20" x14ac:dyDescent="0.3">
      <c r="A941" t="s">
        <v>996</v>
      </c>
      <c r="B941" s="3">
        <v>46000</v>
      </c>
      <c r="C941" t="s">
        <v>67</v>
      </c>
      <c r="D941" t="s">
        <v>28</v>
      </c>
      <c r="E941" t="s">
        <v>20</v>
      </c>
      <c r="F941" t="s">
        <v>21</v>
      </c>
      <c r="G941">
        <v>73</v>
      </c>
      <c r="H941" t="s">
        <v>41</v>
      </c>
      <c r="I941" t="s">
        <v>69</v>
      </c>
      <c r="J941" t="s">
        <v>58</v>
      </c>
      <c r="K941">
        <v>0</v>
      </c>
      <c r="L941" s="4">
        <v>16855</v>
      </c>
      <c r="M941">
        <v>500</v>
      </c>
      <c r="N941">
        <v>16355</v>
      </c>
      <c r="O941" t="s">
        <v>25</v>
      </c>
      <c r="P941">
        <v>4.9000000000000004</v>
      </c>
      <c r="Q941">
        <v>48</v>
      </c>
      <c r="R941" t="str">
        <f>TEXT(Healthcare_Data[[#This Row],[Visit_Date]],"mmm")</f>
        <v>Dec</v>
      </c>
      <c r="S941">
        <f>MONTH(Healthcare_Data[[#This Row],[Visit_Date]])</f>
        <v>12</v>
      </c>
      <c r="T941" t="str">
        <f>IF(Healthcare_Data[[#This Row],[Final_Bill]]&gt;=50000,"High",IF(Healthcare_Data[[#This Row],[Final_Bill]]&gt;=20000,"Medium","low"))</f>
        <v>low</v>
      </c>
    </row>
    <row r="942" spans="1:20" x14ac:dyDescent="0.3">
      <c r="A942" t="s">
        <v>997</v>
      </c>
      <c r="B942" s="3">
        <v>46001</v>
      </c>
      <c r="C942" t="s">
        <v>50</v>
      </c>
      <c r="D942" t="s">
        <v>39</v>
      </c>
      <c r="E942" t="s">
        <v>20</v>
      </c>
      <c r="F942" t="s">
        <v>40</v>
      </c>
      <c r="G942">
        <v>41</v>
      </c>
      <c r="H942" t="s">
        <v>56</v>
      </c>
      <c r="I942" t="s">
        <v>57</v>
      </c>
      <c r="J942" t="s">
        <v>24</v>
      </c>
      <c r="K942">
        <v>0</v>
      </c>
      <c r="L942" s="4">
        <v>7526</v>
      </c>
      <c r="M942">
        <v>1000</v>
      </c>
      <c r="N942">
        <v>6526</v>
      </c>
      <c r="O942" t="s">
        <v>59</v>
      </c>
      <c r="P942">
        <v>3.2</v>
      </c>
      <c r="Q942">
        <v>88</v>
      </c>
      <c r="R942" t="str">
        <f>TEXT(Healthcare_Data[[#This Row],[Visit_Date]],"mmm")</f>
        <v>Dec</v>
      </c>
      <c r="S942">
        <f>MONTH(Healthcare_Data[[#This Row],[Visit_Date]])</f>
        <v>12</v>
      </c>
      <c r="T942" t="str">
        <f>IF(Healthcare_Data[[#This Row],[Final_Bill]]&gt;=50000,"High",IF(Healthcare_Data[[#This Row],[Final_Bill]]&gt;=20000,"Medium","low"))</f>
        <v>low</v>
      </c>
    </row>
    <row r="943" spans="1:20" x14ac:dyDescent="0.3">
      <c r="A943" t="s">
        <v>998</v>
      </c>
      <c r="B943" s="3">
        <v>46001</v>
      </c>
      <c r="C943" t="s">
        <v>54</v>
      </c>
      <c r="D943" t="s">
        <v>51</v>
      </c>
      <c r="E943" t="s">
        <v>20</v>
      </c>
      <c r="F943" t="s">
        <v>40</v>
      </c>
      <c r="G943">
        <v>54</v>
      </c>
      <c r="H943" t="s">
        <v>41</v>
      </c>
      <c r="I943" t="s">
        <v>30</v>
      </c>
      <c r="J943" t="s">
        <v>24</v>
      </c>
      <c r="K943">
        <v>0</v>
      </c>
      <c r="L943" s="4">
        <v>17875</v>
      </c>
      <c r="M943">
        <v>0</v>
      </c>
      <c r="N943">
        <v>17875</v>
      </c>
      <c r="O943" t="s">
        <v>25</v>
      </c>
      <c r="P943">
        <v>2.8</v>
      </c>
      <c r="Q943">
        <v>83</v>
      </c>
      <c r="R943" t="str">
        <f>TEXT(Healthcare_Data[[#This Row],[Visit_Date]],"mmm")</f>
        <v>Dec</v>
      </c>
      <c r="S943">
        <f>MONTH(Healthcare_Data[[#This Row],[Visit_Date]])</f>
        <v>12</v>
      </c>
      <c r="T943" t="str">
        <f>IF(Healthcare_Data[[#This Row],[Final_Bill]]&gt;=50000,"High",IF(Healthcare_Data[[#This Row],[Final_Bill]]&gt;=20000,"Medium","low"))</f>
        <v>low</v>
      </c>
    </row>
    <row r="944" spans="1:20" x14ac:dyDescent="0.3">
      <c r="A944" t="s">
        <v>999</v>
      </c>
      <c r="B944" s="3">
        <v>46002</v>
      </c>
      <c r="C944" t="s">
        <v>44</v>
      </c>
      <c r="D944" t="s">
        <v>19</v>
      </c>
      <c r="E944" t="s">
        <v>54</v>
      </c>
      <c r="F944" t="s">
        <v>40</v>
      </c>
      <c r="G944">
        <v>48</v>
      </c>
      <c r="H944" t="s">
        <v>46</v>
      </c>
      <c r="I944" t="s">
        <v>57</v>
      </c>
      <c r="J944" t="s">
        <v>58</v>
      </c>
      <c r="K944">
        <v>0</v>
      </c>
      <c r="L944" s="4">
        <v>27239</v>
      </c>
      <c r="M944">
        <v>1500</v>
      </c>
      <c r="N944">
        <v>25739</v>
      </c>
      <c r="O944" t="s">
        <v>25</v>
      </c>
      <c r="P944">
        <v>2.8</v>
      </c>
      <c r="Q944">
        <v>98</v>
      </c>
      <c r="R944" t="str">
        <f>TEXT(Healthcare_Data[[#This Row],[Visit_Date]],"mmm")</f>
        <v>Dec</v>
      </c>
      <c r="S944">
        <f>MONTH(Healthcare_Data[[#This Row],[Visit_Date]])</f>
        <v>12</v>
      </c>
      <c r="T944" t="str">
        <f>IF(Healthcare_Data[[#This Row],[Final_Bill]]&gt;=50000,"High",IF(Healthcare_Data[[#This Row],[Final_Bill]]&gt;=20000,"Medium","low"))</f>
        <v>Medium</v>
      </c>
    </row>
    <row r="945" spans="1:20" x14ac:dyDescent="0.3">
      <c r="A945" t="s">
        <v>1000</v>
      </c>
      <c r="B945" s="3">
        <v>46002</v>
      </c>
      <c r="C945" t="s">
        <v>67</v>
      </c>
      <c r="D945" t="s">
        <v>39</v>
      </c>
      <c r="E945" t="s">
        <v>20</v>
      </c>
      <c r="F945" t="s">
        <v>40</v>
      </c>
      <c r="G945">
        <v>35</v>
      </c>
      <c r="H945" t="s">
        <v>56</v>
      </c>
      <c r="I945" t="s">
        <v>61</v>
      </c>
      <c r="J945" t="s">
        <v>24</v>
      </c>
      <c r="K945">
        <v>0</v>
      </c>
      <c r="L945" s="4">
        <v>2884</v>
      </c>
      <c r="M945">
        <v>0</v>
      </c>
      <c r="N945">
        <v>2884</v>
      </c>
      <c r="O945" t="s">
        <v>25</v>
      </c>
      <c r="P945">
        <v>3.1</v>
      </c>
      <c r="Q945">
        <v>91</v>
      </c>
      <c r="R945" t="str">
        <f>TEXT(Healthcare_Data[[#This Row],[Visit_Date]],"mmm")</f>
        <v>Dec</v>
      </c>
      <c r="S945">
        <f>MONTH(Healthcare_Data[[#This Row],[Visit_Date]])</f>
        <v>12</v>
      </c>
      <c r="T945" t="str">
        <f>IF(Healthcare_Data[[#This Row],[Final_Bill]]&gt;=50000,"High",IF(Healthcare_Data[[#This Row],[Final_Bill]]&gt;=20000,"Medium","low"))</f>
        <v>low</v>
      </c>
    </row>
    <row r="946" spans="1:20" x14ac:dyDescent="0.3">
      <c r="A946" t="s">
        <v>1001</v>
      </c>
      <c r="B946" s="3">
        <v>46003</v>
      </c>
      <c r="C946" t="s">
        <v>50</v>
      </c>
      <c r="D946" t="s">
        <v>19</v>
      </c>
      <c r="E946" t="s">
        <v>20</v>
      </c>
      <c r="F946" t="s">
        <v>40</v>
      </c>
      <c r="G946">
        <v>80</v>
      </c>
      <c r="H946" t="s">
        <v>56</v>
      </c>
      <c r="I946" t="s">
        <v>72</v>
      </c>
      <c r="J946" t="s">
        <v>36</v>
      </c>
      <c r="K946">
        <v>0</v>
      </c>
      <c r="L946" s="4">
        <v>13303</v>
      </c>
      <c r="M946">
        <v>1500</v>
      </c>
      <c r="N946">
        <v>11803</v>
      </c>
      <c r="O946" t="s">
        <v>59</v>
      </c>
      <c r="P946">
        <v>3</v>
      </c>
      <c r="Q946">
        <v>15</v>
      </c>
      <c r="R946" t="str">
        <f>TEXT(Healthcare_Data[[#This Row],[Visit_Date]],"mmm")</f>
        <v>Dec</v>
      </c>
      <c r="S946">
        <f>MONTH(Healthcare_Data[[#This Row],[Visit_Date]])</f>
        <v>12</v>
      </c>
      <c r="T946" t="str">
        <f>IF(Healthcare_Data[[#This Row],[Final_Bill]]&gt;=50000,"High",IF(Healthcare_Data[[#This Row],[Final_Bill]]&gt;=20000,"Medium","low"))</f>
        <v>low</v>
      </c>
    </row>
    <row r="947" spans="1:20" x14ac:dyDescent="0.3">
      <c r="A947" t="s">
        <v>1002</v>
      </c>
      <c r="B947" s="3">
        <v>46003</v>
      </c>
      <c r="C947" t="s">
        <v>50</v>
      </c>
      <c r="D947" t="s">
        <v>39</v>
      </c>
      <c r="E947" t="s">
        <v>52</v>
      </c>
      <c r="F947" t="s">
        <v>40</v>
      </c>
      <c r="G947">
        <v>37</v>
      </c>
      <c r="H947" t="s">
        <v>29</v>
      </c>
      <c r="I947" t="s">
        <v>30</v>
      </c>
      <c r="J947" t="s">
        <v>31</v>
      </c>
      <c r="K947">
        <v>10</v>
      </c>
      <c r="L947" s="4">
        <v>51784</v>
      </c>
      <c r="M947">
        <v>0</v>
      </c>
      <c r="N947">
        <v>51784</v>
      </c>
      <c r="O947" t="s">
        <v>25</v>
      </c>
      <c r="P947">
        <v>4.0999999999999996</v>
      </c>
      <c r="Q947">
        <v>17</v>
      </c>
      <c r="R947" t="str">
        <f>TEXT(Healthcare_Data[[#This Row],[Visit_Date]],"mmm")</f>
        <v>Dec</v>
      </c>
      <c r="S947">
        <f>MONTH(Healthcare_Data[[#This Row],[Visit_Date]])</f>
        <v>12</v>
      </c>
      <c r="T947" t="str">
        <f>IF(Healthcare_Data[[#This Row],[Final_Bill]]&gt;=50000,"High",IF(Healthcare_Data[[#This Row],[Final_Bill]]&gt;=20000,"Medium","low"))</f>
        <v>High</v>
      </c>
    </row>
    <row r="948" spans="1:20" x14ac:dyDescent="0.3">
      <c r="A948" t="s">
        <v>1003</v>
      </c>
      <c r="B948" s="3">
        <v>46003</v>
      </c>
      <c r="C948" t="s">
        <v>67</v>
      </c>
      <c r="D948" t="s">
        <v>39</v>
      </c>
      <c r="E948" t="s">
        <v>20</v>
      </c>
      <c r="F948" t="s">
        <v>21</v>
      </c>
      <c r="G948">
        <v>80</v>
      </c>
      <c r="H948" t="s">
        <v>115</v>
      </c>
      <c r="I948" t="s">
        <v>42</v>
      </c>
      <c r="J948" t="s">
        <v>58</v>
      </c>
      <c r="K948">
        <v>0</v>
      </c>
      <c r="L948" s="4">
        <v>2134</v>
      </c>
      <c r="M948">
        <v>1000</v>
      </c>
      <c r="N948">
        <v>1134</v>
      </c>
      <c r="O948" t="s">
        <v>25</v>
      </c>
      <c r="P948">
        <v>2.5</v>
      </c>
      <c r="Q948">
        <v>92</v>
      </c>
      <c r="R948" t="str">
        <f>TEXT(Healthcare_Data[[#This Row],[Visit_Date]],"mmm")</f>
        <v>Dec</v>
      </c>
      <c r="S948">
        <f>MONTH(Healthcare_Data[[#This Row],[Visit_Date]])</f>
        <v>12</v>
      </c>
      <c r="T948" t="str">
        <f>IF(Healthcare_Data[[#This Row],[Final_Bill]]&gt;=50000,"High",IF(Healthcare_Data[[#This Row],[Final_Bill]]&gt;=20000,"Medium","low"))</f>
        <v>low</v>
      </c>
    </row>
    <row r="949" spans="1:20" x14ac:dyDescent="0.3">
      <c r="A949" t="s">
        <v>1004</v>
      </c>
      <c r="B949" s="3">
        <v>46003</v>
      </c>
      <c r="C949" t="s">
        <v>48</v>
      </c>
      <c r="D949" t="s">
        <v>19</v>
      </c>
      <c r="E949" t="s">
        <v>54</v>
      </c>
      <c r="F949" t="s">
        <v>40</v>
      </c>
      <c r="G949">
        <v>26</v>
      </c>
      <c r="H949" t="s">
        <v>29</v>
      </c>
      <c r="I949" t="s">
        <v>69</v>
      </c>
      <c r="J949" t="s">
        <v>24</v>
      </c>
      <c r="K949">
        <v>0</v>
      </c>
      <c r="L949" s="4">
        <v>37097</v>
      </c>
      <c r="M949">
        <v>500</v>
      </c>
      <c r="N949">
        <v>36597</v>
      </c>
      <c r="O949" t="s">
        <v>25</v>
      </c>
      <c r="P949">
        <v>4.3</v>
      </c>
      <c r="Q949">
        <v>80</v>
      </c>
      <c r="R949" t="str">
        <f>TEXT(Healthcare_Data[[#This Row],[Visit_Date]],"mmm")</f>
        <v>Dec</v>
      </c>
      <c r="S949">
        <f>MONTH(Healthcare_Data[[#This Row],[Visit_Date]])</f>
        <v>12</v>
      </c>
      <c r="T949" t="str">
        <f>IF(Healthcare_Data[[#This Row],[Final_Bill]]&gt;=50000,"High",IF(Healthcare_Data[[#This Row],[Final_Bill]]&gt;=20000,"Medium","low"))</f>
        <v>Medium</v>
      </c>
    </row>
    <row r="950" spans="1:20" x14ac:dyDescent="0.3">
      <c r="A950" t="s">
        <v>1005</v>
      </c>
      <c r="B950" s="3">
        <v>46003</v>
      </c>
      <c r="C950" t="s">
        <v>38</v>
      </c>
      <c r="D950" t="s">
        <v>19</v>
      </c>
      <c r="E950" t="s">
        <v>54</v>
      </c>
      <c r="F950" t="s">
        <v>21</v>
      </c>
      <c r="G950">
        <v>63</v>
      </c>
      <c r="H950" t="s">
        <v>65</v>
      </c>
      <c r="I950" t="s">
        <v>61</v>
      </c>
      <c r="J950" t="s">
        <v>24</v>
      </c>
      <c r="K950">
        <v>0</v>
      </c>
      <c r="L950" s="4">
        <v>18391</v>
      </c>
      <c r="M950">
        <v>1000</v>
      </c>
      <c r="N950">
        <v>17391</v>
      </c>
      <c r="O950" t="s">
        <v>25</v>
      </c>
      <c r="P950">
        <v>4.4000000000000004</v>
      </c>
      <c r="Q950">
        <v>90</v>
      </c>
      <c r="R950" t="str">
        <f>TEXT(Healthcare_Data[[#This Row],[Visit_Date]],"mmm")</f>
        <v>Dec</v>
      </c>
      <c r="S950">
        <f>MONTH(Healthcare_Data[[#This Row],[Visit_Date]])</f>
        <v>12</v>
      </c>
      <c r="T950" t="str">
        <f>IF(Healthcare_Data[[#This Row],[Final_Bill]]&gt;=50000,"High",IF(Healthcare_Data[[#This Row],[Final_Bill]]&gt;=20000,"Medium","low"))</f>
        <v>low</v>
      </c>
    </row>
    <row r="951" spans="1:20" x14ac:dyDescent="0.3">
      <c r="A951" t="s">
        <v>1006</v>
      </c>
      <c r="B951" s="3">
        <v>46003</v>
      </c>
      <c r="C951" t="s">
        <v>50</v>
      </c>
      <c r="D951" t="s">
        <v>34</v>
      </c>
      <c r="E951" t="s">
        <v>52</v>
      </c>
      <c r="F951" t="s">
        <v>21</v>
      </c>
      <c r="G951">
        <v>31</v>
      </c>
      <c r="H951" t="s">
        <v>29</v>
      </c>
      <c r="I951" t="s">
        <v>30</v>
      </c>
      <c r="J951" t="s">
        <v>24</v>
      </c>
      <c r="K951">
        <v>7</v>
      </c>
      <c r="L951" s="4">
        <v>46416</v>
      </c>
      <c r="M951">
        <v>500</v>
      </c>
      <c r="N951">
        <v>45916</v>
      </c>
      <c r="O951" t="s">
        <v>25</v>
      </c>
      <c r="P951">
        <v>2.8</v>
      </c>
      <c r="Q951">
        <v>28</v>
      </c>
      <c r="R951" t="str">
        <f>TEXT(Healthcare_Data[[#This Row],[Visit_Date]],"mmm")</f>
        <v>Dec</v>
      </c>
      <c r="S951">
        <f>MONTH(Healthcare_Data[[#This Row],[Visit_Date]])</f>
        <v>12</v>
      </c>
      <c r="T951" t="str">
        <f>IF(Healthcare_Data[[#This Row],[Final_Bill]]&gt;=50000,"High",IF(Healthcare_Data[[#This Row],[Final_Bill]]&gt;=20000,"Medium","low"))</f>
        <v>Medium</v>
      </c>
    </row>
    <row r="952" spans="1:20" x14ac:dyDescent="0.3">
      <c r="A952" t="s">
        <v>1007</v>
      </c>
      <c r="B952" s="3">
        <v>46003</v>
      </c>
      <c r="C952" t="s">
        <v>44</v>
      </c>
      <c r="D952" t="s">
        <v>19</v>
      </c>
      <c r="E952" t="s">
        <v>20</v>
      </c>
      <c r="F952" t="s">
        <v>40</v>
      </c>
      <c r="G952">
        <v>32</v>
      </c>
      <c r="H952" t="s">
        <v>41</v>
      </c>
      <c r="I952" t="s">
        <v>23</v>
      </c>
      <c r="J952" t="s">
        <v>58</v>
      </c>
      <c r="K952">
        <v>0</v>
      </c>
      <c r="L952" s="4">
        <v>4499</v>
      </c>
      <c r="M952">
        <v>1500</v>
      </c>
      <c r="N952">
        <v>2999</v>
      </c>
      <c r="O952" t="s">
        <v>25</v>
      </c>
      <c r="P952">
        <v>4.5999999999999996</v>
      </c>
      <c r="Q952">
        <v>89</v>
      </c>
      <c r="R952" t="str">
        <f>TEXT(Healthcare_Data[[#This Row],[Visit_Date]],"mmm")</f>
        <v>Dec</v>
      </c>
      <c r="S952">
        <f>MONTH(Healthcare_Data[[#This Row],[Visit_Date]])</f>
        <v>12</v>
      </c>
      <c r="T952" t="str">
        <f>IF(Healthcare_Data[[#This Row],[Final_Bill]]&gt;=50000,"High",IF(Healthcare_Data[[#This Row],[Final_Bill]]&gt;=20000,"Medium","low"))</f>
        <v>low</v>
      </c>
    </row>
    <row r="953" spans="1:20" x14ac:dyDescent="0.3">
      <c r="A953" t="s">
        <v>1008</v>
      </c>
      <c r="B953" s="3">
        <v>46004</v>
      </c>
      <c r="C953" t="s">
        <v>50</v>
      </c>
      <c r="D953" t="s">
        <v>28</v>
      </c>
      <c r="E953" t="s">
        <v>20</v>
      </c>
      <c r="F953" t="s">
        <v>40</v>
      </c>
      <c r="G953">
        <v>78</v>
      </c>
      <c r="H953" t="s">
        <v>35</v>
      </c>
      <c r="I953" t="s">
        <v>69</v>
      </c>
      <c r="J953" t="s">
        <v>31</v>
      </c>
      <c r="K953">
        <v>0</v>
      </c>
      <c r="L953" s="4">
        <v>14309</v>
      </c>
      <c r="M953">
        <v>2000</v>
      </c>
      <c r="N953">
        <v>12309</v>
      </c>
      <c r="O953" t="s">
        <v>25</v>
      </c>
      <c r="P953">
        <v>4</v>
      </c>
      <c r="Q953">
        <v>70</v>
      </c>
      <c r="R953" t="str">
        <f>TEXT(Healthcare_Data[[#This Row],[Visit_Date]],"mmm")</f>
        <v>Dec</v>
      </c>
      <c r="S953">
        <f>MONTH(Healthcare_Data[[#This Row],[Visit_Date]])</f>
        <v>12</v>
      </c>
      <c r="T953" t="str">
        <f>IF(Healthcare_Data[[#This Row],[Final_Bill]]&gt;=50000,"High",IF(Healthcare_Data[[#This Row],[Final_Bill]]&gt;=20000,"Medium","low"))</f>
        <v>low</v>
      </c>
    </row>
    <row r="954" spans="1:20" x14ac:dyDescent="0.3">
      <c r="A954" t="s">
        <v>1009</v>
      </c>
      <c r="B954" s="3">
        <v>46005</v>
      </c>
      <c r="C954" t="s">
        <v>67</v>
      </c>
      <c r="D954" t="s">
        <v>51</v>
      </c>
      <c r="E954" t="s">
        <v>52</v>
      </c>
      <c r="F954" t="s">
        <v>40</v>
      </c>
      <c r="G954">
        <v>30</v>
      </c>
      <c r="H954" t="s">
        <v>41</v>
      </c>
      <c r="I954" t="s">
        <v>72</v>
      </c>
      <c r="J954" t="s">
        <v>31</v>
      </c>
      <c r="K954">
        <v>13</v>
      </c>
      <c r="L954" s="4">
        <v>15526</v>
      </c>
      <c r="M954">
        <v>0</v>
      </c>
      <c r="N954">
        <v>15526</v>
      </c>
      <c r="O954" t="s">
        <v>25</v>
      </c>
      <c r="P954">
        <v>2.7</v>
      </c>
      <c r="Q954">
        <v>45</v>
      </c>
      <c r="R954" t="str">
        <f>TEXT(Healthcare_Data[[#This Row],[Visit_Date]],"mmm")</f>
        <v>Dec</v>
      </c>
      <c r="S954">
        <f>MONTH(Healthcare_Data[[#This Row],[Visit_Date]])</f>
        <v>12</v>
      </c>
      <c r="T954" t="str">
        <f>IF(Healthcare_Data[[#This Row],[Final_Bill]]&gt;=50000,"High",IF(Healthcare_Data[[#This Row],[Final_Bill]]&gt;=20000,"Medium","low"))</f>
        <v>low</v>
      </c>
    </row>
    <row r="955" spans="1:20" x14ac:dyDescent="0.3">
      <c r="A955" t="s">
        <v>1010</v>
      </c>
      <c r="B955" s="3">
        <v>46005</v>
      </c>
      <c r="C955" t="s">
        <v>67</v>
      </c>
      <c r="D955" t="s">
        <v>34</v>
      </c>
      <c r="E955" t="s">
        <v>20</v>
      </c>
      <c r="F955" t="s">
        <v>21</v>
      </c>
      <c r="G955">
        <v>76</v>
      </c>
      <c r="H955" t="s">
        <v>22</v>
      </c>
      <c r="I955" t="s">
        <v>23</v>
      </c>
      <c r="J955" t="s">
        <v>24</v>
      </c>
      <c r="K955">
        <v>0</v>
      </c>
      <c r="L955" s="4">
        <v>1551</v>
      </c>
      <c r="M955">
        <v>1500</v>
      </c>
      <c r="N955">
        <v>51</v>
      </c>
      <c r="O955" t="s">
        <v>25</v>
      </c>
      <c r="P955">
        <v>4.5</v>
      </c>
      <c r="Q955">
        <v>34</v>
      </c>
      <c r="R955" t="str">
        <f>TEXT(Healthcare_Data[[#This Row],[Visit_Date]],"mmm")</f>
        <v>Dec</v>
      </c>
      <c r="S955">
        <f>MONTH(Healthcare_Data[[#This Row],[Visit_Date]])</f>
        <v>12</v>
      </c>
      <c r="T955" t="str">
        <f>IF(Healthcare_Data[[#This Row],[Final_Bill]]&gt;=50000,"High",IF(Healthcare_Data[[#This Row],[Final_Bill]]&gt;=20000,"Medium","low"))</f>
        <v>low</v>
      </c>
    </row>
    <row r="956" spans="1:20" x14ac:dyDescent="0.3">
      <c r="A956" t="s">
        <v>1011</v>
      </c>
      <c r="B956" s="3">
        <v>46005</v>
      </c>
      <c r="C956" t="s">
        <v>18</v>
      </c>
      <c r="D956" t="s">
        <v>39</v>
      </c>
      <c r="E956" t="s">
        <v>52</v>
      </c>
      <c r="F956" t="s">
        <v>21</v>
      </c>
      <c r="G956">
        <v>24</v>
      </c>
      <c r="H956" t="s">
        <v>56</v>
      </c>
      <c r="I956" t="s">
        <v>72</v>
      </c>
      <c r="J956" t="s">
        <v>24</v>
      </c>
      <c r="K956">
        <v>13</v>
      </c>
      <c r="L956" s="4">
        <v>17690</v>
      </c>
      <c r="M956">
        <v>500</v>
      </c>
      <c r="N956">
        <v>17190</v>
      </c>
      <c r="O956" t="s">
        <v>59</v>
      </c>
      <c r="P956">
        <v>3.9</v>
      </c>
      <c r="Q956">
        <v>53</v>
      </c>
      <c r="R956" t="str">
        <f>TEXT(Healthcare_Data[[#This Row],[Visit_Date]],"mmm")</f>
        <v>Dec</v>
      </c>
      <c r="S956">
        <f>MONTH(Healthcare_Data[[#This Row],[Visit_Date]])</f>
        <v>12</v>
      </c>
      <c r="T956" t="str">
        <f>IF(Healthcare_Data[[#This Row],[Final_Bill]]&gt;=50000,"High",IF(Healthcare_Data[[#This Row],[Final_Bill]]&gt;=20000,"Medium","low"))</f>
        <v>low</v>
      </c>
    </row>
    <row r="957" spans="1:20" x14ac:dyDescent="0.3">
      <c r="A957" t="s">
        <v>1012</v>
      </c>
      <c r="B957" s="3">
        <v>46005</v>
      </c>
      <c r="C957" t="s">
        <v>50</v>
      </c>
      <c r="D957" t="s">
        <v>51</v>
      </c>
      <c r="E957" t="s">
        <v>52</v>
      </c>
      <c r="F957" t="s">
        <v>21</v>
      </c>
      <c r="G957">
        <v>56</v>
      </c>
      <c r="H957" t="s">
        <v>65</v>
      </c>
      <c r="I957" t="s">
        <v>30</v>
      </c>
      <c r="J957" t="s">
        <v>31</v>
      </c>
      <c r="K957">
        <v>8</v>
      </c>
      <c r="L957" s="4">
        <v>79422</v>
      </c>
      <c r="M957">
        <v>2000</v>
      </c>
      <c r="N957">
        <v>77422</v>
      </c>
      <c r="O957" t="s">
        <v>25</v>
      </c>
      <c r="P957">
        <v>3.2</v>
      </c>
      <c r="Q957">
        <v>61</v>
      </c>
      <c r="R957" t="str">
        <f>TEXT(Healthcare_Data[[#This Row],[Visit_Date]],"mmm")</f>
        <v>Dec</v>
      </c>
      <c r="S957">
        <f>MONTH(Healthcare_Data[[#This Row],[Visit_Date]])</f>
        <v>12</v>
      </c>
      <c r="T957" t="str">
        <f>IF(Healthcare_Data[[#This Row],[Final_Bill]]&gt;=50000,"High",IF(Healthcare_Data[[#This Row],[Final_Bill]]&gt;=20000,"Medium","low"))</f>
        <v>High</v>
      </c>
    </row>
    <row r="958" spans="1:20" x14ac:dyDescent="0.3">
      <c r="A958" t="s">
        <v>1013</v>
      </c>
      <c r="B958" s="3">
        <v>46006</v>
      </c>
      <c r="C958" t="s">
        <v>50</v>
      </c>
      <c r="D958" t="s">
        <v>34</v>
      </c>
      <c r="E958" t="s">
        <v>54</v>
      </c>
      <c r="F958" t="s">
        <v>40</v>
      </c>
      <c r="G958">
        <v>18</v>
      </c>
      <c r="H958" t="s">
        <v>41</v>
      </c>
      <c r="I958" t="s">
        <v>23</v>
      </c>
      <c r="J958" t="s">
        <v>58</v>
      </c>
      <c r="K958">
        <v>0</v>
      </c>
      <c r="L958" s="4">
        <v>21358</v>
      </c>
      <c r="M958">
        <v>1000</v>
      </c>
      <c r="N958">
        <v>20358</v>
      </c>
      <c r="O958" t="s">
        <v>25</v>
      </c>
      <c r="P958">
        <v>3.3</v>
      </c>
      <c r="Q958">
        <v>49</v>
      </c>
      <c r="R958" t="str">
        <f>TEXT(Healthcare_Data[[#This Row],[Visit_Date]],"mmm")</f>
        <v>Dec</v>
      </c>
      <c r="S958">
        <f>MONTH(Healthcare_Data[[#This Row],[Visit_Date]])</f>
        <v>12</v>
      </c>
      <c r="T958" t="str">
        <f>IF(Healthcare_Data[[#This Row],[Final_Bill]]&gt;=50000,"High",IF(Healthcare_Data[[#This Row],[Final_Bill]]&gt;=20000,"Medium","low"))</f>
        <v>Medium</v>
      </c>
    </row>
    <row r="959" spans="1:20" x14ac:dyDescent="0.3">
      <c r="A959" t="s">
        <v>1014</v>
      </c>
      <c r="B959" s="3">
        <v>46006</v>
      </c>
      <c r="C959" t="s">
        <v>54</v>
      </c>
      <c r="D959" t="s">
        <v>28</v>
      </c>
      <c r="E959" t="s">
        <v>20</v>
      </c>
      <c r="F959" t="s">
        <v>21</v>
      </c>
      <c r="G959">
        <v>66</v>
      </c>
      <c r="H959" t="s">
        <v>41</v>
      </c>
      <c r="I959" t="s">
        <v>42</v>
      </c>
      <c r="J959" t="s">
        <v>58</v>
      </c>
      <c r="K959">
        <v>0</v>
      </c>
      <c r="L959" s="4">
        <v>10804</v>
      </c>
      <c r="M959">
        <v>500</v>
      </c>
      <c r="N959">
        <v>10304</v>
      </c>
      <c r="O959" t="s">
        <v>25</v>
      </c>
      <c r="P959">
        <v>4.9000000000000004</v>
      </c>
      <c r="Q959">
        <v>72</v>
      </c>
      <c r="R959" t="str">
        <f>TEXT(Healthcare_Data[[#This Row],[Visit_Date]],"mmm")</f>
        <v>Dec</v>
      </c>
      <c r="S959">
        <f>MONTH(Healthcare_Data[[#This Row],[Visit_Date]])</f>
        <v>12</v>
      </c>
      <c r="T959" t="str">
        <f>IF(Healthcare_Data[[#This Row],[Final_Bill]]&gt;=50000,"High",IF(Healthcare_Data[[#This Row],[Final_Bill]]&gt;=20000,"Medium","low"))</f>
        <v>low</v>
      </c>
    </row>
    <row r="960" spans="1:20" x14ac:dyDescent="0.3">
      <c r="A960" t="s">
        <v>1015</v>
      </c>
      <c r="B960" s="3">
        <v>46006</v>
      </c>
      <c r="C960" t="s">
        <v>44</v>
      </c>
      <c r="D960" t="s">
        <v>39</v>
      </c>
      <c r="E960" t="s">
        <v>54</v>
      </c>
      <c r="F960" t="s">
        <v>40</v>
      </c>
      <c r="G960">
        <v>56</v>
      </c>
      <c r="H960" t="s">
        <v>115</v>
      </c>
      <c r="I960" t="s">
        <v>63</v>
      </c>
      <c r="J960" t="s">
        <v>24</v>
      </c>
      <c r="K960">
        <v>0</v>
      </c>
      <c r="L960" s="4">
        <v>40449</v>
      </c>
      <c r="M960">
        <v>2000</v>
      </c>
      <c r="N960">
        <v>38449</v>
      </c>
      <c r="O960" t="s">
        <v>25</v>
      </c>
      <c r="P960">
        <v>2.6</v>
      </c>
      <c r="Q960">
        <v>15</v>
      </c>
      <c r="R960" t="str">
        <f>TEXT(Healthcare_Data[[#This Row],[Visit_Date]],"mmm")</f>
        <v>Dec</v>
      </c>
      <c r="S960">
        <f>MONTH(Healthcare_Data[[#This Row],[Visit_Date]])</f>
        <v>12</v>
      </c>
      <c r="T960" t="str">
        <f>IF(Healthcare_Data[[#This Row],[Final_Bill]]&gt;=50000,"High",IF(Healthcare_Data[[#This Row],[Final_Bill]]&gt;=20000,"Medium","low"))</f>
        <v>Medium</v>
      </c>
    </row>
    <row r="961" spans="1:20" x14ac:dyDescent="0.3">
      <c r="A961" t="s">
        <v>1016</v>
      </c>
      <c r="B961" s="3">
        <v>46006</v>
      </c>
      <c r="C961" t="s">
        <v>44</v>
      </c>
      <c r="D961" t="s">
        <v>51</v>
      </c>
      <c r="E961" t="s">
        <v>20</v>
      </c>
      <c r="F961" t="s">
        <v>40</v>
      </c>
      <c r="G961">
        <v>33</v>
      </c>
      <c r="H961" t="s">
        <v>41</v>
      </c>
      <c r="I961" t="s">
        <v>23</v>
      </c>
      <c r="J961" t="s">
        <v>24</v>
      </c>
      <c r="K961">
        <v>0</v>
      </c>
      <c r="L961" s="4">
        <v>14470</v>
      </c>
      <c r="M961">
        <v>500</v>
      </c>
      <c r="N961">
        <v>13970</v>
      </c>
      <c r="O961" t="s">
        <v>25</v>
      </c>
      <c r="P961">
        <v>4.5999999999999996</v>
      </c>
      <c r="Q961">
        <v>6</v>
      </c>
      <c r="R961" t="str">
        <f>TEXT(Healthcare_Data[[#This Row],[Visit_Date]],"mmm")</f>
        <v>Dec</v>
      </c>
      <c r="S961">
        <f>MONTH(Healthcare_Data[[#This Row],[Visit_Date]])</f>
        <v>12</v>
      </c>
      <c r="T961" t="str">
        <f>IF(Healthcare_Data[[#This Row],[Final_Bill]]&gt;=50000,"High",IF(Healthcare_Data[[#This Row],[Final_Bill]]&gt;=20000,"Medium","low"))</f>
        <v>low</v>
      </c>
    </row>
    <row r="962" spans="1:20" x14ac:dyDescent="0.3">
      <c r="A962" t="s">
        <v>1017</v>
      </c>
      <c r="B962" s="3">
        <v>46006</v>
      </c>
      <c r="C962" t="s">
        <v>50</v>
      </c>
      <c r="D962" t="s">
        <v>19</v>
      </c>
      <c r="E962" t="s">
        <v>54</v>
      </c>
      <c r="F962" t="s">
        <v>21</v>
      </c>
      <c r="G962">
        <v>79</v>
      </c>
      <c r="H962" t="s">
        <v>22</v>
      </c>
      <c r="I962" t="s">
        <v>42</v>
      </c>
      <c r="J962" t="s">
        <v>36</v>
      </c>
      <c r="K962">
        <v>0</v>
      </c>
      <c r="L962" s="4">
        <v>22605</v>
      </c>
      <c r="M962">
        <v>1000</v>
      </c>
      <c r="N962">
        <v>21605</v>
      </c>
      <c r="O962" t="s">
        <v>25</v>
      </c>
      <c r="P962">
        <v>4.5</v>
      </c>
      <c r="Q962">
        <v>43</v>
      </c>
      <c r="R962" t="str">
        <f>TEXT(Healthcare_Data[[#This Row],[Visit_Date]],"mmm")</f>
        <v>Dec</v>
      </c>
      <c r="S962">
        <f>MONTH(Healthcare_Data[[#This Row],[Visit_Date]])</f>
        <v>12</v>
      </c>
      <c r="T962" t="str">
        <f>IF(Healthcare_Data[[#This Row],[Final_Bill]]&gt;=50000,"High",IF(Healthcare_Data[[#This Row],[Final_Bill]]&gt;=20000,"Medium","low"))</f>
        <v>Medium</v>
      </c>
    </row>
    <row r="963" spans="1:20" x14ac:dyDescent="0.3">
      <c r="A963" t="s">
        <v>1018</v>
      </c>
      <c r="B963" s="3">
        <v>46007</v>
      </c>
      <c r="C963" t="s">
        <v>50</v>
      </c>
      <c r="D963" t="s">
        <v>19</v>
      </c>
      <c r="E963" t="s">
        <v>52</v>
      </c>
      <c r="F963" t="s">
        <v>40</v>
      </c>
      <c r="G963">
        <v>29</v>
      </c>
      <c r="H963" t="s">
        <v>46</v>
      </c>
      <c r="I963" t="s">
        <v>30</v>
      </c>
      <c r="J963" t="s">
        <v>31</v>
      </c>
      <c r="K963">
        <v>3</v>
      </c>
      <c r="L963" s="4">
        <v>70296</v>
      </c>
      <c r="M963">
        <v>1000</v>
      </c>
      <c r="N963">
        <v>69296</v>
      </c>
      <c r="O963" t="s">
        <v>25</v>
      </c>
      <c r="P963">
        <v>4.3</v>
      </c>
      <c r="Q963">
        <v>6</v>
      </c>
      <c r="R963" t="str">
        <f>TEXT(Healthcare_Data[[#This Row],[Visit_Date]],"mmm")</f>
        <v>Dec</v>
      </c>
      <c r="S963">
        <f>MONTH(Healthcare_Data[[#This Row],[Visit_Date]])</f>
        <v>12</v>
      </c>
      <c r="T963" t="str">
        <f>IF(Healthcare_Data[[#This Row],[Final_Bill]]&gt;=50000,"High",IF(Healthcare_Data[[#This Row],[Final_Bill]]&gt;=20000,"Medium","low"))</f>
        <v>High</v>
      </c>
    </row>
    <row r="964" spans="1:20" x14ac:dyDescent="0.3">
      <c r="A964" t="s">
        <v>1019</v>
      </c>
      <c r="B964" s="3">
        <v>46007</v>
      </c>
      <c r="C964" t="s">
        <v>38</v>
      </c>
      <c r="D964" t="s">
        <v>39</v>
      </c>
      <c r="E964" t="s">
        <v>20</v>
      </c>
      <c r="F964" t="s">
        <v>21</v>
      </c>
      <c r="G964">
        <v>69</v>
      </c>
      <c r="H964" t="s">
        <v>46</v>
      </c>
      <c r="I964" t="s">
        <v>63</v>
      </c>
      <c r="J964" t="s">
        <v>1057</v>
      </c>
      <c r="K964">
        <v>0</v>
      </c>
      <c r="L964" s="4">
        <v>15667</v>
      </c>
      <c r="M964">
        <v>0</v>
      </c>
      <c r="N964">
        <v>15667</v>
      </c>
      <c r="O964" t="s">
        <v>25</v>
      </c>
      <c r="P964">
        <v>3.9</v>
      </c>
      <c r="Q964">
        <v>72</v>
      </c>
      <c r="R964" t="str">
        <f>TEXT(Healthcare_Data[[#This Row],[Visit_Date]],"mmm")</f>
        <v>Dec</v>
      </c>
      <c r="S964">
        <f>MONTH(Healthcare_Data[[#This Row],[Visit_Date]])</f>
        <v>12</v>
      </c>
      <c r="T964" t="str">
        <f>IF(Healthcare_Data[[#This Row],[Final_Bill]]&gt;=50000,"High",IF(Healthcare_Data[[#This Row],[Final_Bill]]&gt;=20000,"Medium","low"))</f>
        <v>low</v>
      </c>
    </row>
    <row r="965" spans="1:20" x14ac:dyDescent="0.3">
      <c r="A965" t="s">
        <v>1020</v>
      </c>
      <c r="B965" s="3">
        <v>46007</v>
      </c>
      <c r="C965" t="s">
        <v>27</v>
      </c>
      <c r="D965" t="s">
        <v>28</v>
      </c>
      <c r="E965" t="s">
        <v>54</v>
      </c>
      <c r="F965" t="s">
        <v>21</v>
      </c>
      <c r="G965">
        <v>60</v>
      </c>
      <c r="H965" t="s">
        <v>56</v>
      </c>
      <c r="I965" t="s">
        <v>69</v>
      </c>
      <c r="J965" t="s">
        <v>31</v>
      </c>
      <c r="K965">
        <v>0</v>
      </c>
      <c r="L965" s="4">
        <v>36261</v>
      </c>
      <c r="M965">
        <v>0</v>
      </c>
      <c r="N965">
        <v>36261</v>
      </c>
      <c r="O965" t="s">
        <v>59</v>
      </c>
      <c r="P965">
        <v>2.5</v>
      </c>
      <c r="Q965">
        <v>70</v>
      </c>
      <c r="R965" t="str">
        <f>TEXT(Healthcare_Data[[#This Row],[Visit_Date]],"mmm")</f>
        <v>Dec</v>
      </c>
      <c r="S965">
        <f>MONTH(Healthcare_Data[[#This Row],[Visit_Date]])</f>
        <v>12</v>
      </c>
      <c r="T965" t="str">
        <f>IF(Healthcare_Data[[#This Row],[Final_Bill]]&gt;=50000,"High",IF(Healthcare_Data[[#This Row],[Final_Bill]]&gt;=20000,"Medium","low"))</f>
        <v>Medium</v>
      </c>
    </row>
    <row r="966" spans="1:20" x14ac:dyDescent="0.3">
      <c r="A966" t="s">
        <v>1021</v>
      </c>
      <c r="B966" s="3">
        <v>46007</v>
      </c>
      <c r="C966" t="s">
        <v>18</v>
      </c>
      <c r="D966" t="s">
        <v>34</v>
      </c>
      <c r="E966" t="s">
        <v>52</v>
      </c>
      <c r="F966" t="s">
        <v>21</v>
      </c>
      <c r="G966">
        <v>80</v>
      </c>
      <c r="H966" t="s">
        <v>56</v>
      </c>
      <c r="I966" t="s">
        <v>69</v>
      </c>
      <c r="J966" t="s">
        <v>31</v>
      </c>
      <c r="K966">
        <v>9</v>
      </c>
      <c r="L966" s="4">
        <v>49318</v>
      </c>
      <c r="M966">
        <v>500</v>
      </c>
      <c r="N966">
        <v>48818</v>
      </c>
      <c r="O966" t="s">
        <v>25</v>
      </c>
      <c r="P966">
        <v>4.3</v>
      </c>
      <c r="Q966">
        <v>75</v>
      </c>
      <c r="R966" t="str">
        <f>TEXT(Healthcare_Data[[#This Row],[Visit_Date]],"mmm")</f>
        <v>Dec</v>
      </c>
      <c r="S966">
        <f>MONTH(Healthcare_Data[[#This Row],[Visit_Date]])</f>
        <v>12</v>
      </c>
      <c r="T966" t="str">
        <f>IF(Healthcare_Data[[#This Row],[Final_Bill]]&gt;=50000,"High",IF(Healthcare_Data[[#This Row],[Final_Bill]]&gt;=20000,"Medium","low"))</f>
        <v>Medium</v>
      </c>
    </row>
    <row r="967" spans="1:20" x14ac:dyDescent="0.3">
      <c r="A967" t="s">
        <v>1022</v>
      </c>
      <c r="B967" s="3">
        <v>46008</v>
      </c>
      <c r="C967" t="s">
        <v>18</v>
      </c>
      <c r="D967" t="s">
        <v>19</v>
      </c>
      <c r="E967" t="s">
        <v>54</v>
      </c>
      <c r="F967" t="s">
        <v>21</v>
      </c>
      <c r="G967">
        <v>28</v>
      </c>
      <c r="H967" t="s">
        <v>46</v>
      </c>
      <c r="I967" t="s">
        <v>30</v>
      </c>
      <c r="J967" t="s">
        <v>58</v>
      </c>
      <c r="K967">
        <v>0</v>
      </c>
      <c r="L967" s="4">
        <v>20041</v>
      </c>
      <c r="M967">
        <v>0</v>
      </c>
      <c r="N967">
        <v>20041</v>
      </c>
      <c r="O967" t="s">
        <v>25</v>
      </c>
      <c r="P967">
        <v>4.8</v>
      </c>
      <c r="Q967">
        <v>48</v>
      </c>
      <c r="R967" t="str">
        <f>TEXT(Healthcare_Data[[#This Row],[Visit_Date]],"mmm")</f>
        <v>Dec</v>
      </c>
      <c r="S967">
        <f>MONTH(Healthcare_Data[[#This Row],[Visit_Date]])</f>
        <v>12</v>
      </c>
      <c r="T967" t="str">
        <f>IF(Healthcare_Data[[#This Row],[Final_Bill]]&gt;=50000,"High",IF(Healthcare_Data[[#This Row],[Final_Bill]]&gt;=20000,"Medium","low"))</f>
        <v>Medium</v>
      </c>
    </row>
    <row r="968" spans="1:20" x14ac:dyDescent="0.3">
      <c r="A968" t="s">
        <v>1023</v>
      </c>
      <c r="B968" s="3">
        <v>46008</v>
      </c>
      <c r="C968" t="s">
        <v>67</v>
      </c>
      <c r="D968" t="s">
        <v>34</v>
      </c>
      <c r="E968" t="s">
        <v>52</v>
      </c>
      <c r="F968" t="s">
        <v>40</v>
      </c>
      <c r="G968">
        <v>45</v>
      </c>
      <c r="H968" t="s">
        <v>56</v>
      </c>
      <c r="I968" t="s">
        <v>61</v>
      </c>
      <c r="J968" t="s">
        <v>58</v>
      </c>
      <c r="K968">
        <v>11</v>
      </c>
      <c r="L968" s="4">
        <v>56003</v>
      </c>
      <c r="M968">
        <v>0</v>
      </c>
      <c r="N968">
        <v>56003</v>
      </c>
      <c r="O968" t="s">
        <v>25</v>
      </c>
      <c r="P968">
        <v>4.9000000000000004</v>
      </c>
      <c r="Q968">
        <v>40</v>
      </c>
      <c r="R968" t="str">
        <f>TEXT(Healthcare_Data[[#This Row],[Visit_Date]],"mmm")</f>
        <v>Dec</v>
      </c>
      <c r="S968">
        <f>MONTH(Healthcare_Data[[#This Row],[Visit_Date]])</f>
        <v>12</v>
      </c>
      <c r="T968" t="str">
        <f>IF(Healthcare_Data[[#This Row],[Final_Bill]]&gt;=50000,"High",IF(Healthcare_Data[[#This Row],[Final_Bill]]&gt;=20000,"Medium","low"))</f>
        <v>High</v>
      </c>
    </row>
    <row r="969" spans="1:20" x14ac:dyDescent="0.3">
      <c r="A969" t="s">
        <v>1024</v>
      </c>
      <c r="B969" s="3">
        <v>46009</v>
      </c>
      <c r="C969" t="s">
        <v>67</v>
      </c>
      <c r="D969" t="s">
        <v>39</v>
      </c>
      <c r="E969" t="s">
        <v>20</v>
      </c>
      <c r="F969" t="s">
        <v>40</v>
      </c>
      <c r="G969">
        <v>65</v>
      </c>
      <c r="H969" t="s">
        <v>29</v>
      </c>
      <c r="I969" t="s">
        <v>61</v>
      </c>
      <c r="J969" t="s">
        <v>31</v>
      </c>
      <c r="K969">
        <v>0</v>
      </c>
      <c r="L969" s="4">
        <v>2703</v>
      </c>
      <c r="M969">
        <v>0</v>
      </c>
      <c r="N969">
        <v>2703</v>
      </c>
      <c r="O969" t="s">
        <v>59</v>
      </c>
      <c r="P969">
        <v>2.9</v>
      </c>
      <c r="Q969">
        <v>105</v>
      </c>
      <c r="R969" t="str">
        <f>TEXT(Healthcare_Data[[#This Row],[Visit_Date]],"mmm")</f>
        <v>Dec</v>
      </c>
      <c r="S969">
        <f>MONTH(Healthcare_Data[[#This Row],[Visit_Date]])</f>
        <v>12</v>
      </c>
      <c r="T969" t="str">
        <f>IF(Healthcare_Data[[#This Row],[Final_Bill]]&gt;=50000,"High",IF(Healthcare_Data[[#This Row],[Final_Bill]]&gt;=20000,"Medium","low"))</f>
        <v>low</v>
      </c>
    </row>
    <row r="970" spans="1:20" x14ac:dyDescent="0.3">
      <c r="A970" t="s">
        <v>1025</v>
      </c>
      <c r="B970" s="3">
        <v>46009</v>
      </c>
      <c r="C970" t="s">
        <v>50</v>
      </c>
      <c r="D970" t="s">
        <v>19</v>
      </c>
      <c r="E970" t="s">
        <v>52</v>
      </c>
      <c r="F970" t="s">
        <v>21</v>
      </c>
      <c r="G970">
        <v>39</v>
      </c>
      <c r="H970" t="s">
        <v>29</v>
      </c>
      <c r="I970" t="s">
        <v>30</v>
      </c>
      <c r="J970" t="s">
        <v>36</v>
      </c>
      <c r="K970">
        <v>3</v>
      </c>
      <c r="L970" s="4">
        <v>22634</v>
      </c>
      <c r="M970">
        <v>500</v>
      </c>
      <c r="N970">
        <v>22134</v>
      </c>
      <c r="O970" t="s">
        <v>25</v>
      </c>
      <c r="P970">
        <v>4.2</v>
      </c>
      <c r="Q970">
        <v>114</v>
      </c>
      <c r="R970" t="str">
        <f>TEXT(Healthcare_Data[[#This Row],[Visit_Date]],"mmm")</f>
        <v>Dec</v>
      </c>
      <c r="S970">
        <f>MONTH(Healthcare_Data[[#This Row],[Visit_Date]])</f>
        <v>12</v>
      </c>
      <c r="T970" t="str">
        <f>IF(Healthcare_Data[[#This Row],[Final_Bill]]&gt;=50000,"High",IF(Healthcare_Data[[#This Row],[Final_Bill]]&gt;=20000,"Medium","low"))</f>
        <v>Medium</v>
      </c>
    </row>
    <row r="971" spans="1:20" x14ac:dyDescent="0.3">
      <c r="A971" t="s">
        <v>1026</v>
      </c>
      <c r="B971" s="3">
        <v>46009</v>
      </c>
      <c r="C971" t="s">
        <v>50</v>
      </c>
      <c r="D971" t="s">
        <v>19</v>
      </c>
      <c r="E971" t="s">
        <v>20</v>
      </c>
      <c r="F971" t="s">
        <v>40</v>
      </c>
      <c r="G971">
        <v>69</v>
      </c>
      <c r="H971" t="s">
        <v>22</v>
      </c>
      <c r="I971" t="s">
        <v>57</v>
      </c>
      <c r="J971" t="s">
        <v>36</v>
      </c>
      <c r="K971">
        <v>0</v>
      </c>
      <c r="L971" s="4">
        <v>11647</v>
      </c>
      <c r="M971">
        <v>2000</v>
      </c>
      <c r="N971">
        <v>9647</v>
      </c>
      <c r="O971" t="s">
        <v>25</v>
      </c>
      <c r="P971">
        <v>3</v>
      </c>
      <c r="Q971">
        <v>112</v>
      </c>
      <c r="R971" t="str">
        <f>TEXT(Healthcare_Data[[#This Row],[Visit_Date]],"mmm")</f>
        <v>Dec</v>
      </c>
      <c r="S971">
        <f>MONTH(Healthcare_Data[[#This Row],[Visit_Date]])</f>
        <v>12</v>
      </c>
      <c r="T971" t="str">
        <f>IF(Healthcare_Data[[#This Row],[Final_Bill]]&gt;=50000,"High",IF(Healthcare_Data[[#This Row],[Final_Bill]]&gt;=20000,"Medium","low"))</f>
        <v>low</v>
      </c>
    </row>
    <row r="972" spans="1:20" x14ac:dyDescent="0.3">
      <c r="A972" t="s">
        <v>1027</v>
      </c>
      <c r="B972" s="3">
        <v>46011</v>
      </c>
      <c r="C972" t="s">
        <v>44</v>
      </c>
      <c r="D972" t="s">
        <v>19</v>
      </c>
      <c r="E972" t="s">
        <v>52</v>
      </c>
      <c r="F972" t="s">
        <v>40</v>
      </c>
      <c r="G972">
        <v>66</v>
      </c>
      <c r="H972" t="s">
        <v>22</v>
      </c>
      <c r="I972" t="s">
        <v>42</v>
      </c>
      <c r="J972" t="s">
        <v>58</v>
      </c>
      <c r="K972">
        <v>6</v>
      </c>
      <c r="L972" s="4">
        <v>26292</v>
      </c>
      <c r="M972">
        <v>0</v>
      </c>
      <c r="N972">
        <v>26292</v>
      </c>
      <c r="O972" t="s">
        <v>32</v>
      </c>
      <c r="P972">
        <v>3.7</v>
      </c>
      <c r="Q972">
        <v>47</v>
      </c>
      <c r="R972" t="str">
        <f>TEXT(Healthcare_Data[[#This Row],[Visit_Date]],"mmm")</f>
        <v>Dec</v>
      </c>
      <c r="S972">
        <f>MONTH(Healthcare_Data[[#This Row],[Visit_Date]])</f>
        <v>12</v>
      </c>
      <c r="T972" t="str">
        <f>IF(Healthcare_Data[[#This Row],[Final_Bill]]&gt;=50000,"High",IF(Healthcare_Data[[#This Row],[Final_Bill]]&gt;=20000,"Medium","low"))</f>
        <v>Medium</v>
      </c>
    </row>
    <row r="973" spans="1:20" x14ac:dyDescent="0.3">
      <c r="A973" t="s">
        <v>1028</v>
      </c>
      <c r="B973" s="3">
        <v>46012</v>
      </c>
      <c r="C973" t="s">
        <v>50</v>
      </c>
      <c r="D973" t="s">
        <v>39</v>
      </c>
      <c r="E973" t="s">
        <v>20</v>
      </c>
      <c r="F973" t="s">
        <v>40</v>
      </c>
      <c r="G973">
        <v>39</v>
      </c>
      <c r="H973" t="s">
        <v>56</v>
      </c>
      <c r="I973" t="s">
        <v>23</v>
      </c>
      <c r="J973" t="s">
        <v>58</v>
      </c>
      <c r="K973">
        <v>0</v>
      </c>
      <c r="L973" s="4">
        <v>14953</v>
      </c>
      <c r="M973">
        <v>500</v>
      </c>
      <c r="N973">
        <v>14453</v>
      </c>
      <c r="O973" t="s">
        <v>25</v>
      </c>
      <c r="P973">
        <v>4</v>
      </c>
      <c r="Q973">
        <v>49</v>
      </c>
      <c r="R973" t="str">
        <f>TEXT(Healthcare_Data[[#This Row],[Visit_Date]],"mmm")</f>
        <v>Dec</v>
      </c>
      <c r="S973">
        <f>MONTH(Healthcare_Data[[#This Row],[Visit_Date]])</f>
        <v>12</v>
      </c>
      <c r="T973" t="str">
        <f>IF(Healthcare_Data[[#This Row],[Final_Bill]]&gt;=50000,"High",IF(Healthcare_Data[[#This Row],[Final_Bill]]&gt;=20000,"Medium","low"))</f>
        <v>low</v>
      </c>
    </row>
    <row r="974" spans="1:20" x14ac:dyDescent="0.3">
      <c r="A974" t="s">
        <v>1029</v>
      </c>
      <c r="B974" s="3">
        <v>46012</v>
      </c>
      <c r="C974" t="s">
        <v>44</v>
      </c>
      <c r="D974" t="s">
        <v>28</v>
      </c>
      <c r="E974" t="s">
        <v>54</v>
      </c>
      <c r="F974" t="s">
        <v>21</v>
      </c>
      <c r="G974">
        <v>27</v>
      </c>
      <c r="H974" t="s">
        <v>22</v>
      </c>
      <c r="I974" t="s">
        <v>23</v>
      </c>
      <c r="J974" t="s">
        <v>24</v>
      </c>
      <c r="K974">
        <v>0</v>
      </c>
      <c r="L974" s="4">
        <v>37369</v>
      </c>
      <c r="M974">
        <v>0</v>
      </c>
      <c r="N974">
        <v>37369</v>
      </c>
      <c r="O974" t="s">
        <v>25</v>
      </c>
      <c r="P974">
        <v>2.5</v>
      </c>
      <c r="Q974">
        <v>20</v>
      </c>
      <c r="R974" t="str">
        <f>TEXT(Healthcare_Data[[#This Row],[Visit_Date]],"mmm")</f>
        <v>Dec</v>
      </c>
      <c r="S974">
        <f>MONTH(Healthcare_Data[[#This Row],[Visit_Date]])</f>
        <v>12</v>
      </c>
      <c r="T974" t="str">
        <f>IF(Healthcare_Data[[#This Row],[Final_Bill]]&gt;=50000,"High",IF(Healthcare_Data[[#This Row],[Final_Bill]]&gt;=20000,"Medium","low"))</f>
        <v>Medium</v>
      </c>
    </row>
    <row r="975" spans="1:20" x14ac:dyDescent="0.3">
      <c r="A975" t="s">
        <v>1030</v>
      </c>
      <c r="B975" s="3">
        <v>46012</v>
      </c>
      <c r="C975" t="s">
        <v>38</v>
      </c>
      <c r="D975" t="s">
        <v>39</v>
      </c>
      <c r="E975" t="s">
        <v>20</v>
      </c>
      <c r="F975" t="s">
        <v>21</v>
      </c>
      <c r="G975">
        <v>75</v>
      </c>
      <c r="H975" t="s">
        <v>29</v>
      </c>
      <c r="I975" t="s">
        <v>23</v>
      </c>
      <c r="J975" t="s">
        <v>31</v>
      </c>
      <c r="K975">
        <v>0</v>
      </c>
      <c r="L975" s="4">
        <v>16488</v>
      </c>
      <c r="M975">
        <v>1000</v>
      </c>
      <c r="N975">
        <v>15488</v>
      </c>
      <c r="O975" t="s">
        <v>25</v>
      </c>
      <c r="P975">
        <v>3.9</v>
      </c>
      <c r="Q975">
        <v>77</v>
      </c>
      <c r="R975" t="str">
        <f>TEXT(Healthcare_Data[[#This Row],[Visit_Date]],"mmm")</f>
        <v>Dec</v>
      </c>
      <c r="S975">
        <f>MONTH(Healthcare_Data[[#This Row],[Visit_Date]])</f>
        <v>12</v>
      </c>
      <c r="T975" t="str">
        <f>IF(Healthcare_Data[[#This Row],[Final_Bill]]&gt;=50000,"High",IF(Healthcare_Data[[#This Row],[Final_Bill]]&gt;=20000,"Medium","low"))</f>
        <v>low</v>
      </c>
    </row>
    <row r="976" spans="1:20" x14ac:dyDescent="0.3">
      <c r="A976" t="s">
        <v>1031</v>
      </c>
      <c r="B976" s="3">
        <v>46012</v>
      </c>
      <c r="C976" t="s">
        <v>48</v>
      </c>
      <c r="D976" t="s">
        <v>51</v>
      </c>
      <c r="E976" t="s">
        <v>52</v>
      </c>
      <c r="F976" t="s">
        <v>21</v>
      </c>
      <c r="G976">
        <v>57</v>
      </c>
      <c r="H976" t="s">
        <v>56</v>
      </c>
      <c r="I976" t="s">
        <v>42</v>
      </c>
      <c r="J976" t="s">
        <v>24</v>
      </c>
      <c r="K976">
        <v>9</v>
      </c>
      <c r="L976" s="4">
        <v>54080</v>
      </c>
      <c r="M976">
        <v>0</v>
      </c>
      <c r="N976">
        <v>54080</v>
      </c>
      <c r="O976" t="s">
        <v>25</v>
      </c>
      <c r="P976">
        <v>5</v>
      </c>
      <c r="Q976">
        <v>91</v>
      </c>
      <c r="R976" t="str">
        <f>TEXT(Healthcare_Data[[#This Row],[Visit_Date]],"mmm")</f>
        <v>Dec</v>
      </c>
      <c r="S976">
        <f>MONTH(Healthcare_Data[[#This Row],[Visit_Date]])</f>
        <v>12</v>
      </c>
      <c r="T976" t="str">
        <f>IF(Healthcare_Data[[#This Row],[Final_Bill]]&gt;=50000,"High",IF(Healthcare_Data[[#This Row],[Final_Bill]]&gt;=20000,"Medium","low"))</f>
        <v>High</v>
      </c>
    </row>
    <row r="977" spans="1:20" x14ac:dyDescent="0.3">
      <c r="A977" t="s">
        <v>1032</v>
      </c>
      <c r="B977" s="3">
        <v>46013</v>
      </c>
      <c r="C977" t="s">
        <v>50</v>
      </c>
      <c r="D977" t="s">
        <v>19</v>
      </c>
      <c r="E977" t="s">
        <v>52</v>
      </c>
      <c r="F977" t="s">
        <v>21</v>
      </c>
      <c r="G977">
        <v>72</v>
      </c>
      <c r="H977" t="s">
        <v>29</v>
      </c>
      <c r="I977" t="s">
        <v>63</v>
      </c>
      <c r="J977" t="s">
        <v>36</v>
      </c>
      <c r="K977">
        <v>7</v>
      </c>
      <c r="L977" s="4">
        <v>58036</v>
      </c>
      <c r="M977">
        <v>1000</v>
      </c>
      <c r="N977">
        <v>57036</v>
      </c>
      <c r="O977" t="s">
        <v>25</v>
      </c>
      <c r="P977">
        <v>3.7</v>
      </c>
      <c r="Q977">
        <v>19</v>
      </c>
      <c r="R977" t="str">
        <f>TEXT(Healthcare_Data[[#This Row],[Visit_Date]],"mmm")</f>
        <v>Dec</v>
      </c>
      <c r="S977">
        <f>MONTH(Healthcare_Data[[#This Row],[Visit_Date]])</f>
        <v>12</v>
      </c>
      <c r="T977" t="str">
        <f>IF(Healthcare_Data[[#This Row],[Final_Bill]]&gt;=50000,"High",IF(Healthcare_Data[[#This Row],[Final_Bill]]&gt;=20000,"Medium","low"))</f>
        <v>High</v>
      </c>
    </row>
    <row r="978" spans="1:20" x14ac:dyDescent="0.3">
      <c r="A978" t="s">
        <v>1033</v>
      </c>
      <c r="B978" s="3">
        <v>46014</v>
      </c>
      <c r="C978" t="s">
        <v>27</v>
      </c>
      <c r="D978" t="s">
        <v>34</v>
      </c>
      <c r="E978" t="s">
        <v>20</v>
      </c>
      <c r="F978" t="s">
        <v>40</v>
      </c>
      <c r="G978">
        <v>41</v>
      </c>
      <c r="H978" t="s">
        <v>65</v>
      </c>
      <c r="I978" t="s">
        <v>42</v>
      </c>
      <c r="J978" t="s">
        <v>31</v>
      </c>
      <c r="K978">
        <v>0</v>
      </c>
      <c r="L978" s="4">
        <v>6544</v>
      </c>
      <c r="M978">
        <v>1000</v>
      </c>
      <c r="N978">
        <v>5544</v>
      </c>
      <c r="O978" t="s">
        <v>25</v>
      </c>
      <c r="P978">
        <v>2.8</v>
      </c>
      <c r="Q978">
        <v>57</v>
      </c>
      <c r="R978" t="str">
        <f>TEXT(Healthcare_Data[[#This Row],[Visit_Date]],"mmm")</f>
        <v>Dec</v>
      </c>
      <c r="S978">
        <f>MONTH(Healthcare_Data[[#This Row],[Visit_Date]])</f>
        <v>12</v>
      </c>
      <c r="T978" t="str">
        <f>IF(Healthcare_Data[[#This Row],[Final_Bill]]&gt;=50000,"High",IF(Healthcare_Data[[#This Row],[Final_Bill]]&gt;=20000,"Medium","low"))</f>
        <v>low</v>
      </c>
    </row>
    <row r="979" spans="1:20" x14ac:dyDescent="0.3">
      <c r="A979" t="s">
        <v>1034</v>
      </c>
      <c r="B979" s="3">
        <v>46014</v>
      </c>
      <c r="C979" t="s">
        <v>44</v>
      </c>
      <c r="D979" t="s">
        <v>28</v>
      </c>
      <c r="E979" t="s">
        <v>20</v>
      </c>
      <c r="F979" t="s">
        <v>40</v>
      </c>
      <c r="G979">
        <v>24</v>
      </c>
      <c r="H979" t="s">
        <v>56</v>
      </c>
      <c r="I979" t="s">
        <v>72</v>
      </c>
      <c r="J979" t="s">
        <v>24</v>
      </c>
      <c r="K979">
        <v>0</v>
      </c>
      <c r="L979" s="4">
        <v>12710</v>
      </c>
      <c r="M979">
        <v>0</v>
      </c>
      <c r="N979">
        <v>12710</v>
      </c>
      <c r="O979" t="s">
        <v>32</v>
      </c>
      <c r="P979">
        <v>2.8</v>
      </c>
      <c r="Q979">
        <v>114</v>
      </c>
      <c r="R979" t="str">
        <f>TEXT(Healthcare_Data[[#This Row],[Visit_Date]],"mmm")</f>
        <v>Dec</v>
      </c>
      <c r="S979">
        <f>MONTH(Healthcare_Data[[#This Row],[Visit_Date]])</f>
        <v>12</v>
      </c>
      <c r="T979" t="str">
        <f>IF(Healthcare_Data[[#This Row],[Final_Bill]]&gt;=50000,"High",IF(Healthcare_Data[[#This Row],[Final_Bill]]&gt;=20000,"Medium","low"))</f>
        <v>low</v>
      </c>
    </row>
    <row r="980" spans="1:20" x14ac:dyDescent="0.3">
      <c r="A980" t="s">
        <v>1035</v>
      </c>
      <c r="B980" s="3">
        <v>46014</v>
      </c>
      <c r="C980" t="s">
        <v>48</v>
      </c>
      <c r="D980" t="s">
        <v>19</v>
      </c>
      <c r="E980" t="s">
        <v>20</v>
      </c>
      <c r="F980" t="s">
        <v>40</v>
      </c>
      <c r="G980">
        <v>27</v>
      </c>
      <c r="H980" t="s">
        <v>56</v>
      </c>
      <c r="I980" t="s">
        <v>61</v>
      </c>
      <c r="J980" t="s">
        <v>36</v>
      </c>
      <c r="K980">
        <v>0</v>
      </c>
      <c r="L980" s="4">
        <v>4345</v>
      </c>
      <c r="M980">
        <v>1000</v>
      </c>
      <c r="N980">
        <v>3345</v>
      </c>
      <c r="O980" t="s">
        <v>59</v>
      </c>
      <c r="P980">
        <v>4.5999999999999996</v>
      </c>
      <c r="Q980">
        <v>15</v>
      </c>
      <c r="R980" t="str">
        <f>TEXT(Healthcare_Data[[#This Row],[Visit_Date]],"mmm")</f>
        <v>Dec</v>
      </c>
      <c r="S980">
        <f>MONTH(Healthcare_Data[[#This Row],[Visit_Date]])</f>
        <v>12</v>
      </c>
      <c r="T980" t="str">
        <f>IF(Healthcare_Data[[#This Row],[Final_Bill]]&gt;=50000,"High",IF(Healthcare_Data[[#This Row],[Final_Bill]]&gt;=20000,"Medium","low"))</f>
        <v>low</v>
      </c>
    </row>
    <row r="981" spans="1:20" x14ac:dyDescent="0.3">
      <c r="A981" t="s">
        <v>1036</v>
      </c>
      <c r="B981" s="3">
        <v>46015</v>
      </c>
      <c r="C981" t="s">
        <v>67</v>
      </c>
      <c r="D981" t="s">
        <v>34</v>
      </c>
      <c r="E981" t="s">
        <v>52</v>
      </c>
      <c r="F981" t="s">
        <v>21</v>
      </c>
      <c r="G981">
        <v>43</v>
      </c>
      <c r="H981" t="s">
        <v>41</v>
      </c>
      <c r="I981" t="s">
        <v>57</v>
      </c>
      <c r="J981" t="s">
        <v>31</v>
      </c>
      <c r="K981">
        <v>14</v>
      </c>
      <c r="L981" s="4">
        <v>38202</v>
      </c>
      <c r="M981">
        <v>0</v>
      </c>
      <c r="N981">
        <v>38202</v>
      </c>
      <c r="O981" t="s">
        <v>25</v>
      </c>
      <c r="P981">
        <v>4.8</v>
      </c>
      <c r="Q981">
        <v>120</v>
      </c>
      <c r="R981" t="str">
        <f>TEXT(Healthcare_Data[[#This Row],[Visit_Date]],"mmm")</f>
        <v>Dec</v>
      </c>
      <c r="S981">
        <f>MONTH(Healthcare_Data[[#This Row],[Visit_Date]])</f>
        <v>12</v>
      </c>
      <c r="T981" t="str">
        <f>IF(Healthcare_Data[[#This Row],[Final_Bill]]&gt;=50000,"High",IF(Healthcare_Data[[#This Row],[Final_Bill]]&gt;=20000,"Medium","low"))</f>
        <v>Medium</v>
      </c>
    </row>
    <row r="982" spans="1:20" x14ac:dyDescent="0.3">
      <c r="A982" t="s">
        <v>1037</v>
      </c>
      <c r="B982" s="3">
        <v>46015</v>
      </c>
      <c r="C982" t="s">
        <v>18</v>
      </c>
      <c r="D982" t="s">
        <v>51</v>
      </c>
      <c r="E982" t="s">
        <v>20</v>
      </c>
      <c r="F982" t="s">
        <v>21</v>
      </c>
      <c r="G982">
        <v>79</v>
      </c>
      <c r="H982" t="s">
        <v>115</v>
      </c>
      <c r="I982" t="s">
        <v>61</v>
      </c>
      <c r="J982" t="s">
        <v>24</v>
      </c>
      <c r="K982">
        <v>0</v>
      </c>
      <c r="L982" s="4">
        <v>10351</v>
      </c>
      <c r="M982">
        <v>0</v>
      </c>
      <c r="N982">
        <v>10351</v>
      </c>
      <c r="O982" t="s">
        <v>25</v>
      </c>
      <c r="P982">
        <v>3.3</v>
      </c>
      <c r="Q982">
        <v>11</v>
      </c>
      <c r="R982" t="str">
        <f>TEXT(Healthcare_Data[[#This Row],[Visit_Date]],"mmm")</f>
        <v>Dec</v>
      </c>
      <c r="S982">
        <f>MONTH(Healthcare_Data[[#This Row],[Visit_Date]])</f>
        <v>12</v>
      </c>
      <c r="T982" t="str">
        <f>IF(Healthcare_Data[[#This Row],[Final_Bill]]&gt;=50000,"High",IF(Healthcare_Data[[#This Row],[Final_Bill]]&gt;=20000,"Medium","low"))</f>
        <v>low</v>
      </c>
    </row>
    <row r="983" spans="1:20" x14ac:dyDescent="0.3">
      <c r="A983" t="s">
        <v>1038</v>
      </c>
      <c r="B983" s="3">
        <v>46016</v>
      </c>
      <c r="C983" t="s">
        <v>48</v>
      </c>
      <c r="D983" t="s">
        <v>19</v>
      </c>
      <c r="E983" t="s">
        <v>20</v>
      </c>
      <c r="F983" t="s">
        <v>40</v>
      </c>
      <c r="G983">
        <v>59</v>
      </c>
      <c r="H983" t="s">
        <v>41</v>
      </c>
      <c r="I983" t="s">
        <v>72</v>
      </c>
      <c r="J983" t="s">
        <v>58</v>
      </c>
      <c r="K983">
        <v>0</v>
      </c>
      <c r="L983" s="4">
        <v>11150</v>
      </c>
      <c r="M983">
        <v>1000</v>
      </c>
      <c r="N983">
        <v>10150</v>
      </c>
      <c r="O983" t="s">
        <v>25</v>
      </c>
      <c r="P983">
        <v>3.4</v>
      </c>
      <c r="Q983">
        <v>43</v>
      </c>
      <c r="R983" t="str">
        <f>TEXT(Healthcare_Data[[#This Row],[Visit_Date]],"mmm")</f>
        <v>Dec</v>
      </c>
      <c r="S983">
        <f>MONTH(Healthcare_Data[[#This Row],[Visit_Date]])</f>
        <v>12</v>
      </c>
      <c r="T983" t="str">
        <f>IF(Healthcare_Data[[#This Row],[Final_Bill]]&gt;=50000,"High",IF(Healthcare_Data[[#This Row],[Final_Bill]]&gt;=20000,"Medium","low"))</f>
        <v>low</v>
      </c>
    </row>
    <row r="984" spans="1:20" x14ac:dyDescent="0.3">
      <c r="A984" t="s">
        <v>1039</v>
      </c>
      <c r="B984" s="3">
        <v>46016</v>
      </c>
      <c r="C984" t="s">
        <v>38</v>
      </c>
      <c r="D984" t="s">
        <v>19</v>
      </c>
      <c r="E984" t="s">
        <v>52</v>
      </c>
      <c r="F984" t="s">
        <v>40</v>
      </c>
      <c r="G984">
        <v>76</v>
      </c>
      <c r="H984" t="s">
        <v>22</v>
      </c>
      <c r="I984" t="s">
        <v>63</v>
      </c>
      <c r="J984" t="s">
        <v>24</v>
      </c>
      <c r="K984">
        <v>6</v>
      </c>
      <c r="L984" s="4">
        <v>76169</v>
      </c>
      <c r="M984">
        <v>2000</v>
      </c>
      <c r="N984">
        <v>74169</v>
      </c>
      <c r="O984" t="s">
        <v>25</v>
      </c>
      <c r="P984">
        <v>3.7</v>
      </c>
      <c r="Q984">
        <v>93</v>
      </c>
      <c r="R984" t="str">
        <f>TEXT(Healthcare_Data[[#This Row],[Visit_Date]],"mmm")</f>
        <v>Dec</v>
      </c>
      <c r="S984">
        <f>MONTH(Healthcare_Data[[#This Row],[Visit_Date]])</f>
        <v>12</v>
      </c>
      <c r="T984" t="str">
        <f>IF(Healthcare_Data[[#This Row],[Final_Bill]]&gt;=50000,"High",IF(Healthcare_Data[[#This Row],[Final_Bill]]&gt;=20000,"Medium","low"))</f>
        <v>High</v>
      </c>
    </row>
    <row r="985" spans="1:20" x14ac:dyDescent="0.3">
      <c r="A985" t="s">
        <v>1040</v>
      </c>
      <c r="B985" s="3">
        <v>46017</v>
      </c>
      <c r="C985" t="s">
        <v>27</v>
      </c>
      <c r="D985" t="s">
        <v>19</v>
      </c>
      <c r="E985" t="s">
        <v>20</v>
      </c>
      <c r="F985" t="s">
        <v>21</v>
      </c>
      <c r="G985">
        <v>29</v>
      </c>
      <c r="H985" t="s">
        <v>115</v>
      </c>
      <c r="I985" t="s">
        <v>72</v>
      </c>
      <c r="J985" t="s">
        <v>24</v>
      </c>
      <c r="K985">
        <v>0</v>
      </c>
      <c r="L985" s="4">
        <v>12699</v>
      </c>
      <c r="M985">
        <v>500</v>
      </c>
      <c r="N985">
        <v>12199</v>
      </c>
      <c r="O985" t="s">
        <v>25</v>
      </c>
      <c r="P985">
        <v>3.4</v>
      </c>
      <c r="Q985">
        <v>71</v>
      </c>
      <c r="R985" t="str">
        <f>TEXT(Healthcare_Data[[#This Row],[Visit_Date]],"mmm")</f>
        <v>Dec</v>
      </c>
      <c r="S985">
        <f>MONTH(Healthcare_Data[[#This Row],[Visit_Date]])</f>
        <v>12</v>
      </c>
      <c r="T985" t="str">
        <f>IF(Healthcare_Data[[#This Row],[Final_Bill]]&gt;=50000,"High",IF(Healthcare_Data[[#This Row],[Final_Bill]]&gt;=20000,"Medium","low"))</f>
        <v>low</v>
      </c>
    </row>
    <row r="986" spans="1:20" x14ac:dyDescent="0.3">
      <c r="A986" t="s">
        <v>1041</v>
      </c>
      <c r="B986" s="3">
        <v>46017</v>
      </c>
      <c r="C986" t="s">
        <v>44</v>
      </c>
      <c r="D986" t="s">
        <v>19</v>
      </c>
      <c r="E986" t="s">
        <v>20</v>
      </c>
      <c r="F986" t="s">
        <v>21</v>
      </c>
      <c r="G986">
        <v>38</v>
      </c>
      <c r="H986" t="s">
        <v>115</v>
      </c>
      <c r="I986" t="s">
        <v>30</v>
      </c>
      <c r="J986" t="s">
        <v>36</v>
      </c>
      <c r="K986">
        <v>0</v>
      </c>
      <c r="L986" s="4">
        <v>2749</v>
      </c>
      <c r="M986">
        <v>1000</v>
      </c>
      <c r="N986">
        <v>1749</v>
      </c>
      <c r="O986" t="s">
        <v>25</v>
      </c>
      <c r="P986">
        <v>3.6</v>
      </c>
      <c r="Q986">
        <v>53</v>
      </c>
      <c r="R986" t="str">
        <f>TEXT(Healthcare_Data[[#This Row],[Visit_Date]],"mmm")</f>
        <v>Dec</v>
      </c>
      <c r="S986">
        <f>MONTH(Healthcare_Data[[#This Row],[Visit_Date]])</f>
        <v>12</v>
      </c>
      <c r="T986" t="str">
        <f>IF(Healthcare_Data[[#This Row],[Final_Bill]]&gt;=50000,"High",IF(Healthcare_Data[[#This Row],[Final_Bill]]&gt;=20000,"Medium","low"))</f>
        <v>low</v>
      </c>
    </row>
    <row r="987" spans="1:20" x14ac:dyDescent="0.3">
      <c r="A987" t="s">
        <v>1042</v>
      </c>
      <c r="B987" s="3">
        <v>46017</v>
      </c>
      <c r="C987" t="s">
        <v>54</v>
      </c>
      <c r="D987" t="s">
        <v>34</v>
      </c>
      <c r="E987" t="s">
        <v>52</v>
      </c>
      <c r="F987" t="s">
        <v>40</v>
      </c>
      <c r="G987">
        <v>79</v>
      </c>
      <c r="H987" t="s">
        <v>115</v>
      </c>
      <c r="I987" t="s">
        <v>42</v>
      </c>
      <c r="J987" t="s">
        <v>58</v>
      </c>
      <c r="K987">
        <v>13</v>
      </c>
      <c r="L987" s="4">
        <v>76329</v>
      </c>
      <c r="M987">
        <v>1500</v>
      </c>
      <c r="N987">
        <v>74829</v>
      </c>
      <c r="O987" t="s">
        <v>25</v>
      </c>
      <c r="P987">
        <v>4.9000000000000004</v>
      </c>
      <c r="Q987">
        <v>11</v>
      </c>
      <c r="R987" t="str">
        <f>TEXT(Healthcare_Data[[#This Row],[Visit_Date]],"mmm")</f>
        <v>Dec</v>
      </c>
      <c r="S987">
        <f>MONTH(Healthcare_Data[[#This Row],[Visit_Date]])</f>
        <v>12</v>
      </c>
      <c r="T987" t="str">
        <f>IF(Healthcare_Data[[#This Row],[Final_Bill]]&gt;=50000,"High",IF(Healthcare_Data[[#This Row],[Final_Bill]]&gt;=20000,"Medium","low"))</f>
        <v>High</v>
      </c>
    </row>
    <row r="988" spans="1:20" x14ac:dyDescent="0.3">
      <c r="A988" t="s">
        <v>1043</v>
      </c>
      <c r="B988" s="3">
        <v>46017</v>
      </c>
      <c r="C988" t="s">
        <v>67</v>
      </c>
      <c r="D988" t="s">
        <v>34</v>
      </c>
      <c r="E988" t="s">
        <v>20</v>
      </c>
      <c r="F988" t="s">
        <v>40</v>
      </c>
      <c r="G988">
        <v>37</v>
      </c>
      <c r="H988" t="s">
        <v>46</v>
      </c>
      <c r="I988" t="s">
        <v>72</v>
      </c>
      <c r="J988" t="s">
        <v>36</v>
      </c>
      <c r="K988">
        <v>0</v>
      </c>
      <c r="L988" s="4">
        <v>19002</v>
      </c>
      <c r="M988">
        <v>500</v>
      </c>
      <c r="N988">
        <v>18502</v>
      </c>
      <c r="O988" t="s">
        <v>59</v>
      </c>
      <c r="P988">
        <v>3.3</v>
      </c>
      <c r="Q988">
        <v>33</v>
      </c>
      <c r="R988" t="str">
        <f>TEXT(Healthcare_Data[[#This Row],[Visit_Date]],"mmm")</f>
        <v>Dec</v>
      </c>
      <c r="S988">
        <f>MONTH(Healthcare_Data[[#This Row],[Visit_Date]])</f>
        <v>12</v>
      </c>
      <c r="T988" t="str">
        <f>IF(Healthcare_Data[[#This Row],[Final_Bill]]&gt;=50000,"High",IF(Healthcare_Data[[#This Row],[Final_Bill]]&gt;=20000,"Medium","low"))</f>
        <v>low</v>
      </c>
    </row>
    <row r="989" spans="1:20" x14ac:dyDescent="0.3">
      <c r="A989" t="s">
        <v>1044</v>
      </c>
      <c r="B989" s="3">
        <v>46017</v>
      </c>
      <c r="C989" t="s">
        <v>18</v>
      </c>
      <c r="D989" t="s">
        <v>39</v>
      </c>
      <c r="E989" t="s">
        <v>52</v>
      </c>
      <c r="F989" t="s">
        <v>21</v>
      </c>
      <c r="G989">
        <v>41</v>
      </c>
      <c r="H989" t="s">
        <v>22</v>
      </c>
      <c r="I989" t="s">
        <v>23</v>
      </c>
      <c r="J989" t="s">
        <v>31</v>
      </c>
      <c r="K989">
        <v>3</v>
      </c>
      <c r="L989" s="4">
        <v>24180</v>
      </c>
      <c r="M989">
        <v>500</v>
      </c>
      <c r="N989">
        <v>23680</v>
      </c>
      <c r="O989" t="s">
        <v>25</v>
      </c>
      <c r="P989">
        <v>4.2</v>
      </c>
      <c r="Q989">
        <v>12</v>
      </c>
      <c r="R989" t="str">
        <f>TEXT(Healthcare_Data[[#This Row],[Visit_Date]],"mmm")</f>
        <v>Dec</v>
      </c>
      <c r="S989">
        <f>MONTH(Healthcare_Data[[#This Row],[Visit_Date]])</f>
        <v>12</v>
      </c>
      <c r="T989" t="str">
        <f>IF(Healthcare_Data[[#This Row],[Final_Bill]]&gt;=50000,"High",IF(Healthcare_Data[[#This Row],[Final_Bill]]&gt;=20000,"Medium","low"))</f>
        <v>Medium</v>
      </c>
    </row>
    <row r="990" spans="1:20" x14ac:dyDescent="0.3">
      <c r="A990" t="s">
        <v>1045</v>
      </c>
      <c r="B990" s="3">
        <v>46017</v>
      </c>
      <c r="C990" t="s">
        <v>38</v>
      </c>
      <c r="D990" t="s">
        <v>28</v>
      </c>
      <c r="E990" t="s">
        <v>20</v>
      </c>
      <c r="F990" t="s">
        <v>21</v>
      </c>
      <c r="G990">
        <v>58</v>
      </c>
      <c r="H990" t="s">
        <v>65</v>
      </c>
      <c r="I990" t="s">
        <v>57</v>
      </c>
      <c r="J990" t="s">
        <v>1057</v>
      </c>
      <c r="K990">
        <v>0</v>
      </c>
      <c r="L990" s="4">
        <v>19063</v>
      </c>
      <c r="M990">
        <v>0</v>
      </c>
      <c r="N990">
        <v>19063</v>
      </c>
      <c r="O990" t="s">
        <v>25</v>
      </c>
      <c r="P990">
        <v>4.8</v>
      </c>
      <c r="Q990">
        <v>78</v>
      </c>
      <c r="R990" t="str">
        <f>TEXT(Healthcare_Data[[#This Row],[Visit_Date]],"mmm")</f>
        <v>Dec</v>
      </c>
      <c r="S990">
        <f>MONTH(Healthcare_Data[[#This Row],[Visit_Date]])</f>
        <v>12</v>
      </c>
      <c r="T990" t="str">
        <f>IF(Healthcare_Data[[#This Row],[Final_Bill]]&gt;=50000,"High",IF(Healthcare_Data[[#This Row],[Final_Bill]]&gt;=20000,"Medium","low"))</f>
        <v>low</v>
      </c>
    </row>
    <row r="991" spans="1:20" x14ac:dyDescent="0.3">
      <c r="A991" t="s">
        <v>1046</v>
      </c>
      <c r="B991" s="3">
        <v>46018</v>
      </c>
      <c r="C991" t="s">
        <v>50</v>
      </c>
      <c r="D991" t="s">
        <v>51</v>
      </c>
      <c r="E991" t="s">
        <v>20</v>
      </c>
      <c r="F991" t="s">
        <v>40</v>
      </c>
      <c r="G991">
        <v>71</v>
      </c>
      <c r="H991" t="s">
        <v>65</v>
      </c>
      <c r="I991" t="s">
        <v>30</v>
      </c>
      <c r="J991" t="s">
        <v>31</v>
      </c>
      <c r="K991">
        <v>0</v>
      </c>
      <c r="L991" s="4">
        <v>18457</v>
      </c>
      <c r="M991">
        <v>1000</v>
      </c>
      <c r="N991">
        <v>17457</v>
      </c>
      <c r="O991" t="s">
        <v>25</v>
      </c>
      <c r="P991">
        <v>3.5</v>
      </c>
      <c r="Q991">
        <v>37</v>
      </c>
      <c r="R991" t="str">
        <f>TEXT(Healthcare_Data[[#This Row],[Visit_Date]],"mmm")</f>
        <v>Dec</v>
      </c>
      <c r="S991">
        <f>MONTH(Healthcare_Data[[#This Row],[Visit_Date]])</f>
        <v>12</v>
      </c>
      <c r="T991" t="str">
        <f>IF(Healthcare_Data[[#This Row],[Final_Bill]]&gt;=50000,"High",IF(Healthcare_Data[[#This Row],[Final_Bill]]&gt;=20000,"Medium","low"))</f>
        <v>low</v>
      </c>
    </row>
    <row r="992" spans="1:20" x14ac:dyDescent="0.3">
      <c r="A992" t="s">
        <v>1047</v>
      </c>
      <c r="B992" s="3">
        <v>46018</v>
      </c>
      <c r="C992" t="s">
        <v>67</v>
      </c>
      <c r="D992" t="s">
        <v>39</v>
      </c>
      <c r="E992" t="s">
        <v>52</v>
      </c>
      <c r="F992" t="s">
        <v>21</v>
      </c>
      <c r="G992">
        <v>57</v>
      </c>
      <c r="H992" t="s">
        <v>35</v>
      </c>
      <c r="I992" t="s">
        <v>57</v>
      </c>
      <c r="J992" t="s">
        <v>58</v>
      </c>
      <c r="K992">
        <v>14</v>
      </c>
      <c r="L992" s="4">
        <v>41462</v>
      </c>
      <c r="M992">
        <v>1000</v>
      </c>
      <c r="N992">
        <v>40462</v>
      </c>
      <c r="O992" t="s">
        <v>32</v>
      </c>
      <c r="P992">
        <v>3.3</v>
      </c>
      <c r="Q992">
        <v>69</v>
      </c>
      <c r="R992" t="str">
        <f>TEXT(Healthcare_Data[[#This Row],[Visit_Date]],"mmm")</f>
        <v>Dec</v>
      </c>
      <c r="S992">
        <f>MONTH(Healthcare_Data[[#This Row],[Visit_Date]])</f>
        <v>12</v>
      </c>
      <c r="T992" t="str">
        <f>IF(Healthcare_Data[[#This Row],[Final_Bill]]&gt;=50000,"High",IF(Healthcare_Data[[#This Row],[Final_Bill]]&gt;=20000,"Medium","low"))</f>
        <v>Medium</v>
      </c>
    </row>
    <row r="993" spans="1:20" x14ac:dyDescent="0.3">
      <c r="A993" t="s">
        <v>1048</v>
      </c>
      <c r="B993" s="3">
        <v>46020</v>
      </c>
      <c r="C993" t="s">
        <v>50</v>
      </c>
      <c r="D993" t="s">
        <v>19</v>
      </c>
      <c r="E993" t="s">
        <v>52</v>
      </c>
      <c r="F993" t="s">
        <v>21</v>
      </c>
      <c r="G993">
        <v>38</v>
      </c>
      <c r="H993" t="s">
        <v>22</v>
      </c>
      <c r="I993" t="s">
        <v>42</v>
      </c>
      <c r="J993" t="s">
        <v>36</v>
      </c>
      <c r="K993">
        <v>11</v>
      </c>
      <c r="L993" s="4">
        <v>24422</v>
      </c>
      <c r="M993">
        <v>1500</v>
      </c>
      <c r="N993">
        <v>22922</v>
      </c>
      <c r="O993" t="s">
        <v>25</v>
      </c>
      <c r="P993">
        <v>3.5</v>
      </c>
      <c r="Q993">
        <v>72</v>
      </c>
      <c r="R993" t="str">
        <f>TEXT(Healthcare_Data[[#This Row],[Visit_Date]],"mmm")</f>
        <v>Dec</v>
      </c>
      <c r="S993">
        <f>MONTH(Healthcare_Data[[#This Row],[Visit_Date]])</f>
        <v>12</v>
      </c>
      <c r="T993" t="str">
        <f>IF(Healthcare_Data[[#This Row],[Final_Bill]]&gt;=50000,"High",IF(Healthcare_Data[[#This Row],[Final_Bill]]&gt;=20000,"Medium","low"))</f>
        <v>Medium</v>
      </c>
    </row>
    <row r="994" spans="1:20" x14ac:dyDescent="0.3">
      <c r="A994" t="s">
        <v>1049</v>
      </c>
      <c r="B994" s="3">
        <v>46021</v>
      </c>
      <c r="C994" t="s">
        <v>27</v>
      </c>
      <c r="D994" t="s">
        <v>19</v>
      </c>
      <c r="E994" t="s">
        <v>20</v>
      </c>
      <c r="F994" t="s">
        <v>40</v>
      </c>
      <c r="G994">
        <v>80</v>
      </c>
      <c r="H994" t="s">
        <v>56</v>
      </c>
      <c r="I994" t="s">
        <v>23</v>
      </c>
      <c r="J994" t="s">
        <v>24</v>
      </c>
      <c r="K994">
        <v>0</v>
      </c>
      <c r="L994" s="4">
        <v>4696</v>
      </c>
      <c r="M994">
        <v>500</v>
      </c>
      <c r="N994">
        <v>4196</v>
      </c>
      <c r="O994" t="s">
        <v>25</v>
      </c>
      <c r="P994">
        <v>3.2</v>
      </c>
      <c r="Q994">
        <v>59</v>
      </c>
      <c r="R994" t="str">
        <f>TEXT(Healthcare_Data[[#This Row],[Visit_Date]],"mmm")</f>
        <v>Dec</v>
      </c>
      <c r="S994">
        <f>MONTH(Healthcare_Data[[#This Row],[Visit_Date]])</f>
        <v>12</v>
      </c>
      <c r="T994" t="str">
        <f>IF(Healthcare_Data[[#This Row],[Final_Bill]]&gt;=50000,"High",IF(Healthcare_Data[[#This Row],[Final_Bill]]&gt;=20000,"Medium","low"))</f>
        <v>low</v>
      </c>
    </row>
    <row r="995" spans="1:20" x14ac:dyDescent="0.3">
      <c r="A995" t="s">
        <v>1050</v>
      </c>
      <c r="B995" s="3">
        <v>46021</v>
      </c>
      <c r="C995" t="s">
        <v>67</v>
      </c>
      <c r="D995" t="s">
        <v>51</v>
      </c>
      <c r="E995" t="s">
        <v>20</v>
      </c>
      <c r="F995" t="s">
        <v>21</v>
      </c>
      <c r="G995">
        <v>29</v>
      </c>
      <c r="H995" t="s">
        <v>46</v>
      </c>
      <c r="I995" t="s">
        <v>57</v>
      </c>
      <c r="J995" t="s">
        <v>31</v>
      </c>
      <c r="K995">
        <v>0</v>
      </c>
      <c r="L995" s="4">
        <v>6265</v>
      </c>
      <c r="M995">
        <v>1000</v>
      </c>
      <c r="N995">
        <v>5265</v>
      </c>
      <c r="O995" t="s">
        <v>25</v>
      </c>
      <c r="P995">
        <v>4.3</v>
      </c>
      <c r="Q995">
        <v>83</v>
      </c>
      <c r="R995" t="str">
        <f>TEXT(Healthcare_Data[[#This Row],[Visit_Date]],"mmm")</f>
        <v>Dec</v>
      </c>
      <c r="S995">
        <f>MONTH(Healthcare_Data[[#This Row],[Visit_Date]])</f>
        <v>12</v>
      </c>
      <c r="T995" t="str">
        <f>IF(Healthcare_Data[[#This Row],[Final_Bill]]&gt;=50000,"High",IF(Healthcare_Data[[#This Row],[Final_Bill]]&gt;=20000,"Medium","low"))</f>
        <v>low</v>
      </c>
    </row>
    <row r="996" spans="1:20" x14ac:dyDescent="0.3">
      <c r="A996" t="s">
        <v>1051</v>
      </c>
      <c r="B996" s="3">
        <v>46022</v>
      </c>
      <c r="C996" t="s">
        <v>44</v>
      </c>
      <c r="D996" t="s">
        <v>28</v>
      </c>
      <c r="E996" t="s">
        <v>52</v>
      </c>
      <c r="F996" t="s">
        <v>21</v>
      </c>
      <c r="G996">
        <v>44</v>
      </c>
      <c r="H996" t="s">
        <v>56</v>
      </c>
      <c r="I996" t="s">
        <v>42</v>
      </c>
      <c r="J996" t="s">
        <v>24</v>
      </c>
      <c r="K996">
        <v>6</v>
      </c>
      <c r="L996" s="4">
        <v>42126</v>
      </c>
      <c r="M996">
        <v>1000</v>
      </c>
      <c r="N996">
        <v>41126</v>
      </c>
      <c r="O996" t="s">
        <v>32</v>
      </c>
      <c r="P996">
        <v>2.5</v>
      </c>
      <c r="Q996">
        <v>77</v>
      </c>
      <c r="R996" t="str">
        <f>TEXT(Healthcare_Data[[#This Row],[Visit_Date]],"mmm")</f>
        <v>Dec</v>
      </c>
      <c r="S996">
        <f>MONTH(Healthcare_Data[[#This Row],[Visit_Date]])</f>
        <v>12</v>
      </c>
      <c r="T996" t="str">
        <f>IF(Healthcare_Data[[#This Row],[Final_Bill]]&gt;=50000,"High",IF(Healthcare_Data[[#This Row],[Final_Bill]]&gt;=20000,"Medium","low"))</f>
        <v>Medium</v>
      </c>
    </row>
    <row r="997" spans="1:20" x14ac:dyDescent="0.3">
      <c r="A997" t="s">
        <v>1052</v>
      </c>
      <c r="B997" s="3">
        <v>46022</v>
      </c>
      <c r="C997" t="s">
        <v>18</v>
      </c>
      <c r="D997" t="s">
        <v>28</v>
      </c>
      <c r="E997" t="s">
        <v>52</v>
      </c>
      <c r="F997" t="s">
        <v>40</v>
      </c>
      <c r="G997">
        <v>41</v>
      </c>
      <c r="H997" t="s">
        <v>115</v>
      </c>
      <c r="I997" t="s">
        <v>57</v>
      </c>
      <c r="J997" t="s">
        <v>24</v>
      </c>
      <c r="K997">
        <v>12</v>
      </c>
      <c r="L997" s="4">
        <v>71091</v>
      </c>
      <c r="M997">
        <v>0</v>
      </c>
      <c r="N997">
        <v>71091</v>
      </c>
      <c r="O997" t="s">
        <v>25</v>
      </c>
      <c r="P997">
        <v>3.7</v>
      </c>
      <c r="Q997">
        <v>117</v>
      </c>
      <c r="R997" t="str">
        <f>TEXT(Healthcare_Data[[#This Row],[Visit_Date]],"mmm")</f>
        <v>Dec</v>
      </c>
      <c r="S997">
        <f>MONTH(Healthcare_Data[[#This Row],[Visit_Date]])</f>
        <v>12</v>
      </c>
      <c r="T997" t="str">
        <f>IF(Healthcare_Data[[#This Row],[Final_Bill]]&gt;=50000,"High",IF(Healthcare_Data[[#This Row],[Final_Bill]]&gt;=20000,"Medium","low"))</f>
        <v>High</v>
      </c>
    </row>
    <row r="998" spans="1:20" x14ac:dyDescent="0.3">
      <c r="A998" t="s">
        <v>1053</v>
      </c>
      <c r="B998" s="3">
        <v>46022</v>
      </c>
      <c r="C998" t="s">
        <v>54</v>
      </c>
      <c r="D998" t="s">
        <v>39</v>
      </c>
      <c r="E998" t="s">
        <v>20</v>
      </c>
      <c r="F998" t="s">
        <v>40</v>
      </c>
      <c r="G998">
        <v>69</v>
      </c>
      <c r="H998" t="s">
        <v>46</v>
      </c>
      <c r="I998" t="s">
        <v>30</v>
      </c>
      <c r="J998" t="s">
        <v>31</v>
      </c>
      <c r="K998">
        <v>0</v>
      </c>
      <c r="L998" s="4">
        <v>17860</v>
      </c>
      <c r="M998">
        <v>0</v>
      </c>
      <c r="N998">
        <v>17860</v>
      </c>
      <c r="O998" t="s">
        <v>25</v>
      </c>
      <c r="P998">
        <v>3.2</v>
      </c>
      <c r="Q998">
        <v>42</v>
      </c>
      <c r="R998" t="str">
        <f>TEXT(Healthcare_Data[[#This Row],[Visit_Date]],"mmm")</f>
        <v>Dec</v>
      </c>
      <c r="S998">
        <f>MONTH(Healthcare_Data[[#This Row],[Visit_Date]])</f>
        <v>12</v>
      </c>
      <c r="T998" t="str">
        <f>IF(Healthcare_Data[[#This Row],[Final_Bill]]&gt;=50000,"High",IF(Healthcare_Data[[#This Row],[Final_Bill]]&gt;=20000,"Medium","low"))</f>
        <v>low</v>
      </c>
    </row>
    <row r="999" spans="1:20" x14ac:dyDescent="0.3">
      <c r="A999" t="s">
        <v>1054</v>
      </c>
      <c r="B999" s="3">
        <v>46022</v>
      </c>
      <c r="C999" t="s">
        <v>67</v>
      </c>
      <c r="D999" t="s">
        <v>28</v>
      </c>
      <c r="E999" t="s">
        <v>52</v>
      </c>
      <c r="F999" t="s">
        <v>40</v>
      </c>
      <c r="G999">
        <v>30</v>
      </c>
      <c r="H999" t="s">
        <v>41</v>
      </c>
      <c r="I999" t="s">
        <v>72</v>
      </c>
      <c r="J999" t="s">
        <v>58</v>
      </c>
      <c r="K999">
        <v>14</v>
      </c>
      <c r="L999" s="4">
        <v>79005</v>
      </c>
      <c r="M999">
        <v>500</v>
      </c>
      <c r="N999">
        <v>78505</v>
      </c>
      <c r="O999" t="s">
        <v>32</v>
      </c>
      <c r="P999">
        <v>2.9</v>
      </c>
      <c r="Q999">
        <v>19</v>
      </c>
      <c r="R999" t="str">
        <f>TEXT(Healthcare_Data[[#This Row],[Visit_Date]],"mmm")</f>
        <v>Dec</v>
      </c>
      <c r="S999">
        <f>MONTH(Healthcare_Data[[#This Row],[Visit_Date]])</f>
        <v>12</v>
      </c>
      <c r="T999" t="str">
        <f>IF(Healthcare_Data[[#This Row],[Final_Bill]]&gt;=50000,"High",IF(Healthcare_Data[[#This Row],[Final_Bill]]&gt;=20000,"Medium","low"))</f>
        <v>High</v>
      </c>
    </row>
    <row r="1000" spans="1:20" x14ac:dyDescent="0.3">
      <c r="A1000" t="s">
        <v>1055</v>
      </c>
      <c r="B1000" s="3">
        <v>46022</v>
      </c>
      <c r="C1000" t="s">
        <v>50</v>
      </c>
      <c r="D1000" t="s">
        <v>19</v>
      </c>
      <c r="E1000" t="s">
        <v>20</v>
      </c>
      <c r="F1000" t="s">
        <v>40</v>
      </c>
      <c r="G1000">
        <v>66</v>
      </c>
      <c r="H1000" t="s">
        <v>35</v>
      </c>
      <c r="I1000" t="s">
        <v>30</v>
      </c>
      <c r="J1000" t="s">
        <v>58</v>
      </c>
      <c r="K1000">
        <v>0</v>
      </c>
      <c r="L1000" s="4">
        <v>8350</v>
      </c>
      <c r="M1000">
        <v>1500</v>
      </c>
      <c r="N1000">
        <v>6850</v>
      </c>
      <c r="O1000" t="s">
        <v>32</v>
      </c>
      <c r="P1000">
        <v>3.9</v>
      </c>
      <c r="Q1000">
        <v>39</v>
      </c>
      <c r="R1000" t="str">
        <f>TEXT(Healthcare_Data[[#This Row],[Visit_Date]],"mmm")</f>
        <v>Dec</v>
      </c>
      <c r="S1000">
        <f>MONTH(Healthcare_Data[[#This Row],[Visit_Date]])</f>
        <v>12</v>
      </c>
      <c r="T1000" t="str">
        <f>IF(Healthcare_Data[[#This Row],[Final_Bill]]&gt;=50000,"High",IF(Healthcare_Data[[#This Row],[Final_Bill]]&gt;=20000,"Medium","low"))</f>
        <v>low</v>
      </c>
    </row>
    <row r="1001" spans="1:20" x14ac:dyDescent="0.3">
      <c r="A1001" t="s">
        <v>1056</v>
      </c>
      <c r="B1001" s="3">
        <v>46022</v>
      </c>
      <c r="C1001" t="s">
        <v>54</v>
      </c>
      <c r="D1001" t="s">
        <v>28</v>
      </c>
      <c r="E1001" t="s">
        <v>52</v>
      </c>
      <c r="F1001" t="s">
        <v>40</v>
      </c>
      <c r="G1001">
        <v>52</v>
      </c>
      <c r="H1001" t="s">
        <v>29</v>
      </c>
      <c r="I1001" t="s">
        <v>61</v>
      </c>
      <c r="J1001" t="s">
        <v>31</v>
      </c>
      <c r="K1001">
        <v>2</v>
      </c>
      <c r="L1001" s="4">
        <v>18088</v>
      </c>
      <c r="M1001">
        <v>1000</v>
      </c>
      <c r="N1001">
        <v>17088</v>
      </c>
      <c r="O1001" t="s">
        <v>59</v>
      </c>
      <c r="P1001">
        <v>2.6</v>
      </c>
      <c r="Q1001">
        <v>12</v>
      </c>
      <c r="R1001" t="str">
        <f>TEXT(Healthcare_Data[[#This Row],[Visit_Date]],"mmm")</f>
        <v>Dec</v>
      </c>
      <c r="S1001">
        <f>MONTH(Healthcare_Data[[#This Row],[Visit_Date]])</f>
        <v>12</v>
      </c>
      <c r="T1001" t="str">
        <f>IF(Healthcare_Data[[#This Row],[Final_Bill]]&gt;=50000,"High",IF(Healthcare_Data[[#This Row],[Final_Bill]]&gt;=20000,"Medium","low"))</f>
        <v>low</v>
      </c>
    </row>
    <row r="1005" spans="1:20" x14ac:dyDescent="0.3">
      <c r="B1005" s="8" t="s">
        <v>1081</v>
      </c>
      <c r="C1005" t="s">
        <v>1063</v>
      </c>
    </row>
    <row r="1006" spans="1:20" x14ac:dyDescent="0.3">
      <c r="B1006" s="9" t="s">
        <v>48</v>
      </c>
      <c r="C1006" s="15">
        <v>2965140</v>
      </c>
    </row>
    <row r="1007" spans="1:20" x14ac:dyDescent="0.3">
      <c r="B1007" s="9" t="s">
        <v>18</v>
      </c>
      <c r="C1007" s="15">
        <v>2535811</v>
      </c>
    </row>
    <row r="1008" spans="1:20" x14ac:dyDescent="0.3">
      <c r="B1008" s="9" t="s">
        <v>54</v>
      </c>
      <c r="C1008" s="15">
        <v>2785734</v>
      </c>
    </row>
    <row r="1009" spans="2:3" x14ac:dyDescent="0.3">
      <c r="B1009" s="9" t="s">
        <v>44</v>
      </c>
      <c r="C1009" s="15">
        <v>2632535</v>
      </c>
    </row>
    <row r="1010" spans="2:3" x14ac:dyDescent="0.3">
      <c r="B1010" s="9" t="s">
        <v>67</v>
      </c>
      <c r="C1010" s="15">
        <v>3124249</v>
      </c>
    </row>
    <row r="1011" spans="2:3" x14ac:dyDescent="0.3">
      <c r="B1011" s="9" t="s">
        <v>27</v>
      </c>
      <c r="C1011" s="15">
        <v>2377138</v>
      </c>
    </row>
    <row r="1012" spans="2:3" x14ac:dyDescent="0.3">
      <c r="B1012" s="9" t="s">
        <v>50</v>
      </c>
      <c r="C1012" s="15">
        <v>3298291</v>
      </c>
    </row>
    <row r="1013" spans="2:3" x14ac:dyDescent="0.3">
      <c r="B1013" s="9" t="s">
        <v>38</v>
      </c>
      <c r="C1013" s="15">
        <v>2222132</v>
      </c>
    </row>
    <row r="1014" spans="2:3" x14ac:dyDescent="0.3">
      <c r="B1014" s="9" t="s">
        <v>1082</v>
      </c>
      <c r="C1014" s="15">
        <v>21941030</v>
      </c>
    </row>
  </sheetData>
  <pageMargins left="0.75" right="0.75" top="1" bottom="1" header="0.5" footer="0.5"/>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7D5E8-5EDE-4E20-88D0-FD1EDF6039FA}">
  <dimension ref="A1:T1001"/>
  <sheetViews>
    <sheetView workbookViewId="0"/>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1058</v>
      </c>
      <c r="S1" t="s">
        <v>1059</v>
      </c>
      <c r="T1" t="s">
        <v>1060</v>
      </c>
    </row>
    <row r="2" spans="1:20" x14ac:dyDescent="0.3">
      <c r="A2" t="s">
        <v>17</v>
      </c>
      <c r="B2">
        <v>45658</v>
      </c>
      <c r="C2" t="s">
        <v>18</v>
      </c>
      <c r="D2" t="s">
        <v>19</v>
      </c>
      <c r="E2" t="s">
        <v>20</v>
      </c>
      <c r="F2" t="s">
        <v>21</v>
      </c>
      <c r="G2">
        <v>26</v>
      </c>
      <c r="H2" t="s">
        <v>22</v>
      </c>
      <c r="I2" t="s">
        <v>23</v>
      </c>
      <c r="J2" t="s">
        <v>24</v>
      </c>
      <c r="K2">
        <v>0</v>
      </c>
      <c r="L2">
        <v>7043</v>
      </c>
      <c r="M2">
        <v>0</v>
      </c>
      <c r="N2">
        <v>7043</v>
      </c>
      <c r="O2" t="s">
        <v>25</v>
      </c>
      <c r="P2">
        <v>3</v>
      </c>
      <c r="Q2">
        <v>23</v>
      </c>
      <c r="R2" t="s">
        <v>1068</v>
      </c>
      <c r="S2">
        <v>1</v>
      </c>
      <c r="T2" t="str">
        <f>IF(Healthcare_Data[[#This Row],[Final_Bill]]&gt;=50000,"High",IF(Healthcare_Data[[#This Row],[Final_Bill]]&gt;=20000,"Medium","low"))</f>
        <v>low</v>
      </c>
    </row>
    <row r="3" spans="1:20" x14ac:dyDescent="0.3">
      <c r="A3" t="s">
        <v>26</v>
      </c>
      <c r="B3">
        <v>45658</v>
      </c>
      <c r="C3" t="s">
        <v>27</v>
      </c>
      <c r="D3" t="s">
        <v>28</v>
      </c>
      <c r="E3" t="s">
        <v>20</v>
      </c>
      <c r="F3" t="s">
        <v>21</v>
      </c>
      <c r="G3">
        <v>75</v>
      </c>
      <c r="H3" t="s">
        <v>29</v>
      </c>
      <c r="I3" t="s">
        <v>30</v>
      </c>
      <c r="J3" t="s">
        <v>31</v>
      </c>
      <c r="K3">
        <v>0</v>
      </c>
      <c r="L3">
        <v>8944</v>
      </c>
      <c r="M3">
        <v>2000</v>
      </c>
      <c r="N3">
        <v>6944</v>
      </c>
      <c r="O3" t="s">
        <v>32</v>
      </c>
      <c r="P3">
        <v>2.5</v>
      </c>
      <c r="Q3">
        <v>85</v>
      </c>
      <c r="R3" t="s">
        <v>1068</v>
      </c>
      <c r="S3">
        <v>1</v>
      </c>
      <c r="T3" t="str">
        <f>IF(Healthcare_Data[[#This Row],[Final_Bill]]&gt;=50000,"High",IF(Healthcare_Data[[#This Row],[Final_Bill]]&gt;=20000,"Medium","low"))</f>
        <v>low</v>
      </c>
    </row>
    <row r="4" spans="1:20" x14ac:dyDescent="0.3">
      <c r="A4" t="s">
        <v>33</v>
      </c>
      <c r="B4">
        <v>45658</v>
      </c>
      <c r="C4" t="s">
        <v>27</v>
      </c>
      <c r="D4" t="s">
        <v>34</v>
      </c>
      <c r="E4" t="s">
        <v>20</v>
      </c>
      <c r="F4" t="s">
        <v>21</v>
      </c>
      <c r="G4">
        <v>43</v>
      </c>
      <c r="H4" t="s">
        <v>35</v>
      </c>
      <c r="I4" t="s">
        <v>30</v>
      </c>
      <c r="J4" t="s">
        <v>36</v>
      </c>
      <c r="K4">
        <v>0</v>
      </c>
      <c r="L4">
        <v>9136</v>
      </c>
      <c r="M4">
        <v>0</v>
      </c>
      <c r="N4">
        <v>9136</v>
      </c>
      <c r="O4" t="s">
        <v>25</v>
      </c>
      <c r="P4">
        <v>3.2</v>
      </c>
      <c r="Q4">
        <v>56</v>
      </c>
      <c r="R4" t="s">
        <v>1068</v>
      </c>
      <c r="S4">
        <v>1</v>
      </c>
      <c r="T4" t="str">
        <f>IF(Healthcare_Data[[#This Row],[Final_Bill]]&gt;=50000,"High",IF(Healthcare_Data[[#This Row],[Final_Bill]]&gt;=20000,"Medium","low"))</f>
        <v>low</v>
      </c>
    </row>
    <row r="5" spans="1:20" x14ac:dyDescent="0.3">
      <c r="A5" t="s">
        <v>37</v>
      </c>
      <c r="B5">
        <v>45658</v>
      </c>
      <c r="C5" t="s">
        <v>38</v>
      </c>
      <c r="D5" t="s">
        <v>39</v>
      </c>
      <c r="E5" t="s">
        <v>20</v>
      </c>
      <c r="F5" t="s">
        <v>40</v>
      </c>
      <c r="G5">
        <v>71</v>
      </c>
      <c r="H5" t="s">
        <v>41</v>
      </c>
      <c r="I5" t="s">
        <v>42</v>
      </c>
      <c r="J5" t="s">
        <v>24</v>
      </c>
      <c r="K5">
        <v>0</v>
      </c>
      <c r="L5">
        <v>10680</v>
      </c>
      <c r="M5">
        <v>1000</v>
      </c>
      <c r="N5">
        <v>9680</v>
      </c>
      <c r="O5" t="s">
        <v>32</v>
      </c>
      <c r="P5">
        <v>3.8</v>
      </c>
      <c r="Q5">
        <v>10</v>
      </c>
      <c r="R5" t="s">
        <v>1068</v>
      </c>
      <c r="S5">
        <v>1</v>
      </c>
      <c r="T5" t="str">
        <f>IF(Healthcare_Data[[#This Row],[Final_Bill]]&gt;=50000,"High",IF(Healthcare_Data[[#This Row],[Final_Bill]]&gt;=20000,"Medium","low"))</f>
        <v>low</v>
      </c>
    </row>
    <row r="6" spans="1:20" x14ac:dyDescent="0.3">
      <c r="A6" t="s">
        <v>43</v>
      </c>
      <c r="B6">
        <v>45658</v>
      </c>
      <c r="C6" t="s">
        <v>44</v>
      </c>
      <c r="D6" t="s">
        <v>28</v>
      </c>
      <c r="E6" t="s">
        <v>20</v>
      </c>
      <c r="F6" t="s">
        <v>40</v>
      </c>
      <c r="G6">
        <v>69</v>
      </c>
      <c r="H6" t="s">
        <v>41</v>
      </c>
      <c r="I6" t="s">
        <v>42</v>
      </c>
      <c r="J6" t="s">
        <v>31</v>
      </c>
      <c r="K6">
        <v>0</v>
      </c>
      <c r="L6">
        <v>15880</v>
      </c>
      <c r="M6">
        <v>2000</v>
      </c>
      <c r="N6">
        <v>13880</v>
      </c>
      <c r="O6" t="s">
        <v>25</v>
      </c>
      <c r="P6">
        <v>4.5</v>
      </c>
      <c r="Q6">
        <v>101</v>
      </c>
      <c r="R6" t="s">
        <v>1068</v>
      </c>
      <c r="S6">
        <v>1</v>
      </c>
      <c r="T6" t="str">
        <f>IF(Healthcare_Data[[#This Row],[Final_Bill]]&gt;=50000,"High",IF(Healthcare_Data[[#This Row],[Final_Bill]]&gt;=20000,"Medium","low"))</f>
        <v>low</v>
      </c>
    </row>
    <row r="7" spans="1:20" x14ac:dyDescent="0.3">
      <c r="A7" t="s">
        <v>45</v>
      </c>
      <c r="B7">
        <v>45658</v>
      </c>
      <c r="C7" t="s">
        <v>18</v>
      </c>
      <c r="D7" t="s">
        <v>39</v>
      </c>
      <c r="E7" t="s">
        <v>20</v>
      </c>
      <c r="F7" t="s">
        <v>21</v>
      </c>
      <c r="G7">
        <v>57</v>
      </c>
      <c r="H7" t="s">
        <v>46</v>
      </c>
      <c r="I7" t="s">
        <v>42</v>
      </c>
      <c r="J7" t="s">
        <v>24</v>
      </c>
      <c r="K7">
        <v>0</v>
      </c>
      <c r="L7">
        <v>16364</v>
      </c>
      <c r="M7">
        <v>1500</v>
      </c>
      <c r="N7">
        <v>14864</v>
      </c>
      <c r="O7" t="s">
        <v>25</v>
      </c>
      <c r="P7">
        <v>2.7</v>
      </c>
      <c r="Q7">
        <v>92</v>
      </c>
      <c r="R7" t="s">
        <v>1068</v>
      </c>
      <c r="S7">
        <v>1</v>
      </c>
      <c r="T7" t="str">
        <f>IF(Healthcare_Data[[#This Row],[Final_Bill]]&gt;=50000,"High",IF(Healthcare_Data[[#This Row],[Final_Bill]]&gt;=20000,"Medium","low"))</f>
        <v>low</v>
      </c>
    </row>
    <row r="8" spans="1:20" x14ac:dyDescent="0.3">
      <c r="A8" t="s">
        <v>47</v>
      </c>
      <c r="B8">
        <v>45659</v>
      </c>
      <c r="C8" t="s">
        <v>48</v>
      </c>
      <c r="D8" t="s">
        <v>39</v>
      </c>
      <c r="E8" t="s">
        <v>20</v>
      </c>
      <c r="F8" t="s">
        <v>40</v>
      </c>
      <c r="G8">
        <v>76</v>
      </c>
      <c r="H8" t="s">
        <v>29</v>
      </c>
      <c r="I8" t="s">
        <v>42</v>
      </c>
      <c r="J8" t="s">
        <v>31</v>
      </c>
      <c r="K8">
        <v>0</v>
      </c>
      <c r="L8">
        <v>18161</v>
      </c>
      <c r="M8">
        <v>2000</v>
      </c>
      <c r="N8">
        <v>16161</v>
      </c>
      <c r="O8" t="s">
        <v>25</v>
      </c>
      <c r="P8">
        <v>4.9000000000000004</v>
      </c>
      <c r="Q8">
        <v>44</v>
      </c>
      <c r="R8" t="s">
        <v>1068</v>
      </c>
      <c r="S8">
        <v>1</v>
      </c>
      <c r="T8" t="str">
        <f>IF(Healthcare_Data[[#This Row],[Final_Bill]]&gt;=50000,"High",IF(Healthcare_Data[[#This Row],[Final_Bill]]&gt;=20000,"Medium","low"))</f>
        <v>low</v>
      </c>
    </row>
    <row r="9" spans="1:20" x14ac:dyDescent="0.3">
      <c r="A9" t="s">
        <v>49</v>
      </c>
      <c r="B9">
        <v>45659</v>
      </c>
      <c r="C9" t="s">
        <v>50</v>
      </c>
      <c r="D9" t="s">
        <v>51</v>
      </c>
      <c r="E9" t="s">
        <v>52</v>
      </c>
      <c r="F9" t="s">
        <v>40</v>
      </c>
      <c r="G9">
        <v>66</v>
      </c>
      <c r="H9" t="s">
        <v>46</v>
      </c>
      <c r="I9" t="s">
        <v>30</v>
      </c>
      <c r="J9" t="s">
        <v>1057</v>
      </c>
      <c r="K9">
        <v>10</v>
      </c>
      <c r="L9">
        <v>67234</v>
      </c>
      <c r="M9">
        <v>2000</v>
      </c>
      <c r="N9">
        <v>65234</v>
      </c>
      <c r="O9" t="s">
        <v>25</v>
      </c>
      <c r="P9">
        <v>4</v>
      </c>
      <c r="Q9">
        <v>70</v>
      </c>
      <c r="R9" t="s">
        <v>1068</v>
      </c>
      <c r="S9">
        <v>1</v>
      </c>
      <c r="T9" t="str">
        <f>IF(Healthcare_Data[[#This Row],[Final_Bill]]&gt;=50000,"High",IF(Healthcare_Data[[#This Row],[Final_Bill]]&gt;=20000,"Medium","low"))</f>
        <v>High</v>
      </c>
    </row>
    <row r="10" spans="1:20" x14ac:dyDescent="0.3">
      <c r="A10" t="s">
        <v>53</v>
      </c>
      <c r="B10">
        <v>45659</v>
      </c>
      <c r="C10" t="s">
        <v>50</v>
      </c>
      <c r="D10" t="s">
        <v>19</v>
      </c>
      <c r="E10" t="s">
        <v>54</v>
      </c>
      <c r="F10" t="s">
        <v>21</v>
      </c>
      <c r="G10">
        <v>20</v>
      </c>
      <c r="H10" t="s">
        <v>46</v>
      </c>
      <c r="I10" t="s">
        <v>42</v>
      </c>
      <c r="J10" t="s">
        <v>24</v>
      </c>
      <c r="K10">
        <v>0</v>
      </c>
      <c r="L10">
        <v>39498</v>
      </c>
      <c r="M10">
        <v>0</v>
      </c>
      <c r="N10">
        <v>39498</v>
      </c>
      <c r="O10" t="s">
        <v>25</v>
      </c>
      <c r="P10">
        <v>3.7</v>
      </c>
      <c r="Q10">
        <v>102</v>
      </c>
      <c r="R10" t="s">
        <v>1068</v>
      </c>
      <c r="S10">
        <v>1</v>
      </c>
      <c r="T10" t="str">
        <f>IF(Healthcare_Data[[#This Row],[Final_Bill]]&gt;=50000,"High",IF(Healthcare_Data[[#This Row],[Final_Bill]]&gt;=20000,"Medium","low"))</f>
        <v>Medium</v>
      </c>
    </row>
    <row r="11" spans="1:20" x14ac:dyDescent="0.3">
      <c r="A11" t="s">
        <v>55</v>
      </c>
      <c r="B11">
        <v>45660</v>
      </c>
      <c r="C11" t="s">
        <v>38</v>
      </c>
      <c r="D11" t="s">
        <v>51</v>
      </c>
      <c r="E11" t="s">
        <v>52</v>
      </c>
      <c r="F11" t="s">
        <v>21</v>
      </c>
      <c r="G11">
        <v>28</v>
      </c>
      <c r="H11" t="s">
        <v>56</v>
      </c>
      <c r="I11" t="s">
        <v>57</v>
      </c>
      <c r="J11" t="s">
        <v>58</v>
      </c>
      <c r="K11">
        <v>2</v>
      </c>
      <c r="L11">
        <v>18573</v>
      </c>
      <c r="M11">
        <v>0</v>
      </c>
      <c r="N11">
        <v>18573</v>
      </c>
      <c r="O11" t="s">
        <v>59</v>
      </c>
      <c r="P11">
        <v>3.2</v>
      </c>
      <c r="Q11">
        <v>91</v>
      </c>
      <c r="R11" t="s">
        <v>1068</v>
      </c>
      <c r="S11">
        <v>1</v>
      </c>
      <c r="T11" t="str">
        <f>IF(Healthcare_Data[[#This Row],[Final_Bill]]&gt;=50000,"High",IF(Healthcare_Data[[#This Row],[Final_Bill]]&gt;=20000,"Medium","low"))</f>
        <v>low</v>
      </c>
    </row>
    <row r="12" spans="1:20" x14ac:dyDescent="0.3">
      <c r="A12" t="s">
        <v>60</v>
      </c>
      <c r="B12">
        <v>45661</v>
      </c>
      <c r="C12" t="s">
        <v>38</v>
      </c>
      <c r="D12" t="s">
        <v>19</v>
      </c>
      <c r="E12" t="s">
        <v>54</v>
      </c>
      <c r="F12" t="s">
        <v>21</v>
      </c>
      <c r="G12">
        <v>63</v>
      </c>
      <c r="H12" t="s">
        <v>41</v>
      </c>
      <c r="I12" t="s">
        <v>61</v>
      </c>
      <c r="J12" t="s">
        <v>31</v>
      </c>
      <c r="K12">
        <v>0</v>
      </c>
      <c r="L12">
        <v>25824</v>
      </c>
      <c r="M12">
        <v>0</v>
      </c>
      <c r="N12">
        <v>25824</v>
      </c>
      <c r="O12" t="s">
        <v>25</v>
      </c>
      <c r="P12">
        <v>4.9000000000000004</v>
      </c>
      <c r="Q12">
        <v>102</v>
      </c>
      <c r="R12" t="s">
        <v>1068</v>
      </c>
      <c r="S12">
        <v>1</v>
      </c>
      <c r="T12" t="str">
        <f>IF(Healthcare_Data[[#This Row],[Final_Bill]]&gt;=50000,"High",IF(Healthcare_Data[[#This Row],[Final_Bill]]&gt;=20000,"Medium","low"))</f>
        <v>Medium</v>
      </c>
    </row>
    <row r="13" spans="1:20" x14ac:dyDescent="0.3">
      <c r="A13" t="s">
        <v>62</v>
      </c>
      <c r="B13">
        <v>45661</v>
      </c>
      <c r="C13" t="s">
        <v>44</v>
      </c>
      <c r="D13" t="s">
        <v>39</v>
      </c>
      <c r="E13" t="s">
        <v>20</v>
      </c>
      <c r="F13" t="s">
        <v>21</v>
      </c>
      <c r="G13">
        <v>61</v>
      </c>
      <c r="H13" t="s">
        <v>41</v>
      </c>
      <c r="I13" t="s">
        <v>63</v>
      </c>
      <c r="J13" t="s">
        <v>31</v>
      </c>
      <c r="K13">
        <v>0</v>
      </c>
      <c r="L13">
        <v>19271</v>
      </c>
      <c r="M13">
        <v>0</v>
      </c>
      <c r="N13">
        <v>19271</v>
      </c>
      <c r="O13" t="s">
        <v>25</v>
      </c>
      <c r="P13">
        <v>4.5999999999999996</v>
      </c>
      <c r="Q13">
        <v>55</v>
      </c>
      <c r="R13" t="s">
        <v>1068</v>
      </c>
      <c r="S13">
        <v>1</v>
      </c>
      <c r="T13" t="str">
        <f>IF(Healthcare_Data[[#This Row],[Final_Bill]]&gt;=50000,"High",IF(Healthcare_Data[[#This Row],[Final_Bill]]&gt;=20000,"Medium","low"))</f>
        <v>low</v>
      </c>
    </row>
    <row r="14" spans="1:20" x14ac:dyDescent="0.3">
      <c r="A14" t="s">
        <v>64</v>
      </c>
      <c r="B14">
        <v>45661</v>
      </c>
      <c r="C14" t="s">
        <v>44</v>
      </c>
      <c r="D14" t="s">
        <v>34</v>
      </c>
      <c r="E14" t="s">
        <v>52</v>
      </c>
      <c r="F14" t="s">
        <v>21</v>
      </c>
      <c r="G14">
        <v>69</v>
      </c>
      <c r="H14" t="s">
        <v>65</v>
      </c>
      <c r="I14" t="s">
        <v>42</v>
      </c>
      <c r="J14" t="s">
        <v>1057</v>
      </c>
      <c r="K14">
        <v>6</v>
      </c>
      <c r="L14">
        <v>48927</v>
      </c>
      <c r="M14">
        <v>0</v>
      </c>
      <c r="N14">
        <v>48927</v>
      </c>
      <c r="O14" t="s">
        <v>25</v>
      </c>
      <c r="P14">
        <v>4.9000000000000004</v>
      </c>
      <c r="Q14">
        <v>47</v>
      </c>
      <c r="R14" t="s">
        <v>1068</v>
      </c>
      <c r="S14">
        <v>1</v>
      </c>
      <c r="T14" t="str">
        <f>IF(Healthcare_Data[[#This Row],[Final_Bill]]&gt;=50000,"High",IF(Healthcare_Data[[#This Row],[Final_Bill]]&gt;=20000,"Medium","low"))</f>
        <v>Medium</v>
      </c>
    </row>
    <row r="15" spans="1:20" x14ac:dyDescent="0.3">
      <c r="A15" t="s">
        <v>66</v>
      </c>
      <c r="B15">
        <v>45661</v>
      </c>
      <c r="C15" t="s">
        <v>67</v>
      </c>
      <c r="D15" t="s">
        <v>39</v>
      </c>
      <c r="E15" t="s">
        <v>20</v>
      </c>
      <c r="F15" t="s">
        <v>40</v>
      </c>
      <c r="G15">
        <v>45</v>
      </c>
      <c r="H15" t="s">
        <v>46</v>
      </c>
      <c r="I15" t="s">
        <v>23</v>
      </c>
      <c r="J15" t="s">
        <v>58</v>
      </c>
      <c r="K15">
        <v>0</v>
      </c>
      <c r="L15">
        <v>8687</v>
      </c>
      <c r="M15">
        <v>2000</v>
      </c>
      <c r="N15">
        <v>6687</v>
      </c>
      <c r="O15" t="s">
        <v>25</v>
      </c>
      <c r="P15">
        <v>3.2</v>
      </c>
      <c r="Q15">
        <v>102</v>
      </c>
      <c r="R15" t="s">
        <v>1068</v>
      </c>
      <c r="S15">
        <v>1</v>
      </c>
      <c r="T15" t="str">
        <f>IF(Healthcare_Data[[#This Row],[Final_Bill]]&gt;=50000,"High",IF(Healthcare_Data[[#This Row],[Final_Bill]]&gt;=20000,"Medium","low"))</f>
        <v>low</v>
      </c>
    </row>
    <row r="16" spans="1:20" x14ac:dyDescent="0.3">
      <c r="A16" t="s">
        <v>68</v>
      </c>
      <c r="B16">
        <v>45662</v>
      </c>
      <c r="C16" t="s">
        <v>18</v>
      </c>
      <c r="D16" t="s">
        <v>28</v>
      </c>
      <c r="E16" t="s">
        <v>52</v>
      </c>
      <c r="F16" t="s">
        <v>21</v>
      </c>
      <c r="G16">
        <v>73</v>
      </c>
      <c r="H16" t="s">
        <v>41</v>
      </c>
      <c r="I16" t="s">
        <v>69</v>
      </c>
      <c r="J16" t="s">
        <v>24</v>
      </c>
      <c r="K16">
        <v>7</v>
      </c>
      <c r="L16">
        <v>44657</v>
      </c>
      <c r="M16">
        <v>500</v>
      </c>
      <c r="N16">
        <v>44157</v>
      </c>
      <c r="O16" t="s">
        <v>25</v>
      </c>
      <c r="P16">
        <v>3.5</v>
      </c>
      <c r="Q16">
        <v>120</v>
      </c>
      <c r="R16" t="s">
        <v>1068</v>
      </c>
      <c r="S16">
        <v>1</v>
      </c>
      <c r="T16" t="str">
        <f>IF(Healthcare_Data[[#This Row],[Final_Bill]]&gt;=50000,"High",IF(Healthcare_Data[[#This Row],[Final_Bill]]&gt;=20000,"Medium","low"))</f>
        <v>Medium</v>
      </c>
    </row>
    <row r="17" spans="1:20" x14ac:dyDescent="0.3">
      <c r="A17" t="s">
        <v>70</v>
      </c>
      <c r="B17">
        <v>45662</v>
      </c>
      <c r="C17" t="s">
        <v>50</v>
      </c>
      <c r="D17" t="s">
        <v>34</v>
      </c>
      <c r="E17" t="s">
        <v>20</v>
      </c>
      <c r="F17" t="s">
        <v>21</v>
      </c>
      <c r="G17">
        <v>69</v>
      </c>
      <c r="H17" t="s">
        <v>22</v>
      </c>
      <c r="I17" t="s">
        <v>57</v>
      </c>
      <c r="J17" t="s">
        <v>36</v>
      </c>
      <c r="K17">
        <v>0</v>
      </c>
      <c r="L17">
        <v>9473</v>
      </c>
      <c r="M17">
        <v>500</v>
      </c>
      <c r="N17">
        <v>8973</v>
      </c>
      <c r="O17" t="s">
        <v>32</v>
      </c>
      <c r="P17">
        <v>3.4</v>
      </c>
      <c r="Q17">
        <v>26</v>
      </c>
      <c r="R17" t="s">
        <v>1068</v>
      </c>
      <c r="S17">
        <v>1</v>
      </c>
      <c r="T17" t="str">
        <f>IF(Healthcare_Data[[#This Row],[Final_Bill]]&gt;=50000,"High",IF(Healthcare_Data[[#This Row],[Final_Bill]]&gt;=20000,"Medium","low"))</f>
        <v>low</v>
      </c>
    </row>
    <row r="18" spans="1:20" x14ac:dyDescent="0.3">
      <c r="A18" t="s">
        <v>71</v>
      </c>
      <c r="B18">
        <v>45662</v>
      </c>
      <c r="C18" t="s">
        <v>18</v>
      </c>
      <c r="D18" t="s">
        <v>51</v>
      </c>
      <c r="E18" t="s">
        <v>20</v>
      </c>
      <c r="F18" t="s">
        <v>21</v>
      </c>
      <c r="G18">
        <v>78</v>
      </c>
      <c r="H18" t="s">
        <v>56</v>
      </c>
      <c r="I18" t="s">
        <v>72</v>
      </c>
      <c r="J18" t="s">
        <v>58</v>
      </c>
      <c r="K18">
        <v>0</v>
      </c>
      <c r="L18">
        <v>3360</v>
      </c>
      <c r="M18">
        <v>2000</v>
      </c>
      <c r="N18">
        <v>1360</v>
      </c>
      <c r="O18" t="s">
        <v>25</v>
      </c>
      <c r="P18">
        <v>4.4000000000000004</v>
      </c>
      <c r="Q18">
        <v>44</v>
      </c>
      <c r="R18" t="s">
        <v>1068</v>
      </c>
      <c r="S18">
        <v>1</v>
      </c>
      <c r="T18" t="str">
        <f>IF(Healthcare_Data[[#This Row],[Final_Bill]]&gt;=50000,"High",IF(Healthcare_Data[[#This Row],[Final_Bill]]&gt;=20000,"Medium","low"))</f>
        <v>low</v>
      </c>
    </row>
    <row r="19" spans="1:20" x14ac:dyDescent="0.3">
      <c r="A19" t="s">
        <v>73</v>
      </c>
      <c r="B19">
        <v>45662</v>
      </c>
      <c r="C19" t="s">
        <v>44</v>
      </c>
      <c r="D19" t="s">
        <v>19</v>
      </c>
      <c r="E19" t="s">
        <v>20</v>
      </c>
      <c r="F19" t="s">
        <v>21</v>
      </c>
      <c r="G19">
        <v>59</v>
      </c>
      <c r="H19" t="s">
        <v>29</v>
      </c>
      <c r="I19" t="s">
        <v>72</v>
      </c>
      <c r="J19" t="s">
        <v>31</v>
      </c>
      <c r="K19">
        <v>0</v>
      </c>
      <c r="L19">
        <v>4583</v>
      </c>
      <c r="M19">
        <v>1000</v>
      </c>
      <c r="N19">
        <v>3583</v>
      </c>
      <c r="O19" t="s">
        <v>25</v>
      </c>
      <c r="P19">
        <v>4.4000000000000004</v>
      </c>
      <c r="Q19">
        <v>17</v>
      </c>
      <c r="R19" t="s">
        <v>1068</v>
      </c>
      <c r="S19">
        <v>1</v>
      </c>
      <c r="T19" t="str">
        <f>IF(Healthcare_Data[[#This Row],[Final_Bill]]&gt;=50000,"High",IF(Healthcare_Data[[#This Row],[Final_Bill]]&gt;=20000,"Medium","low"))</f>
        <v>low</v>
      </c>
    </row>
    <row r="20" spans="1:20" x14ac:dyDescent="0.3">
      <c r="A20" t="s">
        <v>74</v>
      </c>
      <c r="B20">
        <v>45662</v>
      </c>
      <c r="C20" t="s">
        <v>54</v>
      </c>
      <c r="D20" t="s">
        <v>34</v>
      </c>
      <c r="E20" t="s">
        <v>54</v>
      </c>
      <c r="F20" t="s">
        <v>40</v>
      </c>
      <c r="G20">
        <v>72</v>
      </c>
      <c r="H20" t="s">
        <v>46</v>
      </c>
      <c r="I20" t="s">
        <v>72</v>
      </c>
      <c r="J20" t="s">
        <v>58</v>
      </c>
      <c r="K20">
        <v>0</v>
      </c>
      <c r="L20">
        <v>10460</v>
      </c>
      <c r="M20">
        <v>0</v>
      </c>
      <c r="N20">
        <v>10460</v>
      </c>
      <c r="O20" t="s">
        <v>25</v>
      </c>
      <c r="P20">
        <v>2.9</v>
      </c>
      <c r="Q20">
        <v>94</v>
      </c>
      <c r="R20" t="s">
        <v>1068</v>
      </c>
      <c r="S20">
        <v>1</v>
      </c>
      <c r="T20" t="str">
        <f>IF(Healthcare_Data[[#This Row],[Final_Bill]]&gt;=50000,"High",IF(Healthcare_Data[[#This Row],[Final_Bill]]&gt;=20000,"Medium","low"))</f>
        <v>low</v>
      </c>
    </row>
    <row r="21" spans="1:20" x14ac:dyDescent="0.3">
      <c r="A21" t="s">
        <v>75</v>
      </c>
      <c r="B21">
        <v>45663</v>
      </c>
      <c r="C21" t="s">
        <v>38</v>
      </c>
      <c r="D21" t="s">
        <v>28</v>
      </c>
      <c r="E21" t="s">
        <v>20</v>
      </c>
      <c r="F21" t="s">
        <v>40</v>
      </c>
      <c r="G21">
        <v>22</v>
      </c>
      <c r="H21" t="s">
        <v>46</v>
      </c>
      <c r="I21" t="s">
        <v>1057</v>
      </c>
      <c r="J21" t="s">
        <v>24</v>
      </c>
      <c r="K21">
        <v>0</v>
      </c>
      <c r="L21">
        <v>8899</v>
      </c>
      <c r="M21">
        <v>0</v>
      </c>
      <c r="N21">
        <v>8899</v>
      </c>
      <c r="O21" t="s">
        <v>25</v>
      </c>
      <c r="P21">
        <v>4.2</v>
      </c>
      <c r="Q21">
        <v>24</v>
      </c>
      <c r="R21" t="s">
        <v>1068</v>
      </c>
      <c r="S21">
        <v>1</v>
      </c>
      <c r="T21" t="str">
        <f>IF(Healthcare_Data[[#This Row],[Final_Bill]]&gt;=50000,"High",IF(Healthcare_Data[[#This Row],[Final_Bill]]&gt;=20000,"Medium","low"))</f>
        <v>low</v>
      </c>
    </row>
    <row r="22" spans="1:20" x14ac:dyDescent="0.3">
      <c r="A22" t="s">
        <v>76</v>
      </c>
      <c r="B22">
        <v>45663</v>
      </c>
      <c r="C22" t="s">
        <v>48</v>
      </c>
      <c r="D22" t="s">
        <v>28</v>
      </c>
      <c r="E22" t="s">
        <v>20</v>
      </c>
      <c r="F22" t="s">
        <v>40</v>
      </c>
      <c r="G22">
        <v>76</v>
      </c>
      <c r="H22" t="s">
        <v>41</v>
      </c>
      <c r="I22" t="s">
        <v>30</v>
      </c>
      <c r="J22" t="s">
        <v>24</v>
      </c>
      <c r="K22">
        <v>0</v>
      </c>
      <c r="L22">
        <v>1819</v>
      </c>
      <c r="M22">
        <v>0</v>
      </c>
      <c r="N22">
        <v>1819</v>
      </c>
      <c r="O22" t="s">
        <v>25</v>
      </c>
      <c r="P22">
        <v>4.8</v>
      </c>
      <c r="Q22">
        <v>70</v>
      </c>
      <c r="R22" t="s">
        <v>1068</v>
      </c>
      <c r="S22">
        <v>1</v>
      </c>
      <c r="T22" t="str">
        <f>IF(Healthcare_Data[[#This Row],[Final_Bill]]&gt;=50000,"High",IF(Healthcare_Data[[#This Row],[Final_Bill]]&gt;=20000,"Medium","low"))</f>
        <v>low</v>
      </c>
    </row>
    <row r="23" spans="1:20" x14ac:dyDescent="0.3">
      <c r="A23" t="s">
        <v>77</v>
      </c>
      <c r="B23">
        <v>45663</v>
      </c>
      <c r="C23" t="s">
        <v>54</v>
      </c>
      <c r="D23" t="s">
        <v>39</v>
      </c>
      <c r="E23" t="s">
        <v>54</v>
      </c>
      <c r="F23" t="s">
        <v>40</v>
      </c>
      <c r="G23">
        <v>74</v>
      </c>
      <c r="H23" t="s">
        <v>46</v>
      </c>
      <c r="I23" t="s">
        <v>23</v>
      </c>
      <c r="J23" t="s">
        <v>24</v>
      </c>
      <c r="K23">
        <v>0</v>
      </c>
      <c r="L23">
        <v>12663</v>
      </c>
      <c r="M23">
        <v>0</v>
      </c>
      <c r="N23">
        <v>12663</v>
      </c>
      <c r="O23" t="s">
        <v>25</v>
      </c>
      <c r="P23">
        <v>2.7</v>
      </c>
      <c r="Q23">
        <v>5</v>
      </c>
      <c r="R23" t="s">
        <v>1068</v>
      </c>
      <c r="S23">
        <v>1</v>
      </c>
      <c r="T23" t="str">
        <f>IF(Healthcare_Data[[#This Row],[Final_Bill]]&gt;=50000,"High",IF(Healthcare_Data[[#This Row],[Final_Bill]]&gt;=20000,"Medium","low"))</f>
        <v>low</v>
      </c>
    </row>
    <row r="24" spans="1:20" x14ac:dyDescent="0.3">
      <c r="A24" t="s">
        <v>78</v>
      </c>
      <c r="B24">
        <v>45663</v>
      </c>
      <c r="C24" t="s">
        <v>67</v>
      </c>
      <c r="D24" t="s">
        <v>19</v>
      </c>
      <c r="E24" t="s">
        <v>20</v>
      </c>
      <c r="F24" t="s">
        <v>40</v>
      </c>
      <c r="G24">
        <v>56</v>
      </c>
      <c r="H24" t="s">
        <v>41</v>
      </c>
      <c r="I24" t="s">
        <v>57</v>
      </c>
      <c r="J24" t="s">
        <v>36</v>
      </c>
      <c r="K24">
        <v>0</v>
      </c>
      <c r="L24">
        <v>16521</v>
      </c>
      <c r="M24">
        <v>1000</v>
      </c>
      <c r="N24">
        <v>15521</v>
      </c>
      <c r="O24" t="s">
        <v>59</v>
      </c>
      <c r="P24">
        <v>4.7</v>
      </c>
      <c r="Q24">
        <v>36</v>
      </c>
      <c r="R24" t="s">
        <v>1068</v>
      </c>
      <c r="S24">
        <v>1</v>
      </c>
      <c r="T24" t="str">
        <f>IF(Healthcare_Data[[#This Row],[Final_Bill]]&gt;=50000,"High",IF(Healthcare_Data[[#This Row],[Final_Bill]]&gt;=20000,"Medium","low"))</f>
        <v>low</v>
      </c>
    </row>
    <row r="25" spans="1:20" x14ac:dyDescent="0.3">
      <c r="A25" t="s">
        <v>79</v>
      </c>
      <c r="B25">
        <v>45664</v>
      </c>
      <c r="C25" t="s">
        <v>18</v>
      </c>
      <c r="D25" t="s">
        <v>51</v>
      </c>
      <c r="E25" t="s">
        <v>20</v>
      </c>
      <c r="F25" t="s">
        <v>40</v>
      </c>
      <c r="G25">
        <v>52</v>
      </c>
      <c r="H25" t="s">
        <v>22</v>
      </c>
      <c r="I25" t="s">
        <v>57</v>
      </c>
      <c r="J25" t="s">
        <v>58</v>
      </c>
      <c r="K25">
        <v>0</v>
      </c>
      <c r="L25">
        <v>17432</v>
      </c>
      <c r="M25">
        <v>500</v>
      </c>
      <c r="N25">
        <v>16932</v>
      </c>
      <c r="O25" t="s">
        <v>25</v>
      </c>
      <c r="P25">
        <v>3.9</v>
      </c>
      <c r="Q25">
        <v>76</v>
      </c>
      <c r="R25" t="s">
        <v>1068</v>
      </c>
      <c r="S25">
        <v>1</v>
      </c>
      <c r="T25" t="str">
        <f>IF(Healthcare_Data[[#This Row],[Final_Bill]]&gt;=50000,"High",IF(Healthcare_Data[[#This Row],[Final_Bill]]&gt;=20000,"Medium","low"))</f>
        <v>low</v>
      </c>
    </row>
    <row r="26" spans="1:20" x14ac:dyDescent="0.3">
      <c r="A26" t="s">
        <v>80</v>
      </c>
      <c r="B26">
        <v>45664</v>
      </c>
      <c r="C26" t="s">
        <v>50</v>
      </c>
      <c r="D26" t="s">
        <v>51</v>
      </c>
      <c r="E26" t="s">
        <v>54</v>
      </c>
      <c r="F26" t="s">
        <v>21</v>
      </c>
      <c r="G26">
        <v>45</v>
      </c>
      <c r="H26" t="s">
        <v>56</v>
      </c>
      <c r="I26" t="s">
        <v>72</v>
      </c>
      <c r="J26" t="s">
        <v>36</v>
      </c>
      <c r="K26">
        <v>0</v>
      </c>
      <c r="L26">
        <v>21662</v>
      </c>
      <c r="M26">
        <v>0</v>
      </c>
      <c r="N26">
        <v>21662</v>
      </c>
      <c r="O26" t="s">
        <v>25</v>
      </c>
      <c r="P26">
        <v>4.8</v>
      </c>
      <c r="Q26">
        <v>48</v>
      </c>
      <c r="R26" t="s">
        <v>1068</v>
      </c>
      <c r="S26">
        <v>1</v>
      </c>
      <c r="T26" t="str">
        <f>IF(Healthcare_Data[[#This Row],[Final_Bill]]&gt;=50000,"High",IF(Healthcare_Data[[#This Row],[Final_Bill]]&gt;=20000,"Medium","low"))</f>
        <v>Medium</v>
      </c>
    </row>
    <row r="27" spans="1:20" x14ac:dyDescent="0.3">
      <c r="A27" t="s">
        <v>81</v>
      </c>
      <c r="B27">
        <v>45665</v>
      </c>
      <c r="C27" t="s">
        <v>54</v>
      </c>
      <c r="D27" t="s">
        <v>39</v>
      </c>
      <c r="E27" t="s">
        <v>52</v>
      </c>
      <c r="F27" t="s">
        <v>21</v>
      </c>
      <c r="G27">
        <v>34</v>
      </c>
      <c r="H27" t="s">
        <v>22</v>
      </c>
      <c r="I27" t="s">
        <v>42</v>
      </c>
      <c r="J27" t="s">
        <v>31</v>
      </c>
      <c r="K27">
        <v>8</v>
      </c>
      <c r="L27">
        <v>48000</v>
      </c>
      <c r="M27">
        <v>1500</v>
      </c>
      <c r="N27">
        <v>46500</v>
      </c>
      <c r="O27" t="s">
        <v>25</v>
      </c>
      <c r="P27">
        <v>4.7</v>
      </c>
      <c r="Q27">
        <v>68</v>
      </c>
      <c r="R27" t="s">
        <v>1068</v>
      </c>
      <c r="S27">
        <v>1</v>
      </c>
      <c r="T27" t="str">
        <f>IF(Healthcare_Data[[#This Row],[Final_Bill]]&gt;=50000,"High",IF(Healthcare_Data[[#This Row],[Final_Bill]]&gt;=20000,"Medium","low"))</f>
        <v>Medium</v>
      </c>
    </row>
    <row r="28" spans="1:20" x14ac:dyDescent="0.3">
      <c r="A28" t="s">
        <v>82</v>
      </c>
      <c r="B28">
        <v>45665</v>
      </c>
      <c r="C28" t="s">
        <v>54</v>
      </c>
      <c r="D28" t="s">
        <v>28</v>
      </c>
      <c r="E28" t="s">
        <v>20</v>
      </c>
      <c r="F28" t="s">
        <v>21</v>
      </c>
      <c r="G28">
        <v>23</v>
      </c>
      <c r="H28" t="s">
        <v>35</v>
      </c>
      <c r="I28" t="s">
        <v>72</v>
      </c>
      <c r="J28" t="s">
        <v>1057</v>
      </c>
      <c r="K28">
        <v>0</v>
      </c>
      <c r="L28">
        <v>15282</v>
      </c>
      <c r="M28">
        <v>500</v>
      </c>
      <c r="N28">
        <v>14782</v>
      </c>
      <c r="O28" t="s">
        <v>25</v>
      </c>
      <c r="P28">
        <v>4.3</v>
      </c>
      <c r="Q28">
        <v>35</v>
      </c>
      <c r="R28" t="s">
        <v>1068</v>
      </c>
      <c r="S28">
        <v>1</v>
      </c>
      <c r="T28" t="str">
        <f>IF(Healthcare_Data[[#This Row],[Final_Bill]]&gt;=50000,"High",IF(Healthcare_Data[[#This Row],[Final_Bill]]&gt;=20000,"Medium","low"))</f>
        <v>low</v>
      </c>
    </row>
    <row r="29" spans="1:20" x14ac:dyDescent="0.3">
      <c r="A29" t="s">
        <v>83</v>
      </c>
      <c r="B29">
        <v>45665</v>
      </c>
      <c r="C29" t="s">
        <v>67</v>
      </c>
      <c r="D29" t="s">
        <v>51</v>
      </c>
      <c r="E29" t="s">
        <v>20</v>
      </c>
      <c r="F29" t="s">
        <v>21</v>
      </c>
      <c r="G29">
        <v>64</v>
      </c>
      <c r="H29" t="s">
        <v>35</v>
      </c>
      <c r="I29" t="s">
        <v>63</v>
      </c>
      <c r="J29" t="s">
        <v>24</v>
      </c>
      <c r="K29">
        <v>0</v>
      </c>
      <c r="L29">
        <v>17523</v>
      </c>
      <c r="M29">
        <v>500</v>
      </c>
      <c r="N29">
        <v>17023</v>
      </c>
      <c r="O29" t="s">
        <v>25</v>
      </c>
      <c r="P29">
        <v>3.1</v>
      </c>
      <c r="Q29">
        <v>34</v>
      </c>
      <c r="R29" t="s">
        <v>1068</v>
      </c>
      <c r="S29">
        <v>1</v>
      </c>
      <c r="T29" t="str">
        <f>IF(Healthcare_Data[[#This Row],[Final_Bill]]&gt;=50000,"High",IF(Healthcare_Data[[#This Row],[Final_Bill]]&gt;=20000,"Medium","low"))</f>
        <v>low</v>
      </c>
    </row>
    <row r="30" spans="1:20" x14ac:dyDescent="0.3">
      <c r="A30" t="s">
        <v>84</v>
      </c>
      <c r="B30">
        <v>45666</v>
      </c>
      <c r="C30" t="s">
        <v>18</v>
      </c>
      <c r="D30" t="s">
        <v>19</v>
      </c>
      <c r="E30" t="s">
        <v>20</v>
      </c>
      <c r="F30" t="s">
        <v>21</v>
      </c>
      <c r="G30">
        <v>80</v>
      </c>
      <c r="H30" t="s">
        <v>65</v>
      </c>
      <c r="I30" t="s">
        <v>63</v>
      </c>
      <c r="J30" t="s">
        <v>36</v>
      </c>
      <c r="K30">
        <v>0</v>
      </c>
      <c r="L30">
        <v>8738</v>
      </c>
      <c r="M30">
        <v>500</v>
      </c>
      <c r="N30">
        <v>8238</v>
      </c>
      <c r="O30" t="s">
        <v>25</v>
      </c>
      <c r="P30">
        <v>2.6</v>
      </c>
      <c r="Q30">
        <v>37</v>
      </c>
      <c r="R30" t="s">
        <v>1068</v>
      </c>
      <c r="S30">
        <v>1</v>
      </c>
      <c r="T30" t="str">
        <f>IF(Healthcare_Data[[#This Row],[Final_Bill]]&gt;=50000,"High",IF(Healthcare_Data[[#This Row],[Final_Bill]]&gt;=20000,"Medium","low"))</f>
        <v>low</v>
      </c>
    </row>
    <row r="31" spans="1:20" x14ac:dyDescent="0.3">
      <c r="A31" t="s">
        <v>85</v>
      </c>
      <c r="B31">
        <v>45666</v>
      </c>
      <c r="C31" t="s">
        <v>38</v>
      </c>
      <c r="D31" t="s">
        <v>34</v>
      </c>
      <c r="E31" t="s">
        <v>20</v>
      </c>
      <c r="F31" t="s">
        <v>40</v>
      </c>
      <c r="G31">
        <v>53</v>
      </c>
      <c r="H31" t="s">
        <v>41</v>
      </c>
      <c r="I31" t="s">
        <v>42</v>
      </c>
      <c r="J31" t="s">
        <v>31</v>
      </c>
      <c r="K31">
        <v>0</v>
      </c>
      <c r="L31">
        <v>11708</v>
      </c>
      <c r="M31">
        <v>0</v>
      </c>
      <c r="N31">
        <v>11708</v>
      </c>
      <c r="O31" t="s">
        <v>25</v>
      </c>
      <c r="P31">
        <v>3.4</v>
      </c>
      <c r="Q31">
        <v>89</v>
      </c>
      <c r="R31" t="s">
        <v>1068</v>
      </c>
      <c r="S31">
        <v>1</v>
      </c>
      <c r="T31" t="str">
        <f>IF(Healthcare_Data[[#This Row],[Final_Bill]]&gt;=50000,"High",IF(Healthcare_Data[[#This Row],[Final_Bill]]&gt;=20000,"Medium","low"))</f>
        <v>low</v>
      </c>
    </row>
    <row r="32" spans="1:20" x14ac:dyDescent="0.3">
      <c r="A32" t="s">
        <v>86</v>
      </c>
      <c r="B32">
        <v>45666</v>
      </c>
      <c r="C32" t="s">
        <v>38</v>
      </c>
      <c r="D32" t="s">
        <v>39</v>
      </c>
      <c r="E32" t="s">
        <v>54</v>
      </c>
      <c r="F32" t="s">
        <v>40</v>
      </c>
      <c r="G32">
        <v>80</v>
      </c>
      <c r="H32" t="s">
        <v>22</v>
      </c>
      <c r="I32" t="s">
        <v>69</v>
      </c>
      <c r="J32" t="s">
        <v>24</v>
      </c>
      <c r="K32">
        <v>0</v>
      </c>
      <c r="L32">
        <v>43771</v>
      </c>
      <c r="M32">
        <v>0</v>
      </c>
      <c r="N32">
        <v>43771</v>
      </c>
      <c r="O32" t="s">
        <v>25</v>
      </c>
      <c r="P32">
        <v>4.0999999999999996</v>
      </c>
      <c r="Q32">
        <v>37</v>
      </c>
      <c r="R32" t="s">
        <v>1068</v>
      </c>
      <c r="S32">
        <v>1</v>
      </c>
      <c r="T32" t="str">
        <f>IF(Healthcare_Data[[#This Row],[Final_Bill]]&gt;=50000,"High",IF(Healthcare_Data[[#This Row],[Final_Bill]]&gt;=20000,"Medium","low"))</f>
        <v>Medium</v>
      </c>
    </row>
    <row r="33" spans="1:20" x14ac:dyDescent="0.3">
      <c r="A33" t="s">
        <v>87</v>
      </c>
      <c r="B33">
        <v>45667</v>
      </c>
      <c r="C33" t="s">
        <v>67</v>
      </c>
      <c r="D33" t="s">
        <v>28</v>
      </c>
      <c r="E33" t="s">
        <v>20</v>
      </c>
      <c r="F33" t="s">
        <v>40</v>
      </c>
      <c r="G33">
        <v>49</v>
      </c>
      <c r="H33" t="s">
        <v>41</v>
      </c>
      <c r="I33" t="s">
        <v>23</v>
      </c>
      <c r="J33" t="s">
        <v>36</v>
      </c>
      <c r="K33">
        <v>0</v>
      </c>
      <c r="L33">
        <v>3002</v>
      </c>
      <c r="M33">
        <v>500</v>
      </c>
      <c r="N33">
        <v>2502</v>
      </c>
      <c r="O33" t="s">
        <v>25</v>
      </c>
      <c r="P33">
        <v>2.8</v>
      </c>
      <c r="Q33">
        <v>71</v>
      </c>
      <c r="R33" t="s">
        <v>1068</v>
      </c>
      <c r="S33">
        <v>1</v>
      </c>
      <c r="T33" t="str">
        <f>IF(Healthcare_Data[[#This Row],[Final_Bill]]&gt;=50000,"High",IF(Healthcare_Data[[#This Row],[Final_Bill]]&gt;=20000,"Medium","low"))</f>
        <v>low</v>
      </c>
    </row>
    <row r="34" spans="1:20" x14ac:dyDescent="0.3">
      <c r="A34" t="s">
        <v>88</v>
      </c>
      <c r="B34">
        <v>45667</v>
      </c>
      <c r="C34" t="s">
        <v>54</v>
      </c>
      <c r="D34" t="s">
        <v>39</v>
      </c>
      <c r="E34" t="s">
        <v>20</v>
      </c>
      <c r="F34" t="s">
        <v>40</v>
      </c>
      <c r="G34">
        <v>41</v>
      </c>
      <c r="H34" t="s">
        <v>65</v>
      </c>
      <c r="I34" t="s">
        <v>30</v>
      </c>
      <c r="J34" t="s">
        <v>58</v>
      </c>
      <c r="K34">
        <v>0</v>
      </c>
      <c r="L34">
        <v>13945</v>
      </c>
      <c r="M34">
        <v>2000</v>
      </c>
      <c r="N34">
        <v>11945</v>
      </c>
      <c r="O34" t="s">
        <v>25</v>
      </c>
      <c r="P34">
        <v>2.8</v>
      </c>
      <c r="Q34">
        <v>40</v>
      </c>
      <c r="R34" t="s">
        <v>1068</v>
      </c>
      <c r="S34">
        <v>1</v>
      </c>
      <c r="T34" t="str">
        <f>IF(Healthcare_Data[[#This Row],[Final_Bill]]&gt;=50000,"High",IF(Healthcare_Data[[#This Row],[Final_Bill]]&gt;=20000,"Medium","low"))</f>
        <v>low</v>
      </c>
    </row>
    <row r="35" spans="1:20" x14ac:dyDescent="0.3">
      <c r="A35" t="s">
        <v>89</v>
      </c>
      <c r="B35">
        <v>45669</v>
      </c>
      <c r="C35" t="s">
        <v>50</v>
      </c>
      <c r="D35" t="s">
        <v>34</v>
      </c>
      <c r="E35" t="s">
        <v>20</v>
      </c>
      <c r="F35" t="s">
        <v>40</v>
      </c>
      <c r="G35">
        <v>40</v>
      </c>
      <c r="H35" t="s">
        <v>46</v>
      </c>
      <c r="I35" t="s">
        <v>69</v>
      </c>
      <c r="J35" t="s">
        <v>24</v>
      </c>
      <c r="K35">
        <v>0</v>
      </c>
      <c r="L35">
        <v>3607</v>
      </c>
      <c r="M35">
        <v>2000</v>
      </c>
      <c r="N35">
        <v>1607</v>
      </c>
      <c r="O35" t="s">
        <v>25</v>
      </c>
      <c r="P35">
        <v>4.5</v>
      </c>
      <c r="Q35">
        <v>73</v>
      </c>
      <c r="R35" t="s">
        <v>1068</v>
      </c>
      <c r="S35">
        <v>1</v>
      </c>
      <c r="T35" t="str">
        <f>IF(Healthcare_Data[[#This Row],[Final_Bill]]&gt;=50000,"High",IF(Healthcare_Data[[#This Row],[Final_Bill]]&gt;=20000,"Medium","low"))</f>
        <v>low</v>
      </c>
    </row>
    <row r="36" spans="1:20" x14ac:dyDescent="0.3">
      <c r="A36" t="s">
        <v>90</v>
      </c>
      <c r="B36">
        <v>45669</v>
      </c>
      <c r="C36" t="s">
        <v>38</v>
      </c>
      <c r="D36" t="s">
        <v>51</v>
      </c>
      <c r="E36" t="s">
        <v>20</v>
      </c>
      <c r="F36" t="s">
        <v>40</v>
      </c>
      <c r="G36">
        <v>51</v>
      </c>
      <c r="H36" t="s">
        <v>29</v>
      </c>
      <c r="I36" t="s">
        <v>72</v>
      </c>
      <c r="J36" t="s">
        <v>36</v>
      </c>
      <c r="K36">
        <v>0</v>
      </c>
      <c r="L36">
        <v>8647</v>
      </c>
      <c r="M36">
        <v>0</v>
      </c>
      <c r="N36">
        <v>8647</v>
      </c>
      <c r="O36" t="s">
        <v>25</v>
      </c>
      <c r="P36">
        <v>2.9</v>
      </c>
      <c r="Q36">
        <v>6</v>
      </c>
      <c r="R36" t="s">
        <v>1068</v>
      </c>
      <c r="S36">
        <v>1</v>
      </c>
      <c r="T36" t="str">
        <f>IF(Healthcare_Data[[#This Row],[Final_Bill]]&gt;=50000,"High",IF(Healthcare_Data[[#This Row],[Final_Bill]]&gt;=20000,"Medium","low"))</f>
        <v>low</v>
      </c>
    </row>
    <row r="37" spans="1:20" x14ac:dyDescent="0.3">
      <c r="A37" t="s">
        <v>91</v>
      </c>
      <c r="B37">
        <v>45669</v>
      </c>
      <c r="C37" t="s">
        <v>50</v>
      </c>
      <c r="D37" t="s">
        <v>28</v>
      </c>
      <c r="E37" t="s">
        <v>20</v>
      </c>
      <c r="F37" t="s">
        <v>21</v>
      </c>
      <c r="G37">
        <v>38</v>
      </c>
      <c r="H37" t="s">
        <v>35</v>
      </c>
      <c r="I37" t="s">
        <v>42</v>
      </c>
      <c r="J37" t="s">
        <v>31</v>
      </c>
      <c r="K37">
        <v>0</v>
      </c>
      <c r="L37">
        <v>16382</v>
      </c>
      <c r="M37">
        <v>0</v>
      </c>
      <c r="N37">
        <v>16382</v>
      </c>
      <c r="O37" t="s">
        <v>25</v>
      </c>
      <c r="P37">
        <v>4.9000000000000004</v>
      </c>
      <c r="Q37">
        <v>78</v>
      </c>
      <c r="R37" t="s">
        <v>1068</v>
      </c>
      <c r="S37">
        <v>1</v>
      </c>
      <c r="T37" t="str">
        <f>IF(Healthcare_Data[[#This Row],[Final_Bill]]&gt;=50000,"High",IF(Healthcare_Data[[#This Row],[Final_Bill]]&gt;=20000,"Medium","low"))</f>
        <v>low</v>
      </c>
    </row>
    <row r="38" spans="1:20" x14ac:dyDescent="0.3">
      <c r="A38" t="s">
        <v>92</v>
      </c>
      <c r="B38">
        <v>45670</v>
      </c>
      <c r="C38" t="s">
        <v>48</v>
      </c>
      <c r="D38" t="s">
        <v>34</v>
      </c>
      <c r="E38" t="s">
        <v>20</v>
      </c>
      <c r="F38" t="s">
        <v>21</v>
      </c>
      <c r="G38">
        <v>35</v>
      </c>
      <c r="H38" t="s">
        <v>22</v>
      </c>
      <c r="I38" t="s">
        <v>42</v>
      </c>
      <c r="J38" t="s">
        <v>31</v>
      </c>
      <c r="K38">
        <v>0</v>
      </c>
      <c r="L38">
        <v>19440</v>
      </c>
      <c r="M38">
        <v>1500</v>
      </c>
      <c r="N38">
        <v>17940</v>
      </c>
      <c r="O38" t="s">
        <v>25</v>
      </c>
      <c r="P38">
        <v>4.3</v>
      </c>
      <c r="Q38">
        <v>96</v>
      </c>
      <c r="R38" t="s">
        <v>1068</v>
      </c>
      <c r="S38">
        <v>1</v>
      </c>
      <c r="T38" t="str">
        <f>IF(Healthcare_Data[[#This Row],[Final_Bill]]&gt;=50000,"High",IF(Healthcare_Data[[#This Row],[Final_Bill]]&gt;=20000,"Medium","low"))</f>
        <v>low</v>
      </c>
    </row>
    <row r="39" spans="1:20" x14ac:dyDescent="0.3">
      <c r="A39" t="s">
        <v>93</v>
      </c>
      <c r="B39">
        <v>45670</v>
      </c>
      <c r="C39" t="s">
        <v>18</v>
      </c>
      <c r="D39" t="s">
        <v>28</v>
      </c>
      <c r="E39" t="s">
        <v>20</v>
      </c>
      <c r="F39" t="s">
        <v>40</v>
      </c>
      <c r="G39">
        <v>73</v>
      </c>
      <c r="H39" t="s">
        <v>56</v>
      </c>
      <c r="I39" t="s">
        <v>72</v>
      </c>
      <c r="J39" t="s">
        <v>1057</v>
      </c>
      <c r="K39">
        <v>0</v>
      </c>
      <c r="L39">
        <v>3246</v>
      </c>
      <c r="M39">
        <v>1000</v>
      </c>
      <c r="N39">
        <v>2246</v>
      </c>
      <c r="O39" t="s">
        <v>25</v>
      </c>
      <c r="P39">
        <v>2.6</v>
      </c>
      <c r="Q39">
        <v>11</v>
      </c>
      <c r="R39" t="s">
        <v>1068</v>
      </c>
      <c r="S39">
        <v>1</v>
      </c>
      <c r="T39" t="str">
        <f>IF(Healthcare_Data[[#This Row],[Final_Bill]]&gt;=50000,"High",IF(Healthcare_Data[[#This Row],[Final_Bill]]&gt;=20000,"Medium","low"))</f>
        <v>low</v>
      </c>
    </row>
    <row r="40" spans="1:20" x14ac:dyDescent="0.3">
      <c r="A40" t="s">
        <v>94</v>
      </c>
      <c r="B40">
        <v>45670</v>
      </c>
      <c r="C40" t="s">
        <v>67</v>
      </c>
      <c r="D40" t="s">
        <v>51</v>
      </c>
      <c r="E40" t="s">
        <v>54</v>
      </c>
      <c r="F40" t="s">
        <v>40</v>
      </c>
      <c r="G40">
        <v>56</v>
      </c>
      <c r="H40" t="s">
        <v>41</v>
      </c>
      <c r="I40" t="s">
        <v>23</v>
      </c>
      <c r="J40" t="s">
        <v>24</v>
      </c>
      <c r="K40">
        <v>0</v>
      </c>
      <c r="L40">
        <v>24493</v>
      </c>
      <c r="M40">
        <v>0</v>
      </c>
      <c r="N40">
        <v>24493</v>
      </c>
      <c r="O40" t="s">
        <v>25</v>
      </c>
      <c r="P40">
        <v>4.2</v>
      </c>
      <c r="Q40">
        <v>112</v>
      </c>
      <c r="R40" t="s">
        <v>1068</v>
      </c>
      <c r="S40">
        <v>1</v>
      </c>
      <c r="T40" t="str">
        <f>IF(Healthcare_Data[[#This Row],[Final_Bill]]&gt;=50000,"High",IF(Healthcare_Data[[#This Row],[Final_Bill]]&gt;=20000,"Medium","low"))</f>
        <v>Medium</v>
      </c>
    </row>
    <row r="41" spans="1:20" x14ac:dyDescent="0.3">
      <c r="A41" t="s">
        <v>95</v>
      </c>
      <c r="B41">
        <v>45670</v>
      </c>
      <c r="C41" t="s">
        <v>50</v>
      </c>
      <c r="D41" t="s">
        <v>34</v>
      </c>
      <c r="E41" t="s">
        <v>52</v>
      </c>
      <c r="F41" t="s">
        <v>40</v>
      </c>
      <c r="G41">
        <v>38</v>
      </c>
      <c r="H41" t="s">
        <v>22</v>
      </c>
      <c r="I41" t="s">
        <v>23</v>
      </c>
      <c r="J41" t="s">
        <v>36</v>
      </c>
      <c r="K41">
        <v>13</v>
      </c>
      <c r="L41">
        <v>35269</v>
      </c>
      <c r="M41">
        <v>1000</v>
      </c>
      <c r="N41">
        <v>34269</v>
      </c>
      <c r="O41" t="s">
        <v>25</v>
      </c>
      <c r="P41">
        <v>3.6</v>
      </c>
      <c r="Q41">
        <v>66</v>
      </c>
      <c r="R41" t="s">
        <v>1068</v>
      </c>
      <c r="S41">
        <v>1</v>
      </c>
      <c r="T41" t="str">
        <f>IF(Healthcare_Data[[#This Row],[Final_Bill]]&gt;=50000,"High",IF(Healthcare_Data[[#This Row],[Final_Bill]]&gt;=20000,"Medium","low"))</f>
        <v>Medium</v>
      </c>
    </row>
    <row r="42" spans="1:20" x14ac:dyDescent="0.3">
      <c r="A42" t="s">
        <v>96</v>
      </c>
      <c r="B42">
        <v>45671</v>
      </c>
      <c r="C42" t="s">
        <v>18</v>
      </c>
      <c r="D42" t="s">
        <v>51</v>
      </c>
      <c r="E42" t="s">
        <v>20</v>
      </c>
      <c r="F42" t="s">
        <v>40</v>
      </c>
      <c r="G42">
        <v>75</v>
      </c>
      <c r="H42" t="s">
        <v>56</v>
      </c>
      <c r="I42" t="s">
        <v>30</v>
      </c>
      <c r="J42" t="s">
        <v>24</v>
      </c>
      <c r="K42">
        <v>0</v>
      </c>
      <c r="L42">
        <v>19796</v>
      </c>
      <c r="M42">
        <v>500</v>
      </c>
      <c r="N42">
        <v>19296</v>
      </c>
      <c r="O42" t="s">
        <v>25</v>
      </c>
      <c r="P42">
        <v>3</v>
      </c>
      <c r="Q42">
        <v>93</v>
      </c>
      <c r="R42" t="s">
        <v>1068</v>
      </c>
      <c r="S42">
        <v>1</v>
      </c>
      <c r="T42" t="str">
        <f>IF(Healthcare_Data[[#This Row],[Final_Bill]]&gt;=50000,"High",IF(Healthcare_Data[[#This Row],[Final_Bill]]&gt;=20000,"Medium","low"))</f>
        <v>low</v>
      </c>
    </row>
    <row r="43" spans="1:20" x14ac:dyDescent="0.3">
      <c r="A43" t="s">
        <v>97</v>
      </c>
      <c r="B43">
        <v>45671</v>
      </c>
      <c r="C43" t="s">
        <v>27</v>
      </c>
      <c r="D43" t="s">
        <v>19</v>
      </c>
      <c r="E43" t="s">
        <v>52</v>
      </c>
      <c r="F43" t="s">
        <v>21</v>
      </c>
      <c r="G43">
        <v>22</v>
      </c>
      <c r="H43" t="s">
        <v>56</v>
      </c>
      <c r="I43" t="s">
        <v>69</v>
      </c>
      <c r="J43" t="s">
        <v>31</v>
      </c>
      <c r="K43">
        <v>14</v>
      </c>
      <c r="L43">
        <v>40135</v>
      </c>
      <c r="M43">
        <v>500</v>
      </c>
      <c r="N43">
        <v>39635</v>
      </c>
      <c r="O43" t="s">
        <v>25</v>
      </c>
      <c r="P43">
        <v>3.8</v>
      </c>
      <c r="Q43">
        <v>32</v>
      </c>
      <c r="R43" t="s">
        <v>1068</v>
      </c>
      <c r="S43">
        <v>1</v>
      </c>
      <c r="T43" t="str">
        <f>IF(Healthcare_Data[[#This Row],[Final_Bill]]&gt;=50000,"High",IF(Healthcare_Data[[#This Row],[Final_Bill]]&gt;=20000,"Medium","low"))</f>
        <v>Medium</v>
      </c>
    </row>
    <row r="44" spans="1:20" x14ac:dyDescent="0.3">
      <c r="A44" t="s">
        <v>98</v>
      </c>
      <c r="B44">
        <v>45671</v>
      </c>
      <c r="C44" t="s">
        <v>18</v>
      </c>
      <c r="D44" t="s">
        <v>28</v>
      </c>
      <c r="E44" t="s">
        <v>20</v>
      </c>
      <c r="F44" t="s">
        <v>40</v>
      </c>
      <c r="G44">
        <v>80</v>
      </c>
      <c r="H44" t="s">
        <v>46</v>
      </c>
      <c r="I44" t="s">
        <v>23</v>
      </c>
      <c r="J44" t="s">
        <v>36</v>
      </c>
      <c r="K44">
        <v>0</v>
      </c>
      <c r="L44">
        <v>13603</v>
      </c>
      <c r="M44">
        <v>1000</v>
      </c>
      <c r="N44">
        <v>12603</v>
      </c>
      <c r="O44" t="s">
        <v>25</v>
      </c>
      <c r="P44">
        <v>4.4000000000000004</v>
      </c>
      <c r="Q44">
        <v>27</v>
      </c>
      <c r="R44" t="s">
        <v>1068</v>
      </c>
      <c r="S44">
        <v>1</v>
      </c>
      <c r="T44" t="str">
        <f>IF(Healthcare_Data[[#This Row],[Final_Bill]]&gt;=50000,"High",IF(Healthcare_Data[[#This Row],[Final_Bill]]&gt;=20000,"Medium","low"))</f>
        <v>low</v>
      </c>
    </row>
    <row r="45" spans="1:20" x14ac:dyDescent="0.3">
      <c r="A45" t="s">
        <v>99</v>
      </c>
      <c r="B45">
        <v>45671</v>
      </c>
      <c r="C45" t="s">
        <v>18</v>
      </c>
      <c r="D45" t="s">
        <v>39</v>
      </c>
      <c r="E45" t="s">
        <v>20</v>
      </c>
      <c r="F45" t="s">
        <v>40</v>
      </c>
      <c r="G45">
        <v>65</v>
      </c>
      <c r="H45" t="s">
        <v>46</v>
      </c>
      <c r="I45" t="s">
        <v>72</v>
      </c>
      <c r="J45" t="s">
        <v>24</v>
      </c>
      <c r="K45">
        <v>0</v>
      </c>
      <c r="L45">
        <v>8266</v>
      </c>
      <c r="M45">
        <v>0</v>
      </c>
      <c r="N45">
        <v>8266</v>
      </c>
      <c r="O45" t="s">
        <v>32</v>
      </c>
      <c r="P45">
        <v>4.9000000000000004</v>
      </c>
      <c r="Q45">
        <v>25</v>
      </c>
      <c r="R45" t="s">
        <v>1068</v>
      </c>
      <c r="S45">
        <v>1</v>
      </c>
      <c r="T45" t="str">
        <f>IF(Healthcare_Data[[#This Row],[Final_Bill]]&gt;=50000,"High",IF(Healthcare_Data[[#This Row],[Final_Bill]]&gt;=20000,"Medium","low"))</f>
        <v>low</v>
      </c>
    </row>
    <row r="46" spans="1:20" x14ac:dyDescent="0.3">
      <c r="A46" t="s">
        <v>100</v>
      </c>
      <c r="B46">
        <v>45672</v>
      </c>
      <c r="C46" t="s">
        <v>50</v>
      </c>
      <c r="D46" t="s">
        <v>19</v>
      </c>
      <c r="E46" t="s">
        <v>54</v>
      </c>
      <c r="F46" t="s">
        <v>21</v>
      </c>
      <c r="G46">
        <v>51</v>
      </c>
      <c r="H46" t="s">
        <v>56</v>
      </c>
      <c r="I46" t="s">
        <v>72</v>
      </c>
      <c r="J46" t="s">
        <v>24</v>
      </c>
      <c r="K46">
        <v>0</v>
      </c>
      <c r="L46">
        <v>19039</v>
      </c>
      <c r="M46">
        <v>0</v>
      </c>
      <c r="N46">
        <v>19039</v>
      </c>
      <c r="O46" t="s">
        <v>25</v>
      </c>
      <c r="P46">
        <v>2.7</v>
      </c>
      <c r="Q46">
        <v>23</v>
      </c>
      <c r="R46" t="s">
        <v>1068</v>
      </c>
      <c r="S46">
        <v>1</v>
      </c>
      <c r="T46" t="str">
        <f>IF(Healthcare_Data[[#This Row],[Final_Bill]]&gt;=50000,"High",IF(Healthcare_Data[[#This Row],[Final_Bill]]&gt;=20000,"Medium","low"))</f>
        <v>low</v>
      </c>
    </row>
    <row r="47" spans="1:20" x14ac:dyDescent="0.3">
      <c r="A47" t="s">
        <v>101</v>
      </c>
      <c r="B47">
        <v>45672</v>
      </c>
      <c r="C47" t="s">
        <v>27</v>
      </c>
      <c r="D47" t="s">
        <v>39</v>
      </c>
      <c r="E47" t="s">
        <v>52</v>
      </c>
      <c r="F47" t="s">
        <v>40</v>
      </c>
      <c r="G47">
        <v>39</v>
      </c>
      <c r="H47" t="s">
        <v>46</v>
      </c>
      <c r="I47" t="s">
        <v>30</v>
      </c>
      <c r="J47" t="s">
        <v>36</v>
      </c>
      <c r="K47">
        <v>14</v>
      </c>
      <c r="L47">
        <v>18770</v>
      </c>
      <c r="M47">
        <v>0</v>
      </c>
      <c r="N47">
        <v>18770</v>
      </c>
      <c r="O47" t="s">
        <v>25</v>
      </c>
      <c r="P47">
        <v>2.8</v>
      </c>
      <c r="Q47">
        <v>11</v>
      </c>
      <c r="R47" t="s">
        <v>1068</v>
      </c>
      <c r="S47">
        <v>1</v>
      </c>
      <c r="T47" t="str">
        <f>IF(Healthcare_Data[[#This Row],[Final_Bill]]&gt;=50000,"High",IF(Healthcare_Data[[#This Row],[Final_Bill]]&gt;=20000,"Medium","low"))</f>
        <v>low</v>
      </c>
    </row>
    <row r="48" spans="1:20" x14ac:dyDescent="0.3">
      <c r="A48" t="s">
        <v>102</v>
      </c>
      <c r="B48">
        <v>45672</v>
      </c>
      <c r="C48" t="s">
        <v>67</v>
      </c>
      <c r="D48" t="s">
        <v>51</v>
      </c>
      <c r="E48" t="s">
        <v>20</v>
      </c>
      <c r="F48" t="s">
        <v>40</v>
      </c>
      <c r="G48">
        <v>34</v>
      </c>
      <c r="H48" t="s">
        <v>65</v>
      </c>
      <c r="I48" t="s">
        <v>72</v>
      </c>
      <c r="J48" t="s">
        <v>24</v>
      </c>
      <c r="K48">
        <v>0</v>
      </c>
      <c r="L48">
        <v>16795</v>
      </c>
      <c r="M48">
        <v>500</v>
      </c>
      <c r="N48">
        <v>16295</v>
      </c>
      <c r="O48" t="s">
        <v>32</v>
      </c>
      <c r="P48">
        <v>4.7</v>
      </c>
      <c r="Q48">
        <v>86</v>
      </c>
      <c r="R48" t="s">
        <v>1068</v>
      </c>
      <c r="S48">
        <v>1</v>
      </c>
      <c r="T48" t="str">
        <f>IF(Healthcare_Data[[#This Row],[Final_Bill]]&gt;=50000,"High",IF(Healthcare_Data[[#This Row],[Final_Bill]]&gt;=20000,"Medium","low"))</f>
        <v>low</v>
      </c>
    </row>
    <row r="49" spans="1:20" x14ac:dyDescent="0.3">
      <c r="A49" t="s">
        <v>103</v>
      </c>
      <c r="B49">
        <v>45673</v>
      </c>
      <c r="C49" t="s">
        <v>50</v>
      </c>
      <c r="D49" t="s">
        <v>39</v>
      </c>
      <c r="E49" t="s">
        <v>20</v>
      </c>
      <c r="F49" t="s">
        <v>21</v>
      </c>
      <c r="G49">
        <v>43</v>
      </c>
      <c r="H49" t="s">
        <v>56</v>
      </c>
      <c r="I49" t="s">
        <v>23</v>
      </c>
      <c r="J49" t="s">
        <v>58</v>
      </c>
      <c r="K49">
        <v>0</v>
      </c>
      <c r="L49">
        <v>5774</v>
      </c>
      <c r="M49">
        <v>0</v>
      </c>
      <c r="N49">
        <v>5774</v>
      </c>
      <c r="O49" t="s">
        <v>25</v>
      </c>
      <c r="P49">
        <v>3.2</v>
      </c>
      <c r="Q49">
        <v>83</v>
      </c>
      <c r="R49" t="s">
        <v>1068</v>
      </c>
      <c r="S49">
        <v>1</v>
      </c>
      <c r="T49" t="str">
        <f>IF(Healthcare_Data[[#This Row],[Final_Bill]]&gt;=50000,"High",IF(Healthcare_Data[[#This Row],[Final_Bill]]&gt;=20000,"Medium","low"))</f>
        <v>low</v>
      </c>
    </row>
    <row r="50" spans="1:20" x14ac:dyDescent="0.3">
      <c r="A50" t="s">
        <v>104</v>
      </c>
      <c r="B50">
        <v>45674</v>
      </c>
      <c r="C50" t="s">
        <v>44</v>
      </c>
      <c r="D50" t="s">
        <v>19</v>
      </c>
      <c r="E50" t="s">
        <v>52</v>
      </c>
      <c r="F50" t="s">
        <v>40</v>
      </c>
      <c r="G50">
        <v>70</v>
      </c>
      <c r="H50" t="s">
        <v>22</v>
      </c>
      <c r="I50" t="s">
        <v>23</v>
      </c>
      <c r="J50" t="s">
        <v>36</v>
      </c>
      <c r="K50">
        <v>6</v>
      </c>
      <c r="L50">
        <v>25745</v>
      </c>
      <c r="M50">
        <v>0</v>
      </c>
      <c r="N50">
        <v>25745</v>
      </c>
      <c r="O50" t="s">
        <v>25</v>
      </c>
      <c r="P50">
        <v>2.5</v>
      </c>
      <c r="Q50">
        <v>83</v>
      </c>
      <c r="R50" t="s">
        <v>1068</v>
      </c>
      <c r="S50">
        <v>1</v>
      </c>
      <c r="T50" t="str">
        <f>IF(Healthcare_Data[[#This Row],[Final_Bill]]&gt;=50000,"High",IF(Healthcare_Data[[#This Row],[Final_Bill]]&gt;=20000,"Medium","low"))</f>
        <v>Medium</v>
      </c>
    </row>
    <row r="51" spans="1:20" x14ac:dyDescent="0.3">
      <c r="A51" t="s">
        <v>105</v>
      </c>
      <c r="B51">
        <v>45675</v>
      </c>
      <c r="C51" t="s">
        <v>48</v>
      </c>
      <c r="D51" t="s">
        <v>34</v>
      </c>
      <c r="E51" t="s">
        <v>52</v>
      </c>
      <c r="F51" t="s">
        <v>40</v>
      </c>
      <c r="G51">
        <v>74</v>
      </c>
      <c r="H51" t="s">
        <v>65</v>
      </c>
      <c r="I51" t="s">
        <v>23</v>
      </c>
      <c r="J51" t="s">
        <v>24</v>
      </c>
      <c r="K51">
        <v>12</v>
      </c>
      <c r="L51">
        <v>60802</v>
      </c>
      <c r="M51">
        <v>2000</v>
      </c>
      <c r="N51">
        <v>58802</v>
      </c>
      <c r="O51" t="s">
        <v>25</v>
      </c>
      <c r="P51">
        <v>3.1</v>
      </c>
      <c r="Q51">
        <v>18</v>
      </c>
      <c r="R51" t="s">
        <v>1068</v>
      </c>
      <c r="S51">
        <v>1</v>
      </c>
      <c r="T51" t="str">
        <f>IF(Healthcare_Data[[#This Row],[Final_Bill]]&gt;=50000,"High",IF(Healthcare_Data[[#This Row],[Final_Bill]]&gt;=20000,"Medium","low"))</f>
        <v>High</v>
      </c>
    </row>
    <row r="52" spans="1:20" x14ac:dyDescent="0.3">
      <c r="A52" t="s">
        <v>106</v>
      </c>
      <c r="B52">
        <v>45676</v>
      </c>
      <c r="C52" t="s">
        <v>54</v>
      </c>
      <c r="D52" t="s">
        <v>28</v>
      </c>
      <c r="E52" t="s">
        <v>52</v>
      </c>
      <c r="F52" t="s">
        <v>21</v>
      </c>
      <c r="G52">
        <v>66</v>
      </c>
      <c r="H52" t="s">
        <v>41</v>
      </c>
      <c r="I52" t="s">
        <v>63</v>
      </c>
      <c r="J52" t="s">
        <v>24</v>
      </c>
      <c r="K52">
        <v>12</v>
      </c>
      <c r="L52">
        <v>35156</v>
      </c>
      <c r="M52">
        <v>0</v>
      </c>
      <c r="N52">
        <v>35156</v>
      </c>
      <c r="O52" t="s">
        <v>25</v>
      </c>
      <c r="P52">
        <v>4.7</v>
      </c>
      <c r="Q52">
        <v>86</v>
      </c>
      <c r="R52" t="s">
        <v>1068</v>
      </c>
      <c r="S52">
        <v>1</v>
      </c>
      <c r="T52" t="str">
        <f>IF(Healthcare_Data[[#This Row],[Final_Bill]]&gt;=50000,"High",IF(Healthcare_Data[[#This Row],[Final_Bill]]&gt;=20000,"Medium","low"))</f>
        <v>Medium</v>
      </c>
    </row>
    <row r="53" spans="1:20" x14ac:dyDescent="0.3">
      <c r="A53" t="s">
        <v>107</v>
      </c>
      <c r="B53">
        <v>45676</v>
      </c>
      <c r="C53" t="s">
        <v>48</v>
      </c>
      <c r="D53" t="s">
        <v>19</v>
      </c>
      <c r="E53" t="s">
        <v>54</v>
      </c>
      <c r="F53" t="s">
        <v>21</v>
      </c>
      <c r="G53">
        <v>34</v>
      </c>
      <c r="H53" t="s">
        <v>35</v>
      </c>
      <c r="I53" t="s">
        <v>30</v>
      </c>
      <c r="J53" t="s">
        <v>24</v>
      </c>
      <c r="K53">
        <v>0</v>
      </c>
      <c r="L53">
        <v>11239</v>
      </c>
      <c r="M53">
        <v>0</v>
      </c>
      <c r="N53">
        <v>11239</v>
      </c>
      <c r="O53" t="s">
        <v>25</v>
      </c>
      <c r="P53">
        <v>3.5</v>
      </c>
      <c r="Q53">
        <v>90</v>
      </c>
      <c r="R53" t="s">
        <v>1068</v>
      </c>
      <c r="S53">
        <v>1</v>
      </c>
      <c r="T53" t="str">
        <f>IF(Healthcare_Data[[#This Row],[Final_Bill]]&gt;=50000,"High",IF(Healthcare_Data[[#This Row],[Final_Bill]]&gt;=20000,"Medium","low"))</f>
        <v>low</v>
      </c>
    </row>
    <row r="54" spans="1:20" x14ac:dyDescent="0.3">
      <c r="A54" t="s">
        <v>108</v>
      </c>
      <c r="B54">
        <v>45677</v>
      </c>
      <c r="C54" t="s">
        <v>44</v>
      </c>
      <c r="D54" t="s">
        <v>28</v>
      </c>
      <c r="E54" t="s">
        <v>54</v>
      </c>
      <c r="F54" t="s">
        <v>21</v>
      </c>
      <c r="G54">
        <v>54</v>
      </c>
      <c r="H54" t="s">
        <v>41</v>
      </c>
      <c r="I54" t="s">
        <v>72</v>
      </c>
      <c r="J54" t="s">
        <v>36</v>
      </c>
      <c r="K54">
        <v>0</v>
      </c>
      <c r="L54">
        <v>17425</v>
      </c>
      <c r="M54">
        <v>500</v>
      </c>
      <c r="N54">
        <v>16925</v>
      </c>
      <c r="O54" t="s">
        <v>25</v>
      </c>
      <c r="P54">
        <v>2.6</v>
      </c>
      <c r="Q54">
        <v>47</v>
      </c>
      <c r="R54" t="s">
        <v>1068</v>
      </c>
      <c r="S54">
        <v>1</v>
      </c>
      <c r="T54" t="str">
        <f>IF(Healthcare_Data[[#This Row],[Final_Bill]]&gt;=50000,"High",IF(Healthcare_Data[[#This Row],[Final_Bill]]&gt;=20000,"Medium","low"))</f>
        <v>low</v>
      </c>
    </row>
    <row r="55" spans="1:20" x14ac:dyDescent="0.3">
      <c r="A55" t="s">
        <v>109</v>
      </c>
      <c r="B55">
        <v>45677</v>
      </c>
      <c r="C55" t="s">
        <v>50</v>
      </c>
      <c r="D55" t="s">
        <v>19</v>
      </c>
      <c r="E55" t="s">
        <v>20</v>
      </c>
      <c r="F55" t="s">
        <v>21</v>
      </c>
      <c r="G55">
        <v>73</v>
      </c>
      <c r="H55" t="s">
        <v>41</v>
      </c>
      <c r="I55" t="s">
        <v>30</v>
      </c>
      <c r="J55" t="s">
        <v>24</v>
      </c>
      <c r="K55">
        <v>0</v>
      </c>
      <c r="L55">
        <v>5323</v>
      </c>
      <c r="M55">
        <v>2000</v>
      </c>
      <c r="N55">
        <v>3323</v>
      </c>
      <c r="O55" t="s">
        <v>25</v>
      </c>
      <c r="P55">
        <v>3.4</v>
      </c>
      <c r="Q55">
        <v>101</v>
      </c>
      <c r="R55" t="s">
        <v>1068</v>
      </c>
      <c r="S55">
        <v>1</v>
      </c>
      <c r="T55" t="str">
        <f>IF(Healthcare_Data[[#This Row],[Final_Bill]]&gt;=50000,"High",IF(Healthcare_Data[[#This Row],[Final_Bill]]&gt;=20000,"Medium","low"))</f>
        <v>low</v>
      </c>
    </row>
    <row r="56" spans="1:20" x14ac:dyDescent="0.3">
      <c r="A56" t="s">
        <v>110</v>
      </c>
      <c r="B56">
        <v>45677</v>
      </c>
      <c r="C56" t="s">
        <v>18</v>
      </c>
      <c r="D56" t="s">
        <v>34</v>
      </c>
      <c r="E56" t="s">
        <v>20</v>
      </c>
      <c r="F56" t="s">
        <v>40</v>
      </c>
      <c r="G56">
        <v>32</v>
      </c>
      <c r="H56" t="s">
        <v>46</v>
      </c>
      <c r="I56" t="s">
        <v>69</v>
      </c>
      <c r="J56" t="s">
        <v>36</v>
      </c>
      <c r="K56">
        <v>0</v>
      </c>
      <c r="L56">
        <v>16051</v>
      </c>
      <c r="M56">
        <v>1000</v>
      </c>
      <c r="N56">
        <v>15051</v>
      </c>
      <c r="O56" t="s">
        <v>25</v>
      </c>
      <c r="P56">
        <v>3.6</v>
      </c>
      <c r="Q56">
        <v>66</v>
      </c>
      <c r="R56" t="s">
        <v>1068</v>
      </c>
      <c r="S56">
        <v>1</v>
      </c>
      <c r="T56" t="str">
        <f>IF(Healthcare_Data[[#This Row],[Final_Bill]]&gt;=50000,"High",IF(Healthcare_Data[[#This Row],[Final_Bill]]&gt;=20000,"Medium","low"))</f>
        <v>low</v>
      </c>
    </row>
    <row r="57" spans="1:20" x14ac:dyDescent="0.3">
      <c r="A57" t="s">
        <v>111</v>
      </c>
      <c r="B57">
        <v>45678</v>
      </c>
      <c r="C57" t="s">
        <v>50</v>
      </c>
      <c r="D57" t="s">
        <v>51</v>
      </c>
      <c r="E57" t="s">
        <v>52</v>
      </c>
      <c r="F57" t="s">
        <v>21</v>
      </c>
      <c r="G57">
        <v>63</v>
      </c>
      <c r="H57" t="s">
        <v>29</v>
      </c>
      <c r="I57" t="s">
        <v>57</v>
      </c>
      <c r="J57" t="s">
        <v>24</v>
      </c>
      <c r="K57">
        <v>13</v>
      </c>
      <c r="L57">
        <v>65934</v>
      </c>
      <c r="M57">
        <v>2000</v>
      </c>
      <c r="N57">
        <v>63934</v>
      </c>
      <c r="O57" t="s">
        <v>25</v>
      </c>
      <c r="P57">
        <v>3.5</v>
      </c>
      <c r="Q57">
        <v>79</v>
      </c>
      <c r="R57" t="s">
        <v>1068</v>
      </c>
      <c r="S57">
        <v>1</v>
      </c>
      <c r="T57" t="str">
        <f>IF(Healthcare_Data[[#This Row],[Final_Bill]]&gt;=50000,"High",IF(Healthcare_Data[[#This Row],[Final_Bill]]&gt;=20000,"Medium","low"))</f>
        <v>High</v>
      </c>
    </row>
    <row r="58" spans="1:20" x14ac:dyDescent="0.3">
      <c r="A58" t="s">
        <v>112</v>
      </c>
      <c r="B58">
        <v>45678</v>
      </c>
      <c r="C58" t="s">
        <v>48</v>
      </c>
      <c r="D58" t="s">
        <v>51</v>
      </c>
      <c r="E58" t="s">
        <v>20</v>
      </c>
      <c r="F58" t="s">
        <v>21</v>
      </c>
      <c r="G58">
        <v>76</v>
      </c>
      <c r="H58" t="s">
        <v>29</v>
      </c>
      <c r="I58" t="s">
        <v>42</v>
      </c>
      <c r="J58" t="s">
        <v>36</v>
      </c>
      <c r="K58">
        <v>0</v>
      </c>
      <c r="L58">
        <v>13196</v>
      </c>
      <c r="M58">
        <v>0</v>
      </c>
      <c r="N58">
        <v>13196</v>
      </c>
      <c r="O58" t="s">
        <v>59</v>
      </c>
      <c r="P58">
        <v>2.6</v>
      </c>
      <c r="Q58">
        <v>73</v>
      </c>
      <c r="R58" t="s">
        <v>1068</v>
      </c>
      <c r="S58">
        <v>1</v>
      </c>
      <c r="T58" t="str">
        <f>IF(Healthcare_Data[[#This Row],[Final_Bill]]&gt;=50000,"High",IF(Healthcare_Data[[#This Row],[Final_Bill]]&gt;=20000,"Medium","low"))</f>
        <v>low</v>
      </c>
    </row>
    <row r="59" spans="1:20" x14ac:dyDescent="0.3">
      <c r="A59" t="s">
        <v>113</v>
      </c>
      <c r="B59">
        <v>45679</v>
      </c>
      <c r="C59" t="s">
        <v>54</v>
      </c>
      <c r="D59" t="s">
        <v>28</v>
      </c>
      <c r="E59" t="s">
        <v>52</v>
      </c>
      <c r="F59" t="s">
        <v>40</v>
      </c>
      <c r="G59">
        <v>59</v>
      </c>
      <c r="H59" t="s">
        <v>41</v>
      </c>
      <c r="I59" t="s">
        <v>69</v>
      </c>
      <c r="J59" t="s">
        <v>36</v>
      </c>
      <c r="K59">
        <v>1</v>
      </c>
      <c r="L59">
        <v>55670</v>
      </c>
      <c r="M59">
        <v>0</v>
      </c>
      <c r="N59">
        <v>55670</v>
      </c>
      <c r="O59" t="s">
        <v>25</v>
      </c>
      <c r="P59">
        <v>2.7</v>
      </c>
      <c r="Q59">
        <v>22</v>
      </c>
      <c r="R59" t="s">
        <v>1068</v>
      </c>
      <c r="S59">
        <v>1</v>
      </c>
      <c r="T59" t="str">
        <f>IF(Healthcare_Data[[#This Row],[Final_Bill]]&gt;=50000,"High",IF(Healthcare_Data[[#This Row],[Final_Bill]]&gt;=20000,"Medium","low"))</f>
        <v>High</v>
      </c>
    </row>
    <row r="60" spans="1:20" x14ac:dyDescent="0.3">
      <c r="A60" t="s">
        <v>114</v>
      </c>
      <c r="B60">
        <v>45679</v>
      </c>
      <c r="C60" t="s">
        <v>44</v>
      </c>
      <c r="D60" t="s">
        <v>34</v>
      </c>
      <c r="E60" t="s">
        <v>20</v>
      </c>
      <c r="F60" t="s">
        <v>21</v>
      </c>
      <c r="G60">
        <v>67</v>
      </c>
      <c r="H60" t="s">
        <v>115</v>
      </c>
      <c r="I60" t="s">
        <v>72</v>
      </c>
      <c r="J60" t="s">
        <v>58</v>
      </c>
      <c r="K60">
        <v>0</v>
      </c>
      <c r="L60">
        <v>10967</v>
      </c>
      <c r="M60">
        <v>500</v>
      </c>
      <c r="N60">
        <v>10467</v>
      </c>
      <c r="O60" t="s">
        <v>25</v>
      </c>
      <c r="P60">
        <v>2.8</v>
      </c>
      <c r="Q60">
        <v>88</v>
      </c>
      <c r="R60" t="s">
        <v>1068</v>
      </c>
      <c r="S60">
        <v>1</v>
      </c>
      <c r="T60" t="str">
        <f>IF(Healthcare_Data[[#This Row],[Final_Bill]]&gt;=50000,"High",IF(Healthcare_Data[[#This Row],[Final_Bill]]&gt;=20000,"Medium","low"))</f>
        <v>low</v>
      </c>
    </row>
    <row r="61" spans="1:20" x14ac:dyDescent="0.3">
      <c r="A61" t="s">
        <v>116</v>
      </c>
      <c r="B61">
        <v>45679</v>
      </c>
      <c r="C61" t="s">
        <v>44</v>
      </c>
      <c r="D61" t="s">
        <v>51</v>
      </c>
      <c r="E61" t="s">
        <v>52</v>
      </c>
      <c r="F61" t="s">
        <v>21</v>
      </c>
      <c r="G61">
        <v>74</v>
      </c>
      <c r="H61" t="s">
        <v>35</v>
      </c>
      <c r="I61" t="s">
        <v>72</v>
      </c>
      <c r="J61" t="s">
        <v>24</v>
      </c>
      <c r="K61">
        <v>4</v>
      </c>
      <c r="L61">
        <v>40428</v>
      </c>
      <c r="M61">
        <v>0</v>
      </c>
      <c r="N61">
        <v>40428</v>
      </c>
      <c r="O61" t="s">
        <v>25</v>
      </c>
      <c r="P61">
        <v>3.9</v>
      </c>
      <c r="Q61">
        <v>19</v>
      </c>
      <c r="R61" t="s">
        <v>1068</v>
      </c>
      <c r="S61">
        <v>1</v>
      </c>
      <c r="T61" t="str">
        <f>IF(Healthcare_Data[[#This Row],[Final_Bill]]&gt;=50000,"High",IF(Healthcare_Data[[#This Row],[Final_Bill]]&gt;=20000,"Medium","low"))</f>
        <v>Medium</v>
      </c>
    </row>
    <row r="62" spans="1:20" x14ac:dyDescent="0.3">
      <c r="A62" t="s">
        <v>117</v>
      </c>
      <c r="B62">
        <v>45680</v>
      </c>
      <c r="C62" t="s">
        <v>67</v>
      </c>
      <c r="D62" t="s">
        <v>51</v>
      </c>
      <c r="E62" t="s">
        <v>20</v>
      </c>
      <c r="F62" t="s">
        <v>21</v>
      </c>
      <c r="G62">
        <v>62</v>
      </c>
      <c r="H62" t="s">
        <v>46</v>
      </c>
      <c r="I62" t="s">
        <v>57</v>
      </c>
      <c r="J62" t="s">
        <v>36</v>
      </c>
      <c r="K62">
        <v>0</v>
      </c>
      <c r="L62">
        <v>11664</v>
      </c>
      <c r="M62">
        <v>500</v>
      </c>
      <c r="N62">
        <v>11164</v>
      </c>
      <c r="O62" t="s">
        <v>25</v>
      </c>
      <c r="P62">
        <v>3.8</v>
      </c>
      <c r="Q62">
        <v>20</v>
      </c>
      <c r="R62" t="s">
        <v>1068</v>
      </c>
      <c r="S62">
        <v>1</v>
      </c>
      <c r="T62" t="str">
        <f>IF(Healthcare_Data[[#This Row],[Final_Bill]]&gt;=50000,"High",IF(Healthcare_Data[[#This Row],[Final_Bill]]&gt;=20000,"Medium","low"))</f>
        <v>low</v>
      </c>
    </row>
    <row r="63" spans="1:20" x14ac:dyDescent="0.3">
      <c r="A63" t="s">
        <v>118</v>
      </c>
      <c r="B63">
        <v>45680</v>
      </c>
      <c r="C63" t="s">
        <v>54</v>
      </c>
      <c r="D63" t="s">
        <v>51</v>
      </c>
      <c r="E63" t="s">
        <v>20</v>
      </c>
      <c r="F63" t="s">
        <v>21</v>
      </c>
      <c r="G63">
        <v>36</v>
      </c>
      <c r="H63" t="s">
        <v>22</v>
      </c>
      <c r="I63" t="s">
        <v>30</v>
      </c>
      <c r="J63" t="s">
        <v>24</v>
      </c>
      <c r="K63">
        <v>0</v>
      </c>
      <c r="L63">
        <v>13886</v>
      </c>
      <c r="M63">
        <v>500</v>
      </c>
      <c r="N63">
        <v>13386</v>
      </c>
      <c r="O63" t="s">
        <v>25</v>
      </c>
      <c r="P63">
        <v>4.3</v>
      </c>
      <c r="Q63">
        <v>78</v>
      </c>
      <c r="R63" t="s">
        <v>1068</v>
      </c>
      <c r="S63">
        <v>1</v>
      </c>
      <c r="T63" t="str">
        <f>IF(Healthcare_Data[[#This Row],[Final_Bill]]&gt;=50000,"High",IF(Healthcare_Data[[#This Row],[Final_Bill]]&gt;=20000,"Medium","low"))</f>
        <v>low</v>
      </c>
    </row>
    <row r="64" spans="1:20" x14ac:dyDescent="0.3">
      <c r="A64" t="s">
        <v>119</v>
      </c>
      <c r="B64">
        <v>45682</v>
      </c>
      <c r="C64" t="s">
        <v>67</v>
      </c>
      <c r="D64" t="s">
        <v>51</v>
      </c>
      <c r="E64" t="s">
        <v>52</v>
      </c>
      <c r="F64" t="s">
        <v>21</v>
      </c>
      <c r="G64">
        <v>55</v>
      </c>
      <c r="H64" t="s">
        <v>65</v>
      </c>
      <c r="I64" t="s">
        <v>30</v>
      </c>
      <c r="J64" t="s">
        <v>58</v>
      </c>
      <c r="K64">
        <v>7</v>
      </c>
      <c r="L64">
        <v>49341</v>
      </c>
      <c r="M64">
        <v>0</v>
      </c>
      <c r="N64">
        <v>49341</v>
      </c>
      <c r="O64" t="s">
        <v>25</v>
      </c>
      <c r="P64">
        <v>4.2</v>
      </c>
      <c r="Q64">
        <v>74</v>
      </c>
      <c r="R64" t="s">
        <v>1068</v>
      </c>
      <c r="S64">
        <v>1</v>
      </c>
      <c r="T64" t="str">
        <f>IF(Healthcare_Data[[#This Row],[Final_Bill]]&gt;=50000,"High",IF(Healthcare_Data[[#This Row],[Final_Bill]]&gt;=20000,"Medium","low"))</f>
        <v>Medium</v>
      </c>
    </row>
    <row r="65" spans="1:20" x14ac:dyDescent="0.3">
      <c r="A65" t="s">
        <v>120</v>
      </c>
      <c r="B65">
        <v>45682</v>
      </c>
      <c r="C65" t="s">
        <v>50</v>
      </c>
      <c r="D65" t="s">
        <v>34</v>
      </c>
      <c r="E65" t="s">
        <v>20</v>
      </c>
      <c r="F65" t="s">
        <v>40</v>
      </c>
      <c r="G65">
        <v>70</v>
      </c>
      <c r="H65" t="s">
        <v>35</v>
      </c>
      <c r="I65" t="s">
        <v>57</v>
      </c>
      <c r="J65" t="s">
        <v>24</v>
      </c>
      <c r="K65">
        <v>0</v>
      </c>
      <c r="L65">
        <v>14970</v>
      </c>
      <c r="M65">
        <v>0</v>
      </c>
      <c r="N65">
        <v>14970</v>
      </c>
      <c r="O65" t="s">
        <v>25</v>
      </c>
      <c r="P65">
        <v>3.6</v>
      </c>
      <c r="Q65">
        <v>67</v>
      </c>
      <c r="R65" t="s">
        <v>1068</v>
      </c>
      <c r="S65">
        <v>1</v>
      </c>
      <c r="T65" t="str">
        <f>IF(Healthcare_Data[[#This Row],[Final_Bill]]&gt;=50000,"High",IF(Healthcare_Data[[#This Row],[Final_Bill]]&gt;=20000,"Medium","low"))</f>
        <v>low</v>
      </c>
    </row>
    <row r="66" spans="1:20" x14ac:dyDescent="0.3">
      <c r="A66" t="s">
        <v>121</v>
      </c>
      <c r="B66">
        <v>45682</v>
      </c>
      <c r="C66" t="s">
        <v>50</v>
      </c>
      <c r="D66" t="s">
        <v>39</v>
      </c>
      <c r="E66" t="s">
        <v>20</v>
      </c>
      <c r="F66" t="s">
        <v>21</v>
      </c>
      <c r="G66">
        <v>66</v>
      </c>
      <c r="H66" t="s">
        <v>35</v>
      </c>
      <c r="I66" t="s">
        <v>30</v>
      </c>
      <c r="J66" t="s">
        <v>24</v>
      </c>
      <c r="K66">
        <v>0</v>
      </c>
      <c r="L66">
        <v>14346</v>
      </c>
      <c r="M66">
        <v>1000</v>
      </c>
      <c r="N66">
        <v>13346</v>
      </c>
      <c r="O66" t="s">
        <v>25</v>
      </c>
      <c r="P66">
        <v>2.7</v>
      </c>
      <c r="Q66">
        <v>11</v>
      </c>
      <c r="R66" t="s">
        <v>1068</v>
      </c>
      <c r="S66">
        <v>1</v>
      </c>
      <c r="T66" t="str">
        <f>IF(Healthcare_Data[[#This Row],[Final_Bill]]&gt;=50000,"High",IF(Healthcare_Data[[#This Row],[Final_Bill]]&gt;=20000,"Medium","low"))</f>
        <v>low</v>
      </c>
    </row>
    <row r="67" spans="1:20" x14ac:dyDescent="0.3">
      <c r="A67" t="s">
        <v>122</v>
      </c>
      <c r="B67">
        <v>45683</v>
      </c>
      <c r="C67" t="s">
        <v>18</v>
      </c>
      <c r="D67" t="s">
        <v>51</v>
      </c>
      <c r="E67" t="s">
        <v>20</v>
      </c>
      <c r="F67" t="s">
        <v>40</v>
      </c>
      <c r="G67">
        <v>31</v>
      </c>
      <c r="H67" t="s">
        <v>41</v>
      </c>
      <c r="I67" t="s">
        <v>30</v>
      </c>
      <c r="J67" t="s">
        <v>24</v>
      </c>
      <c r="K67">
        <v>0</v>
      </c>
      <c r="L67">
        <v>18172</v>
      </c>
      <c r="M67">
        <v>1000</v>
      </c>
      <c r="N67">
        <v>17172</v>
      </c>
      <c r="O67" t="s">
        <v>25</v>
      </c>
      <c r="P67">
        <v>3.3</v>
      </c>
      <c r="Q67">
        <v>25</v>
      </c>
      <c r="R67" t="s">
        <v>1068</v>
      </c>
      <c r="S67">
        <v>1</v>
      </c>
      <c r="T67" t="str">
        <f>IF(Healthcare_Data[[#This Row],[Final_Bill]]&gt;=50000,"High",IF(Healthcare_Data[[#This Row],[Final_Bill]]&gt;=20000,"Medium","low"))</f>
        <v>low</v>
      </c>
    </row>
    <row r="68" spans="1:20" x14ac:dyDescent="0.3">
      <c r="A68" t="s">
        <v>123</v>
      </c>
      <c r="B68">
        <v>45683</v>
      </c>
      <c r="C68" t="s">
        <v>54</v>
      </c>
      <c r="D68" t="s">
        <v>39</v>
      </c>
      <c r="E68" t="s">
        <v>20</v>
      </c>
      <c r="F68" t="s">
        <v>21</v>
      </c>
      <c r="G68">
        <v>62</v>
      </c>
      <c r="H68" t="s">
        <v>29</v>
      </c>
      <c r="I68" t="s">
        <v>61</v>
      </c>
      <c r="J68" t="s">
        <v>31</v>
      </c>
      <c r="K68">
        <v>0</v>
      </c>
      <c r="L68">
        <v>2318</v>
      </c>
      <c r="M68">
        <v>2000</v>
      </c>
      <c r="N68">
        <v>318</v>
      </c>
      <c r="O68" t="s">
        <v>32</v>
      </c>
      <c r="P68">
        <v>3.5</v>
      </c>
      <c r="Q68">
        <v>11</v>
      </c>
      <c r="R68" t="s">
        <v>1068</v>
      </c>
      <c r="S68">
        <v>1</v>
      </c>
      <c r="T68" t="str">
        <f>IF(Healthcare_Data[[#This Row],[Final_Bill]]&gt;=50000,"High",IF(Healthcare_Data[[#This Row],[Final_Bill]]&gt;=20000,"Medium","low"))</f>
        <v>low</v>
      </c>
    </row>
    <row r="69" spans="1:20" x14ac:dyDescent="0.3">
      <c r="A69" t="s">
        <v>124</v>
      </c>
      <c r="B69">
        <v>45683</v>
      </c>
      <c r="C69" t="s">
        <v>18</v>
      </c>
      <c r="D69" t="s">
        <v>39</v>
      </c>
      <c r="E69" t="s">
        <v>20</v>
      </c>
      <c r="F69" t="s">
        <v>21</v>
      </c>
      <c r="G69">
        <v>38</v>
      </c>
      <c r="H69" t="s">
        <v>22</v>
      </c>
      <c r="I69" t="s">
        <v>69</v>
      </c>
      <c r="J69" t="s">
        <v>31</v>
      </c>
      <c r="K69">
        <v>0</v>
      </c>
      <c r="L69">
        <v>2213</v>
      </c>
      <c r="M69">
        <v>0</v>
      </c>
      <c r="N69">
        <v>2213</v>
      </c>
      <c r="O69" t="s">
        <v>25</v>
      </c>
      <c r="P69">
        <v>4.8</v>
      </c>
      <c r="Q69">
        <v>100</v>
      </c>
      <c r="R69" t="s">
        <v>1068</v>
      </c>
      <c r="S69">
        <v>1</v>
      </c>
      <c r="T69" t="str">
        <f>IF(Healthcare_Data[[#This Row],[Final_Bill]]&gt;=50000,"High",IF(Healthcare_Data[[#This Row],[Final_Bill]]&gt;=20000,"Medium","low"))</f>
        <v>low</v>
      </c>
    </row>
    <row r="70" spans="1:20" x14ac:dyDescent="0.3">
      <c r="A70" t="s">
        <v>125</v>
      </c>
      <c r="B70">
        <v>45684</v>
      </c>
      <c r="C70" t="s">
        <v>18</v>
      </c>
      <c r="D70" t="s">
        <v>28</v>
      </c>
      <c r="E70" t="s">
        <v>54</v>
      </c>
      <c r="F70" t="s">
        <v>21</v>
      </c>
      <c r="G70">
        <v>38</v>
      </c>
      <c r="H70" t="s">
        <v>46</v>
      </c>
      <c r="I70" t="s">
        <v>57</v>
      </c>
      <c r="J70" t="s">
        <v>24</v>
      </c>
      <c r="K70">
        <v>0</v>
      </c>
      <c r="L70">
        <v>27656</v>
      </c>
      <c r="M70">
        <v>1000</v>
      </c>
      <c r="N70">
        <v>26656</v>
      </c>
      <c r="O70" t="s">
        <v>25</v>
      </c>
      <c r="P70">
        <v>4.5</v>
      </c>
      <c r="Q70">
        <v>109</v>
      </c>
      <c r="R70" t="s">
        <v>1068</v>
      </c>
      <c r="S70">
        <v>1</v>
      </c>
      <c r="T70" t="str">
        <f>IF(Healthcare_Data[[#This Row],[Final_Bill]]&gt;=50000,"High",IF(Healthcare_Data[[#This Row],[Final_Bill]]&gt;=20000,"Medium","low"))</f>
        <v>Medium</v>
      </c>
    </row>
    <row r="71" spans="1:20" x14ac:dyDescent="0.3">
      <c r="A71" t="s">
        <v>126</v>
      </c>
      <c r="B71">
        <v>45685</v>
      </c>
      <c r="C71" t="s">
        <v>38</v>
      </c>
      <c r="D71" t="s">
        <v>34</v>
      </c>
      <c r="E71" t="s">
        <v>20</v>
      </c>
      <c r="F71" t="s">
        <v>40</v>
      </c>
      <c r="G71">
        <v>49</v>
      </c>
      <c r="H71" t="s">
        <v>65</v>
      </c>
      <c r="I71" t="s">
        <v>72</v>
      </c>
      <c r="J71" t="s">
        <v>24</v>
      </c>
      <c r="K71">
        <v>0</v>
      </c>
      <c r="L71">
        <v>4470</v>
      </c>
      <c r="M71">
        <v>0</v>
      </c>
      <c r="N71">
        <v>4470</v>
      </c>
      <c r="O71" t="s">
        <v>32</v>
      </c>
      <c r="P71">
        <v>4.9000000000000004</v>
      </c>
      <c r="Q71">
        <v>29</v>
      </c>
      <c r="R71" t="s">
        <v>1068</v>
      </c>
      <c r="S71">
        <v>1</v>
      </c>
      <c r="T71" t="str">
        <f>IF(Healthcare_Data[[#This Row],[Final_Bill]]&gt;=50000,"High",IF(Healthcare_Data[[#This Row],[Final_Bill]]&gt;=20000,"Medium","low"))</f>
        <v>low</v>
      </c>
    </row>
    <row r="72" spans="1:20" x14ac:dyDescent="0.3">
      <c r="A72" t="s">
        <v>127</v>
      </c>
      <c r="B72">
        <v>45685</v>
      </c>
      <c r="C72" t="s">
        <v>50</v>
      </c>
      <c r="D72" t="s">
        <v>51</v>
      </c>
      <c r="E72" t="s">
        <v>52</v>
      </c>
      <c r="F72" t="s">
        <v>40</v>
      </c>
      <c r="G72">
        <v>26</v>
      </c>
      <c r="H72" t="s">
        <v>35</v>
      </c>
      <c r="I72" t="s">
        <v>69</v>
      </c>
      <c r="J72" t="s">
        <v>36</v>
      </c>
      <c r="K72">
        <v>10</v>
      </c>
      <c r="L72">
        <v>64950</v>
      </c>
      <c r="M72">
        <v>0</v>
      </c>
      <c r="N72">
        <v>64950</v>
      </c>
      <c r="O72" t="s">
        <v>25</v>
      </c>
      <c r="P72">
        <v>3.8</v>
      </c>
      <c r="Q72">
        <v>29</v>
      </c>
      <c r="R72" t="s">
        <v>1068</v>
      </c>
      <c r="S72">
        <v>1</v>
      </c>
      <c r="T72" t="str">
        <f>IF(Healthcare_Data[[#This Row],[Final_Bill]]&gt;=50000,"High",IF(Healthcare_Data[[#This Row],[Final_Bill]]&gt;=20000,"Medium","low"))</f>
        <v>High</v>
      </c>
    </row>
    <row r="73" spans="1:20" x14ac:dyDescent="0.3">
      <c r="A73" t="s">
        <v>128</v>
      </c>
      <c r="B73">
        <v>45685</v>
      </c>
      <c r="C73" t="s">
        <v>48</v>
      </c>
      <c r="D73" t="s">
        <v>34</v>
      </c>
      <c r="E73" t="s">
        <v>20</v>
      </c>
      <c r="F73" t="s">
        <v>40</v>
      </c>
      <c r="G73">
        <v>29</v>
      </c>
      <c r="H73" t="s">
        <v>56</v>
      </c>
      <c r="I73" t="s">
        <v>42</v>
      </c>
      <c r="J73" t="s">
        <v>58</v>
      </c>
      <c r="K73">
        <v>0</v>
      </c>
      <c r="L73">
        <v>12023</v>
      </c>
      <c r="M73">
        <v>1000</v>
      </c>
      <c r="N73">
        <v>11023</v>
      </c>
      <c r="O73" t="s">
        <v>25</v>
      </c>
      <c r="P73">
        <v>3.6</v>
      </c>
      <c r="Q73">
        <v>91</v>
      </c>
      <c r="R73" t="s">
        <v>1068</v>
      </c>
      <c r="S73">
        <v>1</v>
      </c>
      <c r="T73" t="str">
        <f>IF(Healthcare_Data[[#This Row],[Final_Bill]]&gt;=50000,"High",IF(Healthcare_Data[[#This Row],[Final_Bill]]&gt;=20000,"Medium","low"))</f>
        <v>low</v>
      </c>
    </row>
    <row r="74" spans="1:20" x14ac:dyDescent="0.3">
      <c r="A74" t="s">
        <v>129</v>
      </c>
      <c r="B74">
        <v>45685</v>
      </c>
      <c r="C74" t="s">
        <v>48</v>
      </c>
      <c r="D74" t="s">
        <v>34</v>
      </c>
      <c r="E74" t="s">
        <v>20</v>
      </c>
      <c r="F74" t="s">
        <v>21</v>
      </c>
      <c r="G74">
        <v>31</v>
      </c>
      <c r="H74" t="s">
        <v>41</v>
      </c>
      <c r="I74" t="s">
        <v>61</v>
      </c>
      <c r="J74" t="s">
        <v>36</v>
      </c>
      <c r="K74">
        <v>0</v>
      </c>
      <c r="L74">
        <v>5456</v>
      </c>
      <c r="M74">
        <v>1000</v>
      </c>
      <c r="N74">
        <v>4456</v>
      </c>
      <c r="O74" t="s">
        <v>25</v>
      </c>
      <c r="P74">
        <v>3</v>
      </c>
      <c r="Q74">
        <v>14</v>
      </c>
      <c r="R74" t="s">
        <v>1068</v>
      </c>
      <c r="S74">
        <v>1</v>
      </c>
      <c r="T74" t="str">
        <f>IF(Healthcare_Data[[#This Row],[Final_Bill]]&gt;=50000,"High",IF(Healthcare_Data[[#This Row],[Final_Bill]]&gt;=20000,"Medium","low"))</f>
        <v>low</v>
      </c>
    </row>
    <row r="75" spans="1:20" x14ac:dyDescent="0.3">
      <c r="A75" t="s">
        <v>130</v>
      </c>
      <c r="B75">
        <v>45685</v>
      </c>
      <c r="C75" t="s">
        <v>50</v>
      </c>
      <c r="D75" t="s">
        <v>19</v>
      </c>
      <c r="E75" t="s">
        <v>20</v>
      </c>
      <c r="F75" t="s">
        <v>40</v>
      </c>
      <c r="G75">
        <v>58</v>
      </c>
      <c r="H75" t="s">
        <v>115</v>
      </c>
      <c r="I75" t="s">
        <v>42</v>
      </c>
      <c r="J75" t="s">
        <v>24</v>
      </c>
      <c r="K75">
        <v>0</v>
      </c>
      <c r="L75">
        <v>10532</v>
      </c>
      <c r="M75">
        <v>1000</v>
      </c>
      <c r="N75">
        <v>9532</v>
      </c>
      <c r="O75" t="s">
        <v>59</v>
      </c>
      <c r="P75">
        <v>2.9</v>
      </c>
      <c r="Q75">
        <v>83</v>
      </c>
      <c r="R75" t="s">
        <v>1068</v>
      </c>
      <c r="S75">
        <v>1</v>
      </c>
      <c r="T75" t="str">
        <f>IF(Healthcare_Data[[#This Row],[Final_Bill]]&gt;=50000,"High",IF(Healthcare_Data[[#This Row],[Final_Bill]]&gt;=20000,"Medium","low"))</f>
        <v>low</v>
      </c>
    </row>
    <row r="76" spans="1:20" x14ac:dyDescent="0.3">
      <c r="A76" t="s">
        <v>131</v>
      </c>
      <c r="B76">
        <v>45686</v>
      </c>
      <c r="C76" t="s">
        <v>18</v>
      </c>
      <c r="D76" t="s">
        <v>51</v>
      </c>
      <c r="E76" t="s">
        <v>52</v>
      </c>
      <c r="F76" t="s">
        <v>21</v>
      </c>
      <c r="G76">
        <v>80</v>
      </c>
      <c r="H76" t="s">
        <v>65</v>
      </c>
      <c r="I76" t="s">
        <v>61</v>
      </c>
      <c r="J76" t="s">
        <v>31</v>
      </c>
      <c r="K76">
        <v>3</v>
      </c>
      <c r="L76">
        <v>79985</v>
      </c>
      <c r="M76">
        <v>500</v>
      </c>
      <c r="N76">
        <v>79485</v>
      </c>
      <c r="O76" t="s">
        <v>25</v>
      </c>
      <c r="P76">
        <v>3.3</v>
      </c>
      <c r="Q76">
        <v>62</v>
      </c>
      <c r="R76" t="s">
        <v>1068</v>
      </c>
      <c r="S76">
        <v>1</v>
      </c>
      <c r="T76" t="str">
        <f>IF(Healthcare_Data[[#This Row],[Final_Bill]]&gt;=50000,"High",IF(Healthcare_Data[[#This Row],[Final_Bill]]&gt;=20000,"Medium","low"))</f>
        <v>High</v>
      </c>
    </row>
    <row r="77" spans="1:20" x14ac:dyDescent="0.3">
      <c r="A77" t="s">
        <v>132</v>
      </c>
      <c r="B77">
        <v>45686</v>
      </c>
      <c r="C77" t="s">
        <v>44</v>
      </c>
      <c r="D77" t="s">
        <v>39</v>
      </c>
      <c r="E77" t="s">
        <v>20</v>
      </c>
      <c r="F77" t="s">
        <v>40</v>
      </c>
      <c r="G77">
        <v>64</v>
      </c>
      <c r="H77" t="s">
        <v>46</v>
      </c>
      <c r="I77" t="s">
        <v>63</v>
      </c>
      <c r="J77" t="s">
        <v>58</v>
      </c>
      <c r="K77">
        <v>0</v>
      </c>
      <c r="L77">
        <v>14461</v>
      </c>
      <c r="M77">
        <v>0</v>
      </c>
      <c r="N77">
        <v>14461</v>
      </c>
      <c r="O77" t="s">
        <v>59</v>
      </c>
      <c r="P77">
        <v>4.4000000000000004</v>
      </c>
      <c r="Q77">
        <v>93</v>
      </c>
      <c r="R77" t="s">
        <v>1068</v>
      </c>
      <c r="S77">
        <v>1</v>
      </c>
      <c r="T77" t="str">
        <f>IF(Healthcare_Data[[#This Row],[Final_Bill]]&gt;=50000,"High",IF(Healthcare_Data[[#This Row],[Final_Bill]]&gt;=20000,"Medium","low"))</f>
        <v>low</v>
      </c>
    </row>
    <row r="78" spans="1:20" x14ac:dyDescent="0.3">
      <c r="A78" t="s">
        <v>133</v>
      </c>
      <c r="B78">
        <v>45687</v>
      </c>
      <c r="C78" t="s">
        <v>44</v>
      </c>
      <c r="D78" t="s">
        <v>28</v>
      </c>
      <c r="E78" t="s">
        <v>54</v>
      </c>
      <c r="F78" t="s">
        <v>21</v>
      </c>
      <c r="G78">
        <v>40</v>
      </c>
      <c r="H78" t="s">
        <v>56</v>
      </c>
      <c r="I78" t="s">
        <v>57</v>
      </c>
      <c r="J78" t="s">
        <v>24</v>
      </c>
      <c r="K78">
        <v>0</v>
      </c>
      <c r="L78">
        <v>32714</v>
      </c>
      <c r="M78">
        <v>0</v>
      </c>
      <c r="N78">
        <v>32714</v>
      </c>
      <c r="O78" t="s">
        <v>32</v>
      </c>
      <c r="P78">
        <v>2.6</v>
      </c>
      <c r="Q78">
        <v>30</v>
      </c>
      <c r="R78" t="s">
        <v>1068</v>
      </c>
      <c r="S78">
        <v>1</v>
      </c>
      <c r="T78" t="str">
        <f>IF(Healthcare_Data[[#This Row],[Final_Bill]]&gt;=50000,"High",IF(Healthcare_Data[[#This Row],[Final_Bill]]&gt;=20000,"Medium","low"))</f>
        <v>Medium</v>
      </c>
    </row>
    <row r="79" spans="1:20" x14ac:dyDescent="0.3">
      <c r="A79" t="s">
        <v>134</v>
      </c>
      <c r="B79">
        <v>45688</v>
      </c>
      <c r="C79" t="s">
        <v>54</v>
      </c>
      <c r="D79" t="s">
        <v>34</v>
      </c>
      <c r="E79" t="s">
        <v>20</v>
      </c>
      <c r="F79" t="s">
        <v>21</v>
      </c>
      <c r="G79">
        <v>34</v>
      </c>
      <c r="H79" t="s">
        <v>41</v>
      </c>
      <c r="I79" t="s">
        <v>42</v>
      </c>
      <c r="J79" t="s">
        <v>58</v>
      </c>
      <c r="K79">
        <v>0</v>
      </c>
      <c r="L79">
        <v>17565</v>
      </c>
      <c r="M79">
        <v>0</v>
      </c>
      <c r="N79">
        <v>17565</v>
      </c>
      <c r="O79" t="s">
        <v>25</v>
      </c>
      <c r="P79">
        <v>4.3</v>
      </c>
      <c r="Q79">
        <v>94</v>
      </c>
      <c r="R79" t="s">
        <v>1068</v>
      </c>
      <c r="S79">
        <v>1</v>
      </c>
      <c r="T79" t="str">
        <f>IF(Healthcare_Data[[#This Row],[Final_Bill]]&gt;=50000,"High",IF(Healthcare_Data[[#This Row],[Final_Bill]]&gt;=20000,"Medium","low"))</f>
        <v>low</v>
      </c>
    </row>
    <row r="80" spans="1:20" x14ac:dyDescent="0.3">
      <c r="A80" t="s">
        <v>135</v>
      </c>
      <c r="B80">
        <v>45690</v>
      </c>
      <c r="C80" t="s">
        <v>38</v>
      </c>
      <c r="D80" t="s">
        <v>28</v>
      </c>
      <c r="E80" t="s">
        <v>54</v>
      </c>
      <c r="F80" t="s">
        <v>40</v>
      </c>
      <c r="G80">
        <v>57</v>
      </c>
      <c r="H80" t="s">
        <v>46</v>
      </c>
      <c r="I80" t="s">
        <v>72</v>
      </c>
      <c r="J80" t="s">
        <v>24</v>
      </c>
      <c r="K80">
        <v>0</v>
      </c>
      <c r="L80">
        <v>27747</v>
      </c>
      <c r="M80">
        <v>2000</v>
      </c>
      <c r="N80">
        <v>25747</v>
      </c>
      <c r="O80" t="s">
        <v>32</v>
      </c>
      <c r="P80">
        <v>4.8</v>
      </c>
      <c r="Q80">
        <v>64</v>
      </c>
      <c r="R80" t="s">
        <v>1069</v>
      </c>
      <c r="S80">
        <v>2</v>
      </c>
      <c r="T80" t="str">
        <f>IF(Healthcare_Data[[#This Row],[Final_Bill]]&gt;=50000,"High",IF(Healthcare_Data[[#This Row],[Final_Bill]]&gt;=20000,"Medium","low"))</f>
        <v>Medium</v>
      </c>
    </row>
    <row r="81" spans="1:20" x14ac:dyDescent="0.3">
      <c r="A81" t="s">
        <v>136</v>
      </c>
      <c r="B81">
        <v>45690</v>
      </c>
      <c r="C81" t="s">
        <v>54</v>
      </c>
      <c r="D81" t="s">
        <v>39</v>
      </c>
      <c r="E81" t="s">
        <v>52</v>
      </c>
      <c r="F81" t="s">
        <v>21</v>
      </c>
      <c r="G81">
        <v>40</v>
      </c>
      <c r="H81" t="s">
        <v>115</v>
      </c>
      <c r="I81" t="s">
        <v>30</v>
      </c>
      <c r="J81" t="s">
        <v>24</v>
      </c>
      <c r="K81">
        <v>9</v>
      </c>
      <c r="L81">
        <v>65624</v>
      </c>
      <c r="M81">
        <v>1000</v>
      </c>
      <c r="N81">
        <v>64624</v>
      </c>
      <c r="O81" t="s">
        <v>25</v>
      </c>
      <c r="P81">
        <v>4.5999999999999996</v>
      </c>
      <c r="Q81">
        <v>100</v>
      </c>
      <c r="R81" t="s">
        <v>1069</v>
      </c>
      <c r="S81">
        <v>2</v>
      </c>
      <c r="T81" t="str">
        <f>IF(Healthcare_Data[[#This Row],[Final_Bill]]&gt;=50000,"High",IF(Healthcare_Data[[#This Row],[Final_Bill]]&gt;=20000,"Medium","low"))</f>
        <v>High</v>
      </c>
    </row>
    <row r="82" spans="1:20" x14ac:dyDescent="0.3">
      <c r="A82" t="s">
        <v>137</v>
      </c>
      <c r="B82">
        <v>45690</v>
      </c>
      <c r="C82" t="s">
        <v>18</v>
      </c>
      <c r="D82" t="s">
        <v>39</v>
      </c>
      <c r="E82" t="s">
        <v>20</v>
      </c>
      <c r="F82" t="s">
        <v>40</v>
      </c>
      <c r="G82">
        <v>30</v>
      </c>
      <c r="H82" t="s">
        <v>46</v>
      </c>
      <c r="I82" t="s">
        <v>63</v>
      </c>
      <c r="J82" t="s">
        <v>36</v>
      </c>
      <c r="K82">
        <v>0</v>
      </c>
      <c r="L82">
        <v>9491</v>
      </c>
      <c r="M82">
        <v>0</v>
      </c>
      <c r="N82">
        <v>9491</v>
      </c>
      <c r="O82" t="s">
        <v>25</v>
      </c>
      <c r="P82">
        <v>3.4</v>
      </c>
      <c r="Q82">
        <v>29</v>
      </c>
      <c r="R82" t="s">
        <v>1069</v>
      </c>
      <c r="S82">
        <v>2</v>
      </c>
      <c r="T82" t="str">
        <f>IF(Healthcare_Data[[#This Row],[Final_Bill]]&gt;=50000,"High",IF(Healthcare_Data[[#This Row],[Final_Bill]]&gt;=20000,"Medium","low"))</f>
        <v>low</v>
      </c>
    </row>
    <row r="83" spans="1:20" x14ac:dyDescent="0.3">
      <c r="A83" t="s">
        <v>138</v>
      </c>
      <c r="B83">
        <v>45691</v>
      </c>
      <c r="C83" t="s">
        <v>48</v>
      </c>
      <c r="D83" t="s">
        <v>28</v>
      </c>
      <c r="E83" t="s">
        <v>54</v>
      </c>
      <c r="F83" t="s">
        <v>40</v>
      </c>
      <c r="G83">
        <v>23</v>
      </c>
      <c r="H83" t="s">
        <v>56</v>
      </c>
      <c r="I83" t="s">
        <v>72</v>
      </c>
      <c r="J83" t="s">
        <v>31</v>
      </c>
      <c r="K83">
        <v>0</v>
      </c>
      <c r="L83">
        <v>43103</v>
      </c>
      <c r="M83">
        <v>2000</v>
      </c>
      <c r="N83">
        <v>41103</v>
      </c>
      <c r="O83" t="s">
        <v>25</v>
      </c>
      <c r="P83">
        <v>4.2</v>
      </c>
      <c r="Q83">
        <v>77</v>
      </c>
      <c r="R83" t="s">
        <v>1069</v>
      </c>
      <c r="S83">
        <v>2</v>
      </c>
      <c r="T83" t="str">
        <f>IF(Healthcare_Data[[#This Row],[Final_Bill]]&gt;=50000,"High",IF(Healthcare_Data[[#This Row],[Final_Bill]]&gt;=20000,"Medium","low"))</f>
        <v>Medium</v>
      </c>
    </row>
    <row r="84" spans="1:20" x14ac:dyDescent="0.3">
      <c r="A84" t="s">
        <v>139</v>
      </c>
      <c r="B84">
        <v>45691</v>
      </c>
      <c r="C84" t="s">
        <v>18</v>
      </c>
      <c r="D84" t="s">
        <v>51</v>
      </c>
      <c r="E84" t="s">
        <v>20</v>
      </c>
      <c r="F84" t="s">
        <v>40</v>
      </c>
      <c r="G84">
        <v>35</v>
      </c>
      <c r="H84" t="s">
        <v>29</v>
      </c>
      <c r="I84" t="s">
        <v>30</v>
      </c>
      <c r="J84" t="s">
        <v>36</v>
      </c>
      <c r="K84">
        <v>0</v>
      </c>
      <c r="L84">
        <v>2059</v>
      </c>
      <c r="M84">
        <v>0</v>
      </c>
      <c r="N84">
        <v>2059</v>
      </c>
      <c r="O84" t="s">
        <v>32</v>
      </c>
      <c r="P84">
        <v>2.7</v>
      </c>
      <c r="Q84">
        <v>52</v>
      </c>
      <c r="R84" t="s">
        <v>1069</v>
      </c>
      <c r="S84">
        <v>2</v>
      </c>
      <c r="T84" t="str">
        <f>IF(Healthcare_Data[[#This Row],[Final_Bill]]&gt;=50000,"High",IF(Healthcare_Data[[#This Row],[Final_Bill]]&gt;=20000,"Medium","low"))</f>
        <v>low</v>
      </c>
    </row>
    <row r="85" spans="1:20" x14ac:dyDescent="0.3">
      <c r="A85" t="s">
        <v>140</v>
      </c>
      <c r="B85">
        <v>45691</v>
      </c>
      <c r="C85" t="s">
        <v>67</v>
      </c>
      <c r="D85" t="s">
        <v>34</v>
      </c>
      <c r="E85" t="s">
        <v>20</v>
      </c>
      <c r="F85" t="s">
        <v>21</v>
      </c>
      <c r="G85">
        <v>26</v>
      </c>
      <c r="H85" t="s">
        <v>115</v>
      </c>
      <c r="I85" t="s">
        <v>69</v>
      </c>
      <c r="J85" t="s">
        <v>24</v>
      </c>
      <c r="K85">
        <v>0</v>
      </c>
      <c r="L85">
        <v>8060</v>
      </c>
      <c r="M85">
        <v>0</v>
      </c>
      <c r="N85">
        <v>8060</v>
      </c>
      <c r="O85" t="s">
        <v>25</v>
      </c>
      <c r="P85">
        <v>4.4000000000000004</v>
      </c>
      <c r="Q85">
        <v>67</v>
      </c>
      <c r="R85" t="s">
        <v>1069</v>
      </c>
      <c r="S85">
        <v>2</v>
      </c>
      <c r="T85" t="str">
        <f>IF(Healthcare_Data[[#This Row],[Final_Bill]]&gt;=50000,"High",IF(Healthcare_Data[[#This Row],[Final_Bill]]&gt;=20000,"Medium","low"))</f>
        <v>low</v>
      </c>
    </row>
    <row r="86" spans="1:20" x14ac:dyDescent="0.3">
      <c r="A86" t="s">
        <v>141</v>
      </c>
      <c r="B86">
        <v>45691</v>
      </c>
      <c r="C86" t="s">
        <v>27</v>
      </c>
      <c r="D86" t="s">
        <v>51</v>
      </c>
      <c r="E86" t="s">
        <v>52</v>
      </c>
      <c r="F86" t="s">
        <v>21</v>
      </c>
      <c r="G86">
        <v>64</v>
      </c>
      <c r="H86" t="s">
        <v>22</v>
      </c>
      <c r="I86" t="s">
        <v>72</v>
      </c>
      <c r="J86" t="s">
        <v>58</v>
      </c>
      <c r="K86">
        <v>7</v>
      </c>
      <c r="L86">
        <v>23498</v>
      </c>
      <c r="M86">
        <v>0</v>
      </c>
      <c r="N86">
        <v>23498</v>
      </c>
      <c r="O86" t="s">
        <v>59</v>
      </c>
      <c r="P86">
        <v>2.7</v>
      </c>
      <c r="Q86">
        <v>91</v>
      </c>
      <c r="R86" t="s">
        <v>1069</v>
      </c>
      <c r="S86">
        <v>2</v>
      </c>
      <c r="T86" t="str">
        <f>IF(Healthcare_Data[[#This Row],[Final_Bill]]&gt;=50000,"High",IF(Healthcare_Data[[#This Row],[Final_Bill]]&gt;=20000,"Medium","low"))</f>
        <v>Medium</v>
      </c>
    </row>
    <row r="87" spans="1:20" x14ac:dyDescent="0.3">
      <c r="A87" t="s">
        <v>142</v>
      </c>
      <c r="B87">
        <v>45692</v>
      </c>
      <c r="C87" t="s">
        <v>67</v>
      </c>
      <c r="D87" t="s">
        <v>51</v>
      </c>
      <c r="E87" t="s">
        <v>52</v>
      </c>
      <c r="F87" t="s">
        <v>40</v>
      </c>
      <c r="G87">
        <v>34</v>
      </c>
      <c r="H87" t="s">
        <v>22</v>
      </c>
      <c r="I87" t="s">
        <v>57</v>
      </c>
      <c r="J87" t="s">
        <v>24</v>
      </c>
      <c r="K87">
        <v>1</v>
      </c>
      <c r="L87">
        <v>78799</v>
      </c>
      <c r="M87">
        <v>500</v>
      </c>
      <c r="N87">
        <v>78299</v>
      </c>
      <c r="O87" t="s">
        <v>25</v>
      </c>
      <c r="P87">
        <v>2.9</v>
      </c>
      <c r="Q87">
        <v>79</v>
      </c>
      <c r="R87" t="s">
        <v>1069</v>
      </c>
      <c r="S87">
        <v>2</v>
      </c>
      <c r="T87" t="str">
        <f>IF(Healthcare_Data[[#This Row],[Final_Bill]]&gt;=50000,"High",IF(Healthcare_Data[[#This Row],[Final_Bill]]&gt;=20000,"Medium","low"))</f>
        <v>High</v>
      </c>
    </row>
    <row r="88" spans="1:20" x14ac:dyDescent="0.3">
      <c r="A88" t="s">
        <v>143</v>
      </c>
      <c r="B88">
        <v>45692</v>
      </c>
      <c r="C88" t="s">
        <v>50</v>
      </c>
      <c r="D88" t="s">
        <v>34</v>
      </c>
      <c r="E88" t="s">
        <v>52</v>
      </c>
      <c r="F88" t="s">
        <v>40</v>
      </c>
      <c r="G88">
        <v>39</v>
      </c>
      <c r="H88" t="s">
        <v>115</v>
      </c>
      <c r="I88" t="s">
        <v>42</v>
      </c>
      <c r="J88" t="s">
        <v>24</v>
      </c>
      <c r="K88">
        <v>14</v>
      </c>
      <c r="L88">
        <v>35569</v>
      </c>
      <c r="M88">
        <v>500</v>
      </c>
      <c r="N88">
        <v>35069</v>
      </c>
      <c r="O88" t="s">
        <v>25</v>
      </c>
      <c r="P88">
        <v>4.5</v>
      </c>
      <c r="Q88">
        <v>50</v>
      </c>
      <c r="R88" t="s">
        <v>1069</v>
      </c>
      <c r="S88">
        <v>2</v>
      </c>
      <c r="T88" t="str">
        <f>IF(Healthcare_Data[[#This Row],[Final_Bill]]&gt;=50000,"High",IF(Healthcare_Data[[#This Row],[Final_Bill]]&gt;=20000,"Medium","low"))</f>
        <v>Medium</v>
      </c>
    </row>
    <row r="89" spans="1:20" x14ac:dyDescent="0.3">
      <c r="A89" t="s">
        <v>144</v>
      </c>
      <c r="B89">
        <v>45692</v>
      </c>
      <c r="C89" t="s">
        <v>44</v>
      </c>
      <c r="D89" t="s">
        <v>19</v>
      </c>
      <c r="E89" t="s">
        <v>20</v>
      </c>
      <c r="F89" t="s">
        <v>40</v>
      </c>
      <c r="G89">
        <v>49</v>
      </c>
      <c r="H89" t="s">
        <v>41</v>
      </c>
      <c r="I89" t="s">
        <v>30</v>
      </c>
      <c r="J89" t="s">
        <v>24</v>
      </c>
      <c r="K89">
        <v>0</v>
      </c>
      <c r="L89">
        <v>17891</v>
      </c>
      <c r="M89">
        <v>0</v>
      </c>
      <c r="N89">
        <v>17891</v>
      </c>
      <c r="O89" t="s">
        <v>59</v>
      </c>
      <c r="P89">
        <v>4.2</v>
      </c>
      <c r="Q89">
        <v>95</v>
      </c>
      <c r="R89" t="s">
        <v>1069</v>
      </c>
      <c r="S89">
        <v>2</v>
      </c>
      <c r="T89" t="str">
        <f>IF(Healthcare_Data[[#This Row],[Final_Bill]]&gt;=50000,"High",IF(Healthcare_Data[[#This Row],[Final_Bill]]&gt;=20000,"Medium","low"))</f>
        <v>low</v>
      </c>
    </row>
    <row r="90" spans="1:20" x14ac:dyDescent="0.3">
      <c r="A90" t="s">
        <v>145</v>
      </c>
      <c r="B90">
        <v>45692</v>
      </c>
      <c r="C90" t="s">
        <v>38</v>
      </c>
      <c r="D90" t="s">
        <v>34</v>
      </c>
      <c r="E90" t="s">
        <v>54</v>
      </c>
      <c r="F90" t="s">
        <v>21</v>
      </c>
      <c r="G90">
        <v>27</v>
      </c>
      <c r="H90" t="s">
        <v>115</v>
      </c>
      <c r="I90" t="s">
        <v>63</v>
      </c>
      <c r="J90" t="s">
        <v>24</v>
      </c>
      <c r="K90">
        <v>0</v>
      </c>
      <c r="L90">
        <v>33958</v>
      </c>
      <c r="M90">
        <v>500</v>
      </c>
      <c r="N90">
        <v>33458</v>
      </c>
      <c r="O90" t="s">
        <v>25</v>
      </c>
      <c r="P90">
        <v>2.7</v>
      </c>
      <c r="Q90">
        <v>5</v>
      </c>
      <c r="R90" t="s">
        <v>1069</v>
      </c>
      <c r="S90">
        <v>2</v>
      </c>
      <c r="T90" t="str">
        <f>IF(Healthcare_Data[[#This Row],[Final_Bill]]&gt;=50000,"High",IF(Healthcare_Data[[#This Row],[Final_Bill]]&gt;=20000,"Medium","low"))</f>
        <v>Medium</v>
      </c>
    </row>
    <row r="91" spans="1:20" x14ac:dyDescent="0.3">
      <c r="A91" t="s">
        <v>146</v>
      </c>
      <c r="B91">
        <v>45692</v>
      </c>
      <c r="C91" t="s">
        <v>27</v>
      </c>
      <c r="D91" t="s">
        <v>39</v>
      </c>
      <c r="E91" t="s">
        <v>54</v>
      </c>
      <c r="F91" t="s">
        <v>40</v>
      </c>
      <c r="G91">
        <v>34</v>
      </c>
      <c r="H91" t="s">
        <v>65</v>
      </c>
      <c r="I91" t="s">
        <v>57</v>
      </c>
      <c r="J91" t="s">
        <v>58</v>
      </c>
      <c r="K91">
        <v>0</v>
      </c>
      <c r="L91">
        <v>38697</v>
      </c>
      <c r="M91">
        <v>0</v>
      </c>
      <c r="N91">
        <v>38697</v>
      </c>
      <c r="O91" t="s">
        <v>25</v>
      </c>
      <c r="P91">
        <v>2.8</v>
      </c>
      <c r="Q91">
        <v>93</v>
      </c>
      <c r="R91" t="s">
        <v>1069</v>
      </c>
      <c r="S91">
        <v>2</v>
      </c>
      <c r="T91" t="str">
        <f>IF(Healthcare_Data[[#This Row],[Final_Bill]]&gt;=50000,"High",IF(Healthcare_Data[[#This Row],[Final_Bill]]&gt;=20000,"Medium","low"))</f>
        <v>Medium</v>
      </c>
    </row>
    <row r="92" spans="1:20" x14ac:dyDescent="0.3">
      <c r="A92" t="s">
        <v>147</v>
      </c>
      <c r="B92">
        <v>45693</v>
      </c>
      <c r="C92" t="s">
        <v>27</v>
      </c>
      <c r="D92" t="s">
        <v>34</v>
      </c>
      <c r="E92" t="s">
        <v>20</v>
      </c>
      <c r="F92" t="s">
        <v>40</v>
      </c>
      <c r="G92">
        <v>38</v>
      </c>
      <c r="H92" t="s">
        <v>115</v>
      </c>
      <c r="I92" t="s">
        <v>1057</v>
      </c>
      <c r="J92" t="s">
        <v>31</v>
      </c>
      <c r="K92">
        <v>0</v>
      </c>
      <c r="L92">
        <v>7701</v>
      </c>
      <c r="M92">
        <v>1500</v>
      </c>
      <c r="N92">
        <v>6201</v>
      </c>
      <c r="O92" t="s">
        <v>25</v>
      </c>
      <c r="P92">
        <v>4.4000000000000004</v>
      </c>
      <c r="Q92">
        <v>109</v>
      </c>
      <c r="R92" t="s">
        <v>1069</v>
      </c>
      <c r="S92">
        <v>2</v>
      </c>
      <c r="T92" t="str">
        <f>IF(Healthcare_Data[[#This Row],[Final_Bill]]&gt;=50000,"High",IF(Healthcare_Data[[#This Row],[Final_Bill]]&gt;=20000,"Medium","low"))</f>
        <v>low</v>
      </c>
    </row>
    <row r="93" spans="1:20" x14ac:dyDescent="0.3">
      <c r="A93" t="s">
        <v>148</v>
      </c>
      <c r="B93">
        <v>45693</v>
      </c>
      <c r="C93" t="s">
        <v>18</v>
      </c>
      <c r="D93" t="s">
        <v>34</v>
      </c>
      <c r="E93" t="s">
        <v>20</v>
      </c>
      <c r="F93" t="s">
        <v>40</v>
      </c>
      <c r="G93">
        <v>67</v>
      </c>
      <c r="H93" t="s">
        <v>41</v>
      </c>
      <c r="I93" t="s">
        <v>42</v>
      </c>
      <c r="J93" t="s">
        <v>24</v>
      </c>
      <c r="K93">
        <v>0</v>
      </c>
      <c r="L93">
        <v>4196</v>
      </c>
      <c r="M93">
        <v>500</v>
      </c>
      <c r="N93">
        <v>3696</v>
      </c>
      <c r="O93" t="s">
        <v>59</v>
      </c>
      <c r="P93">
        <v>3.2</v>
      </c>
      <c r="Q93">
        <v>43</v>
      </c>
      <c r="R93" t="s">
        <v>1069</v>
      </c>
      <c r="S93">
        <v>2</v>
      </c>
      <c r="T93" t="str">
        <f>IF(Healthcare_Data[[#This Row],[Final_Bill]]&gt;=50000,"High",IF(Healthcare_Data[[#This Row],[Final_Bill]]&gt;=20000,"Medium","low"))</f>
        <v>low</v>
      </c>
    </row>
    <row r="94" spans="1:20" x14ac:dyDescent="0.3">
      <c r="A94" t="s">
        <v>149</v>
      </c>
      <c r="B94">
        <v>45693</v>
      </c>
      <c r="C94" t="s">
        <v>67</v>
      </c>
      <c r="D94" t="s">
        <v>28</v>
      </c>
      <c r="E94" t="s">
        <v>54</v>
      </c>
      <c r="F94" t="s">
        <v>21</v>
      </c>
      <c r="G94">
        <v>72</v>
      </c>
      <c r="H94" t="s">
        <v>115</v>
      </c>
      <c r="I94" t="s">
        <v>61</v>
      </c>
      <c r="J94" t="s">
        <v>58</v>
      </c>
      <c r="K94">
        <v>0</v>
      </c>
      <c r="L94">
        <v>23893</v>
      </c>
      <c r="M94">
        <v>1000</v>
      </c>
      <c r="N94">
        <v>22893</v>
      </c>
      <c r="O94" t="s">
        <v>59</v>
      </c>
      <c r="P94">
        <v>3.5</v>
      </c>
      <c r="Q94">
        <v>22</v>
      </c>
      <c r="R94" t="s">
        <v>1069</v>
      </c>
      <c r="S94">
        <v>2</v>
      </c>
      <c r="T94" t="str">
        <f>IF(Healthcare_Data[[#This Row],[Final_Bill]]&gt;=50000,"High",IF(Healthcare_Data[[#This Row],[Final_Bill]]&gt;=20000,"Medium","low"))</f>
        <v>Medium</v>
      </c>
    </row>
    <row r="95" spans="1:20" x14ac:dyDescent="0.3">
      <c r="A95" t="s">
        <v>150</v>
      </c>
      <c r="B95">
        <v>45693</v>
      </c>
      <c r="C95" t="s">
        <v>18</v>
      </c>
      <c r="D95" t="s">
        <v>39</v>
      </c>
      <c r="E95" t="s">
        <v>54</v>
      </c>
      <c r="F95" t="s">
        <v>21</v>
      </c>
      <c r="G95">
        <v>66</v>
      </c>
      <c r="H95" t="s">
        <v>35</v>
      </c>
      <c r="I95" t="s">
        <v>42</v>
      </c>
      <c r="J95" t="s">
        <v>58</v>
      </c>
      <c r="K95">
        <v>0</v>
      </c>
      <c r="L95">
        <v>36797</v>
      </c>
      <c r="M95">
        <v>0</v>
      </c>
      <c r="N95">
        <v>36797</v>
      </c>
      <c r="O95" t="s">
        <v>32</v>
      </c>
      <c r="P95">
        <v>4.7</v>
      </c>
      <c r="Q95">
        <v>26</v>
      </c>
      <c r="R95" t="s">
        <v>1069</v>
      </c>
      <c r="S95">
        <v>2</v>
      </c>
      <c r="T95" t="str">
        <f>IF(Healthcare_Data[[#This Row],[Final_Bill]]&gt;=50000,"High",IF(Healthcare_Data[[#This Row],[Final_Bill]]&gt;=20000,"Medium","low"))</f>
        <v>Medium</v>
      </c>
    </row>
    <row r="96" spans="1:20" x14ac:dyDescent="0.3">
      <c r="A96" t="s">
        <v>151</v>
      </c>
      <c r="B96">
        <v>45694</v>
      </c>
      <c r="C96" t="s">
        <v>27</v>
      </c>
      <c r="D96" t="s">
        <v>39</v>
      </c>
      <c r="E96" t="s">
        <v>52</v>
      </c>
      <c r="F96" t="s">
        <v>40</v>
      </c>
      <c r="G96">
        <v>71</v>
      </c>
      <c r="H96" t="s">
        <v>115</v>
      </c>
      <c r="I96" t="s">
        <v>61</v>
      </c>
      <c r="J96" t="s">
        <v>36</v>
      </c>
      <c r="K96">
        <v>11</v>
      </c>
      <c r="L96">
        <v>71414</v>
      </c>
      <c r="M96">
        <v>500</v>
      </c>
      <c r="N96">
        <v>70914</v>
      </c>
      <c r="O96" t="s">
        <v>25</v>
      </c>
      <c r="P96">
        <v>4.0999999999999996</v>
      </c>
      <c r="Q96">
        <v>27</v>
      </c>
      <c r="R96" t="s">
        <v>1069</v>
      </c>
      <c r="S96">
        <v>2</v>
      </c>
      <c r="T96" t="str">
        <f>IF(Healthcare_Data[[#This Row],[Final_Bill]]&gt;=50000,"High",IF(Healthcare_Data[[#This Row],[Final_Bill]]&gt;=20000,"Medium","low"))</f>
        <v>High</v>
      </c>
    </row>
    <row r="97" spans="1:20" x14ac:dyDescent="0.3">
      <c r="A97" t="s">
        <v>152</v>
      </c>
      <c r="B97">
        <v>45694</v>
      </c>
      <c r="C97" t="s">
        <v>50</v>
      </c>
      <c r="D97" t="s">
        <v>34</v>
      </c>
      <c r="E97" t="s">
        <v>20</v>
      </c>
      <c r="F97" t="s">
        <v>40</v>
      </c>
      <c r="G97">
        <v>21</v>
      </c>
      <c r="H97" t="s">
        <v>41</v>
      </c>
      <c r="I97" t="s">
        <v>61</v>
      </c>
      <c r="J97" t="s">
        <v>58</v>
      </c>
      <c r="K97">
        <v>0</v>
      </c>
      <c r="L97">
        <v>19664</v>
      </c>
      <c r="M97">
        <v>0</v>
      </c>
      <c r="N97">
        <v>19664</v>
      </c>
      <c r="O97" t="s">
        <v>25</v>
      </c>
      <c r="P97">
        <v>3.4</v>
      </c>
      <c r="Q97">
        <v>101</v>
      </c>
      <c r="R97" t="s">
        <v>1069</v>
      </c>
      <c r="S97">
        <v>2</v>
      </c>
      <c r="T97" t="str">
        <f>IF(Healthcare_Data[[#This Row],[Final_Bill]]&gt;=50000,"High",IF(Healthcare_Data[[#This Row],[Final_Bill]]&gt;=20000,"Medium","low"))</f>
        <v>low</v>
      </c>
    </row>
    <row r="98" spans="1:20" x14ac:dyDescent="0.3">
      <c r="A98" t="s">
        <v>153</v>
      </c>
      <c r="B98">
        <v>45694</v>
      </c>
      <c r="C98" t="s">
        <v>54</v>
      </c>
      <c r="D98" t="s">
        <v>28</v>
      </c>
      <c r="E98" t="s">
        <v>20</v>
      </c>
      <c r="F98" t="s">
        <v>40</v>
      </c>
      <c r="G98">
        <v>34</v>
      </c>
      <c r="H98" t="s">
        <v>115</v>
      </c>
      <c r="I98" t="s">
        <v>61</v>
      </c>
      <c r="J98" t="s">
        <v>24</v>
      </c>
      <c r="K98">
        <v>0</v>
      </c>
      <c r="L98">
        <v>4439</v>
      </c>
      <c r="M98">
        <v>500</v>
      </c>
      <c r="N98">
        <v>3939</v>
      </c>
      <c r="O98" t="s">
        <v>25</v>
      </c>
      <c r="P98">
        <v>2.7</v>
      </c>
      <c r="Q98">
        <v>88</v>
      </c>
      <c r="R98" t="s">
        <v>1069</v>
      </c>
      <c r="S98">
        <v>2</v>
      </c>
      <c r="T98" t="str">
        <f>IF(Healthcare_Data[[#This Row],[Final_Bill]]&gt;=50000,"High",IF(Healthcare_Data[[#This Row],[Final_Bill]]&gt;=20000,"Medium","low"))</f>
        <v>low</v>
      </c>
    </row>
    <row r="99" spans="1:20" x14ac:dyDescent="0.3">
      <c r="A99" t="s">
        <v>154</v>
      </c>
      <c r="B99">
        <v>45695</v>
      </c>
      <c r="C99" t="s">
        <v>67</v>
      </c>
      <c r="D99" t="s">
        <v>28</v>
      </c>
      <c r="E99" t="s">
        <v>20</v>
      </c>
      <c r="F99" t="s">
        <v>21</v>
      </c>
      <c r="G99">
        <v>47</v>
      </c>
      <c r="H99" t="s">
        <v>22</v>
      </c>
      <c r="I99" t="s">
        <v>23</v>
      </c>
      <c r="J99" t="s">
        <v>36</v>
      </c>
      <c r="K99">
        <v>0</v>
      </c>
      <c r="L99">
        <v>3829</v>
      </c>
      <c r="M99">
        <v>0</v>
      </c>
      <c r="N99">
        <v>3829</v>
      </c>
      <c r="O99" t="s">
        <v>25</v>
      </c>
      <c r="P99">
        <v>2.7</v>
      </c>
      <c r="Q99">
        <v>9</v>
      </c>
      <c r="R99" t="s">
        <v>1069</v>
      </c>
      <c r="S99">
        <v>2</v>
      </c>
      <c r="T99" t="str">
        <f>IF(Healthcare_Data[[#This Row],[Final_Bill]]&gt;=50000,"High",IF(Healthcare_Data[[#This Row],[Final_Bill]]&gt;=20000,"Medium","low"))</f>
        <v>low</v>
      </c>
    </row>
    <row r="100" spans="1:20" x14ac:dyDescent="0.3">
      <c r="A100" t="s">
        <v>155</v>
      </c>
      <c r="B100">
        <v>45695</v>
      </c>
      <c r="C100" t="s">
        <v>38</v>
      </c>
      <c r="D100" t="s">
        <v>19</v>
      </c>
      <c r="E100" t="s">
        <v>20</v>
      </c>
      <c r="F100" t="s">
        <v>40</v>
      </c>
      <c r="G100">
        <v>38</v>
      </c>
      <c r="H100" t="s">
        <v>65</v>
      </c>
      <c r="I100" t="s">
        <v>23</v>
      </c>
      <c r="J100" t="s">
        <v>24</v>
      </c>
      <c r="K100">
        <v>0</v>
      </c>
      <c r="L100">
        <v>13198</v>
      </c>
      <c r="M100">
        <v>0</v>
      </c>
      <c r="N100">
        <v>13198</v>
      </c>
      <c r="O100" t="s">
        <v>25</v>
      </c>
      <c r="P100">
        <v>4.7</v>
      </c>
      <c r="Q100">
        <v>43</v>
      </c>
      <c r="R100" t="s">
        <v>1069</v>
      </c>
      <c r="S100">
        <v>2</v>
      </c>
      <c r="T100" t="str">
        <f>IF(Healthcare_Data[[#This Row],[Final_Bill]]&gt;=50000,"High",IF(Healthcare_Data[[#This Row],[Final_Bill]]&gt;=20000,"Medium","low"))</f>
        <v>low</v>
      </c>
    </row>
    <row r="101" spans="1:20" x14ac:dyDescent="0.3">
      <c r="A101" t="s">
        <v>156</v>
      </c>
      <c r="B101">
        <v>45696</v>
      </c>
      <c r="C101" t="s">
        <v>48</v>
      </c>
      <c r="D101" t="s">
        <v>39</v>
      </c>
      <c r="E101" t="s">
        <v>20</v>
      </c>
      <c r="F101" t="s">
        <v>21</v>
      </c>
      <c r="G101">
        <v>48</v>
      </c>
      <c r="H101" t="s">
        <v>56</v>
      </c>
      <c r="I101" t="s">
        <v>61</v>
      </c>
      <c r="J101" t="s">
        <v>31</v>
      </c>
      <c r="K101">
        <v>0</v>
      </c>
      <c r="L101">
        <v>5776</v>
      </c>
      <c r="M101">
        <v>1000</v>
      </c>
      <c r="N101">
        <v>4776</v>
      </c>
      <c r="O101" t="s">
        <v>25</v>
      </c>
      <c r="P101">
        <v>3.8</v>
      </c>
      <c r="Q101">
        <v>57</v>
      </c>
      <c r="R101" t="s">
        <v>1069</v>
      </c>
      <c r="S101">
        <v>2</v>
      </c>
      <c r="T101" t="str">
        <f>IF(Healthcare_Data[[#This Row],[Final_Bill]]&gt;=50000,"High",IF(Healthcare_Data[[#This Row],[Final_Bill]]&gt;=20000,"Medium","low"))</f>
        <v>low</v>
      </c>
    </row>
    <row r="102" spans="1:20" x14ac:dyDescent="0.3">
      <c r="A102" t="s">
        <v>157</v>
      </c>
      <c r="B102">
        <v>45696</v>
      </c>
      <c r="C102" t="s">
        <v>27</v>
      </c>
      <c r="D102" t="s">
        <v>28</v>
      </c>
      <c r="E102" t="s">
        <v>20</v>
      </c>
      <c r="F102" t="s">
        <v>40</v>
      </c>
      <c r="G102">
        <v>59</v>
      </c>
      <c r="H102" t="s">
        <v>46</v>
      </c>
      <c r="I102" t="s">
        <v>69</v>
      </c>
      <c r="J102" t="s">
        <v>36</v>
      </c>
      <c r="K102">
        <v>0</v>
      </c>
      <c r="L102">
        <v>15269</v>
      </c>
      <c r="M102">
        <v>500</v>
      </c>
      <c r="N102">
        <v>14769</v>
      </c>
      <c r="O102" t="s">
        <v>25</v>
      </c>
      <c r="P102">
        <v>4</v>
      </c>
      <c r="Q102">
        <v>56</v>
      </c>
      <c r="R102" t="s">
        <v>1069</v>
      </c>
      <c r="S102">
        <v>2</v>
      </c>
      <c r="T102" t="str">
        <f>IF(Healthcare_Data[[#This Row],[Final_Bill]]&gt;=50000,"High",IF(Healthcare_Data[[#This Row],[Final_Bill]]&gt;=20000,"Medium","low"))</f>
        <v>low</v>
      </c>
    </row>
    <row r="103" spans="1:20" x14ac:dyDescent="0.3">
      <c r="A103" t="s">
        <v>158</v>
      </c>
      <c r="B103">
        <v>45696</v>
      </c>
      <c r="C103" t="s">
        <v>67</v>
      </c>
      <c r="D103" t="s">
        <v>39</v>
      </c>
      <c r="E103" t="s">
        <v>54</v>
      </c>
      <c r="F103" t="s">
        <v>21</v>
      </c>
      <c r="G103">
        <v>59</v>
      </c>
      <c r="H103" t="s">
        <v>115</v>
      </c>
      <c r="I103" t="s">
        <v>23</v>
      </c>
      <c r="J103" t="s">
        <v>24</v>
      </c>
      <c r="K103">
        <v>0</v>
      </c>
      <c r="L103">
        <v>40583</v>
      </c>
      <c r="M103">
        <v>0</v>
      </c>
      <c r="N103">
        <v>40583</v>
      </c>
      <c r="O103" t="s">
        <v>25</v>
      </c>
      <c r="P103">
        <v>4.5</v>
      </c>
      <c r="Q103">
        <v>86</v>
      </c>
      <c r="R103" t="s">
        <v>1069</v>
      </c>
      <c r="S103">
        <v>2</v>
      </c>
      <c r="T103" t="str">
        <f>IF(Healthcare_Data[[#This Row],[Final_Bill]]&gt;=50000,"High",IF(Healthcare_Data[[#This Row],[Final_Bill]]&gt;=20000,"Medium","low"))</f>
        <v>Medium</v>
      </c>
    </row>
    <row r="104" spans="1:20" x14ac:dyDescent="0.3">
      <c r="A104" t="s">
        <v>159</v>
      </c>
      <c r="B104">
        <v>45696</v>
      </c>
      <c r="C104" t="s">
        <v>54</v>
      </c>
      <c r="D104" t="s">
        <v>51</v>
      </c>
      <c r="E104" t="s">
        <v>54</v>
      </c>
      <c r="F104" t="s">
        <v>21</v>
      </c>
      <c r="G104">
        <v>75</v>
      </c>
      <c r="H104" t="s">
        <v>22</v>
      </c>
      <c r="I104" t="s">
        <v>30</v>
      </c>
      <c r="J104" t="s">
        <v>58</v>
      </c>
      <c r="K104">
        <v>0</v>
      </c>
      <c r="L104">
        <v>32226</v>
      </c>
      <c r="M104">
        <v>0</v>
      </c>
      <c r="N104">
        <v>32226</v>
      </c>
      <c r="O104" t="s">
        <v>25</v>
      </c>
      <c r="P104">
        <v>3.6</v>
      </c>
      <c r="Q104">
        <v>16</v>
      </c>
      <c r="R104" t="s">
        <v>1069</v>
      </c>
      <c r="S104">
        <v>2</v>
      </c>
      <c r="T104" t="str">
        <f>IF(Healthcare_Data[[#This Row],[Final_Bill]]&gt;=50000,"High",IF(Healthcare_Data[[#This Row],[Final_Bill]]&gt;=20000,"Medium","low"))</f>
        <v>Medium</v>
      </c>
    </row>
    <row r="105" spans="1:20" x14ac:dyDescent="0.3">
      <c r="A105" t="s">
        <v>160</v>
      </c>
      <c r="B105">
        <v>45696</v>
      </c>
      <c r="C105" t="s">
        <v>27</v>
      </c>
      <c r="D105" t="s">
        <v>34</v>
      </c>
      <c r="E105" t="s">
        <v>52</v>
      </c>
      <c r="F105" t="s">
        <v>21</v>
      </c>
      <c r="G105">
        <v>39</v>
      </c>
      <c r="H105" t="s">
        <v>65</v>
      </c>
      <c r="I105" t="s">
        <v>42</v>
      </c>
      <c r="J105" t="s">
        <v>24</v>
      </c>
      <c r="K105">
        <v>8</v>
      </c>
      <c r="L105">
        <v>73784</v>
      </c>
      <c r="M105">
        <v>1000</v>
      </c>
      <c r="N105">
        <v>72784</v>
      </c>
      <c r="O105" t="s">
        <v>25</v>
      </c>
      <c r="P105">
        <v>4.5999999999999996</v>
      </c>
      <c r="Q105">
        <v>119</v>
      </c>
      <c r="R105" t="s">
        <v>1069</v>
      </c>
      <c r="S105">
        <v>2</v>
      </c>
      <c r="T105" t="str">
        <f>IF(Healthcare_Data[[#This Row],[Final_Bill]]&gt;=50000,"High",IF(Healthcare_Data[[#This Row],[Final_Bill]]&gt;=20000,"Medium","low"))</f>
        <v>High</v>
      </c>
    </row>
    <row r="106" spans="1:20" x14ac:dyDescent="0.3">
      <c r="A106" t="s">
        <v>161</v>
      </c>
      <c r="B106">
        <v>45696</v>
      </c>
      <c r="C106" t="s">
        <v>27</v>
      </c>
      <c r="D106" t="s">
        <v>34</v>
      </c>
      <c r="E106" t="s">
        <v>52</v>
      </c>
      <c r="F106" t="s">
        <v>21</v>
      </c>
      <c r="G106">
        <v>25</v>
      </c>
      <c r="H106" t="s">
        <v>41</v>
      </c>
      <c r="I106" t="s">
        <v>23</v>
      </c>
      <c r="J106" t="s">
        <v>24</v>
      </c>
      <c r="K106">
        <v>3</v>
      </c>
      <c r="L106">
        <v>28418</v>
      </c>
      <c r="M106">
        <v>0</v>
      </c>
      <c r="N106">
        <v>28418</v>
      </c>
      <c r="O106" t="s">
        <v>25</v>
      </c>
      <c r="P106">
        <v>3.1</v>
      </c>
      <c r="Q106">
        <v>69</v>
      </c>
      <c r="R106" t="s">
        <v>1069</v>
      </c>
      <c r="S106">
        <v>2</v>
      </c>
      <c r="T106" t="str">
        <f>IF(Healthcare_Data[[#This Row],[Final_Bill]]&gt;=50000,"High",IF(Healthcare_Data[[#This Row],[Final_Bill]]&gt;=20000,"Medium","low"))</f>
        <v>Medium</v>
      </c>
    </row>
    <row r="107" spans="1:20" x14ac:dyDescent="0.3">
      <c r="A107" t="s">
        <v>162</v>
      </c>
      <c r="B107">
        <v>45696</v>
      </c>
      <c r="C107" t="s">
        <v>44</v>
      </c>
      <c r="D107" t="s">
        <v>28</v>
      </c>
      <c r="E107" t="s">
        <v>20</v>
      </c>
      <c r="F107" t="s">
        <v>40</v>
      </c>
      <c r="G107">
        <v>65</v>
      </c>
      <c r="H107" t="s">
        <v>115</v>
      </c>
      <c r="I107" t="s">
        <v>57</v>
      </c>
      <c r="J107" t="s">
        <v>36</v>
      </c>
      <c r="K107">
        <v>0</v>
      </c>
      <c r="L107">
        <v>17998</v>
      </c>
      <c r="M107">
        <v>1500</v>
      </c>
      <c r="N107">
        <v>16498</v>
      </c>
      <c r="O107" t="s">
        <v>25</v>
      </c>
      <c r="P107">
        <v>3.2</v>
      </c>
      <c r="Q107">
        <v>11</v>
      </c>
      <c r="R107" t="s">
        <v>1069</v>
      </c>
      <c r="S107">
        <v>2</v>
      </c>
      <c r="T107" t="str">
        <f>IF(Healthcare_Data[[#This Row],[Final_Bill]]&gt;=50000,"High",IF(Healthcare_Data[[#This Row],[Final_Bill]]&gt;=20000,"Medium","low"))</f>
        <v>low</v>
      </c>
    </row>
    <row r="108" spans="1:20" x14ac:dyDescent="0.3">
      <c r="A108" t="s">
        <v>163</v>
      </c>
      <c r="B108">
        <v>45697</v>
      </c>
      <c r="C108" t="s">
        <v>18</v>
      </c>
      <c r="D108" t="s">
        <v>39</v>
      </c>
      <c r="E108" t="s">
        <v>52</v>
      </c>
      <c r="F108" t="s">
        <v>21</v>
      </c>
      <c r="G108">
        <v>73</v>
      </c>
      <c r="H108" t="s">
        <v>22</v>
      </c>
      <c r="I108" t="s">
        <v>61</v>
      </c>
      <c r="J108" t="s">
        <v>24</v>
      </c>
      <c r="K108">
        <v>13</v>
      </c>
      <c r="L108">
        <v>48002</v>
      </c>
      <c r="M108">
        <v>500</v>
      </c>
      <c r="N108">
        <v>47502</v>
      </c>
      <c r="O108" t="s">
        <v>25</v>
      </c>
      <c r="P108">
        <v>4</v>
      </c>
      <c r="Q108">
        <v>98</v>
      </c>
      <c r="R108" t="s">
        <v>1069</v>
      </c>
      <c r="S108">
        <v>2</v>
      </c>
      <c r="T108" t="str">
        <f>IF(Healthcare_Data[[#This Row],[Final_Bill]]&gt;=50000,"High",IF(Healthcare_Data[[#This Row],[Final_Bill]]&gt;=20000,"Medium","low"))</f>
        <v>Medium</v>
      </c>
    </row>
    <row r="109" spans="1:20" x14ac:dyDescent="0.3">
      <c r="A109" t="s">
        <v>164</v>
      </c>
      <c r="B109">
        <v>45698</v>
      </c>
      <c r="C109" t="s">
        <v>54</v>
      </c>
      <c r="D109" t="s">
        <v>51</v>
      </c>
      <c r="E109" t="s">
        <v>20</v>
      </c>
      <c r="F109" t="s">
        <v>40</v>
      </c>
      <c r="G109">
        <v>54</v>
      </c>
      <c r="H109" t="s">
        <v>115</v>
      </c>
      <c r="I109" t="s">
        <v>72</v>
      </c>
      <c r="J109" t="s">
        <v>31</v>
      </c>
      <c r="K109">
        <v>0</v>
      </c>
      <c r="L109">
        <v>4050</v>
      </c>
      <c r="M109">
        <v>500</v>
      </c>
      <c r="N109">
        <v>3550</v>
      </c>
      <c r="O109" t="s">
        <v>25</v>
      </c>
      <c r="P109">
        <v>3.7</v>
      </c>
      <c r="Q109">
        <v>81</v>
      </c>
      <c r="R109" t="s">
        <v>1069</v>
      </c>
      <c r="S109">
        <v>2</v>
      </c>
      <c r="T109" t="str">
        <f>IF(Healthcare_Data[[#This Row],[Final_Bill]]&gt;=50000,"High",IF(Healthcare_Data[[#This Row],[Final_Bill]]&gt;=20000,"Medium","low"))</f>
        <v>low</v>
      </c>
    </row>
    <row r="110" spans="1:20" x14ac:dyDescent="0.3">
      <c r="A110" t="s">
        <v>165</v>
      </c>
      <c r="B110">
        <v>45698</v>
      </c>
      <c r="C110" t="s">
        <v>18</v>
      </c>
      <c r="D110" t="s">
        <v>39</v>
      </c>
      <c r="E110" t="s">
        <v>20</v>
      </c>
      <c r="F110" t="s">
        <v>21</v>
      </c>
      <c r="G110">
        <v>63</v>
      </c>
      <c r="H110" t="s">
        <v>65</v>
      </c>
      <c r="I110" t="s">
        <v>72</v>
      </c>
      <c r="J110" t="s">
        <v>58</v>
      </c>
      <c r="K110">
        <v>0</v>
      </c>
      <c r="L110">
        <v>15333</v>
      </c>
      <c r="M110">
        <v>0</v>
      </c>
      <c r="N110">
        <v>15333</v>
      </c>
      <c r="O110" t="s">
        <v>25</v>
      </c>
      <c r="P110">
        <v>3.3</v>
      </c>
      <c r="Q110">
        <v>68</v>
      </c>
      <c r="R110" t="s">
        <v>1069</v>
      </c>
      <c r="S110">
        <v>2</v>
      </c>
      <c r="T110" t="str">
        <f>IF(Healthcare_Data[[#This Row],[Final_Bill]]&gt;=50000,"High",IF(Healthcare_Data[[#This Row],[Final_Bill]]&gt;=20000,"Medium","low"))</f>
        <v>low</v>
      </c>
    </row>
    <row r="111" spans="1:20" x14ac:dyDescent="0.3">
      <c r="A111" t="s">
        <v>166</v>
      </c>
      <c r="B111">
        <v>45698</v>
      </c>
      <c r="C111" t="s">
        <v>50</v>
      </c>
      <c r="D111" t="s">
        <v>34</v>
      </c>
      <c r="E111" t="s">
        <v>52</v>
      </c>
      <c r="F111" t="s">
        <v>40</v>
      </c>
      <c r="G111">
        <v>61</v>
      </c>
      <c r="H111" t="s">
        <v>115</v>
      </c>
      <c r="I111" t="s">
        <v>30</v>
      </c>
      <c r="J111" t="s">
        <v>36</v>
      </c>
      <c r="K111">
        <v>1</v>
      </c>
      <c r="L111">
        <v>33093</v>
      </c>
      <c r="M111">
        <v>0</v>
      </c>
      <c r="N111">
        <v>33093</v>
      </c>
      <c r="O111" t="s">
        <v>25</v>
      </c>
      <c r="P111">
        <v>4.5</v>
      </c>
      <c r="Q111">
        <v>54</v>
      </c>
      <c r="R111" t="s">
        <v>1069</v>
      </c>
      <c r="S111">
        <v>2</v>
      </c>
      <c r="T111" t="str">
        <f>IF(Healthcare_Data[[#This Row],[Final_Bill]]&gt;=50000,"High",IF(Healthcare_Data[[#This Row],[Final_Bill]]&gt;=20000,"Medium","low"))</f>
        <v>Medium</v>
      </c>
    </row>
    <row r="112" spans="1:20" x14ac:dyDescent="0.3">
      <c r="A112" t="s">
        <v>167</v>
      </c>
      <c r="B112">
        <v>45699</v>
      </c>
      <c r="C112" t="s">
        <v>54</v>
      </c>
      <c r="D112" t="s">
        <v>28</v>
      </c>
      <c r="E112" t="s">
        <v>52</v>
      </c>
      <c r="F112" t="s">
        <v>40</v>
      </c>
      <c r="G112">
        <v>39</v>
      </c>
      <c r="H112" t="s">
        <v>56</v>
      </c>
      <c r="I112" t="s">
        <v>72</v>
      </c>
      <c r="J112" t="s">
        <v>36</v>
      </c>
      <c r="K112">
        <v>1</v>
      </c>
      <c r="L112">
        <v>34396</v>
      </c>
      <c r="M112">
        <v>500</v>
      </c>
      <c r="N112">
        <v>33896</v>
      </c>
      <c r="O112" t="s">
        <v>25</v>
      </c>
      <c r="P112">
        <v>2.9</v>
      </c>
      <c r="Q112">
        <v>56</v>
      </c>
      <c r="R112" t="s">
        <v>1069</v>
      </c>
      <c r="S112">
        <v>2</v>
      </c>
      <c r="T112" t="str">
        <f>IF(Healthcare_Data[[#This Row],[Final_Bill]]&gt;=50000,"High",IF(Healthcare_Data[[#This Row],[Final_Bill]]&gt;=20000,"Medium","low"))</f>
        <v>Medium</v>
      </c>
    </row>
    <row r="113" spans="1:20" x14ac:dyDescent="0.3">
      <c r="A113" t="s">
        <v>168</v>
      </c>
      <c r="B113">
        <v>45699</v>
      </c>
      <c r="C113" t="s">
        <v>50</v>
      </c>
      <c r="D113" t="s">
        <v>19</v>
      </c>
      <c r="E113" t="s">
        <v>52</v>
      </c>
      <c r="F113" t="s">
        <v>40</v>
      </c>
      <c r="G113">
        <v>57</v>
      </c>
      <c r="H113" t="s">
        <v>56</v>
      </c>
      <c r="I113" t="s">
        <v>61</v>
      </c>
      <c r="J113" t="s">
        <v>36</v>
      </c>
      <c r="K113">
        <v>14</v>
      </c>
      <c r="L113">
        <v>48979</v>
      </c>
      <c r="M113">
        <v>1000</v>
      </c>
      <c r="N113">
        <v>47979</v>
      </c>
      <c r="O113" t="s">
        <v>25</v>
      </c>
      <c r="P113">
        <v>3.1</v>
      </c>
      <c r="Q113">
        <v>31</v>
      </c>
      <c r="R113" t="s">
        <v>1069</v>
      </c>
      <c r="S113">
        <v>2</v>
      </c>
      <c r="T113" t="str">
        <f>IF(Healthcare_Data[[#This Row],[Final_Bill]]&gt;=50000,"High",IF(Healthcare_Data[[#This Row],[Final_Bill]]&gt;=20000,"Medium","low"))</f>
        <v>Medium</v>
      </c>
    </row>
    <row r="114" spans="1:20" x14ac:dyDescent="0.3">
      <c r="A114" t="s">
        <v>169</v>
      </c>
      <c r="B114">
        <v>45699</v>
      </c>
      <c r="C114" t="s">
        <v>44</v>
      </c>
      <c r="D114" t="s">
        <v>28</v>
      </c>
      <c r="E114" t="s">
        <v>54</v>
      </c>
      <c r="F114" t="s">
        <v>40</v>
      </c>
      <c r="G114">
        <v>30</v>
      </c>
      <c r="H114" t="s">
        <v>29</v>
      </c>
      <c r="I114" t="s">
        <v>69</v>
      </c>
      <c r="J114" t="s">
        <v>1057</v>
      </c>
      <c r="K114">
        <v>0</v>
      </c>
      <c r="L114">
        <v>17385</v>
      </c>
      <c r="M114">
        <v>1500</v>
      </c>
      <c r="N114">
        <v>15885</v>
      </c>
      <c r="O114" t="s">
        <v>25</v>
      </c>
      <c r="P114">
        <v>4.2</v>
      </c>
      <c r="Q114">
        <v>118</v>
      </c>
      <c r="R114" t="s">
        <v>1069</v>
      </c>
      <c r="S114">
        <v>2</v>
      </c>
      <c r="T114" t="str">
        <f>IF(Healthcare_Data[[#This Row],[Final_Bill]]&gt;=50000,"High",IF(Healthcare_Data[[#This Row],[Final_Bill]]&gt;=20000,"Medium","low"))</f>
        <v>low</v>
      </c>
    </row>
    <row r="115" spans="1:20" x14ac:dyDescent="0.3">
      <c r="A115" t="s">
        <v>170</v>
      </c>
      <c r="B115">
        <v>45700</v>
      </c>
      <c r="C115" t="s">
        <v>18</v>
      </c>
      <c r="D115" t="s">
        <v>19</v>
      </c>
      <c r="E115" t="s">
        <v>54</v>
      </c>
      <c r="F115" t="s">
        <v>21</v>
      </c>
      <c r="G115">
        <v>59</v>
      </c>
      <c r="H115" t="s">
        <v>115</v>
      </c>
      <c r="I115" t="s">
        <v>30</v>
      </c>
      <c r="J115" t="s">
        <v>36</v>
      </c>
      <c r="K115">
        <v>0</v>
      </c>
      <c r="L115">
        <v>28372</v>
      </c>
      <c r="M115">
        <v>1000</v>
      </c>
      <c r="N115">
        <v>27372</v>
      </c>
      <c r="O115" t="s">
        <v>25</v>
      </c>
      <c r="P115">
        <v>4.4000000000000004</v>
      </c>
      <c r="Q115">
        <v>19</v>
      </c>
      <c r="R115" t="s">
        <v>1069</v>
      </c>
      <c r="S115">
        <v>2</v>
      </c>
      <c r="T115" t="str">
        <f>IF(Healthcare_Data[[#This Row],[Final_Bill]]&gt;=50000,"High",IF(Healthcare_Data[[#This Row],[Final_Bill]]&gt;=20000,"Medium","low"))</f>
        <v>Medium</v>
      </c>
    </row>
    <row r="116" spans="1:20" x14ac:dyDescent="0.3">
      <c r="A116" t="s">
        <v>171</v>
      </c>
      <c r="B116">
        <v>45700</v>
      </c>
      <c r="C116" t="s">
        <v>48</v>
      </c>
      <c r="D116" t="s">
        <v>34</v>
      </c>
      <c r="E116" t="s">
        <v>20</v>
      </c>
      <c r="F116" t="s">
        <v>21</v>
      </c>
      <c r="G116">
        <v>47</v>
      </c>
      <c r="H116" t="s">
        <v>115</v>
      </c>
      <c r="I116" t="s">
        <v>30</v>
      </c>
      <c r="J116" t="s">
        <v>58</v>
      </c>
      <c r="K116">
        <v>0</v>
      </c>
      <c r="L116">
        <v>5121</v>
      </c>
      <c r="M116">
        <v>0</v>
      </c>
      <c r="N116">
        <v>5121</v>
      </c>
      <c r="O116" t="s">
        <v>25</v>
      </c>
      <c r="P116">
        <v>4</v>
      </c>
      <c r="Q116">
        <v>26</v>
      </c>
      <c r="R116" t="s">
        <v>1069</v>
      </c>
      <c r="S116">
        <v>2</v>
      </c>
      <c r="T116" t="str">
        <f>IF(Healthcare_Data[[#This Row],[Final_Bill]]&gt;=50000,"High",IF(Healthcare_Data[[#This Row],[Final_Bill]]&gt;=20000,"Medium","low"))</f>
        <v>low</v>
      </c>
    </row>
    <row r="117" spans="1:20" x14ac:dyDescent="0.3">
      <c r="A117" t="s">
        <v>172</v>
      </c>
      <c r="B117">
        <v>45701</v>
      </c>
      <c r="C117" t="s">
        <v>67</v>
      </c>
      <c r="D117" t="s">
        <v>28</v>
      </c>
      <c r="E117" t="s">
        <v>52</v>
      </c>
      <c r="F117" t="s">
        <v>21</v>
      </c>
      <c r="G117">
        <v>29</v>
      </c>
      <c r="H117" t="s">
        <v>41</v>
      </c>
      <c r="I117" t="s">
        <v>23</v>
      </c>
      <c r="J117" t="s">
        <v>36</v>
      </c>
      <c r="K117">
        <v>7</v>
      </c>
      <c r="L117">
        <v>71361</v>
      </c>
      <c r="M117">
        <v>0</v>
      </c>
      <c r="N117">
        <v>71361</v>
      </c>
      <c r="O117" t="s">
        <v>25</v>
      </c>
      <c r="P117">
        <v>4</v>
      </c>
      <c r="Q117">
        <v>8</v>
      </c>
      <c r="R117" t="s">
        <v>1069</v>
      </c>
      <c r="S117">
        <v>2</v>
      </c>
      <c r="T117" t="str">
        <f>IF(Healthcare_Data[[#This Row],[Final_Bill]]&gt;=50000,"High",IF(Healthcare_Data[[#This Row],[Final_Bill]]&gt;=20000,"Medium","low"))</f>
        <v>High</v>
      </c>
    </row>
    <row r="118" spans="1:20" x14ac:dyDescent="0.3">
      <c r="A118" t="s">
        <v>173</v>
      </c>
      <c r="B118">
        <v>45701</v>
      </c>
      <c r="C118" t="s">
        <v>48</v>
      </c>
      <c r="D118" t="s">
        <v>34</v>
      </c>
      <c r="E118" t="s">
        <v>20</v>
      </c>
      <c r="F118" t="s">
        <v>40</v>
      </c>
      <c r="G118">
        <v>23</v>
      </c>
      <c r="H118" t="s">
        <v>41</v>
      </c>
      <c r="I118" t="s">
        <v>57</v>
      </c>
      <c r="J118" t="s">
        <v>58</v>
      </c>
      <c r="K118">
        <v>0</v>
      </c>
      <c r="L118">
        <v>17616</v>
      </c>
      <c r="M118">
        <v>1000</v>
      </c>
      <c r="N118">
        <v>16616</v>
      </c>
      <c r="O118" t="s">
        <v>25</v>
      </c>
      <c r="P118">
        <v>4.3</v>
      </c>
      <c r="Q118">
        <v>26</v>
      </c>
      <c r="R118" t="s">
        <v>1069</v>
      </c>
      <c r="S118">
        <v>2</v>
      </c>
      <c r="T118" t="str">
        <f>IF(Healthcare_Data[[#This Row],[Final_Bill]]&gt;=50000,"High",IF(Healthcare_Data[[#This Row],[Final_Bill]]&gt;=20000,"Medium","low"))</f>
        <v>low</v>
      </c>
    </row>
    <row r="119" spans="1:20" x14ac:dyDescent="0.3">
      <c r="A119" t="s">
        <v>174</v>
      </c>
      <c r="B119">
        <v>45701</v>
      </c>
      <c r="C119" t="s">
        <v>38</v>
      </c>
      <c r="D119" t="s">
        <v>39</v>
      </c>
      <c r="E119" t="s">
        <v>20</v>
      </c>
      <c r="F119" t="s">
        <v>40</v>
      </c>
      <c r="G119">
        <v>20</v>
      </c>
      <c r="H119" t="s">
        <v>65</v>
      </c>
      <c r="I119" t="s">
        <v>23</v>
      </c>
      <c r="J119" t="s">
        <v>24</v>
      </c>
      <c r="K119">
        <v>0</v>
      </c>
      <c r="L119">
        <v>18638</v>
      </c>
      <c r="M119">
        <v>500</v>
      </c>
      <c r="N119">
        <v>18138</v>
      </c>
      <c r="O119" t="s">
        <v>25</v>
      </c>
      <c r="P119">
        <v>4.3</v>
      </c>
      <c r="Q119">
        <v>54</v>
      </c>
      <c r="R119" t="s">
        <v>1069</v>
      </c>
      <c r="S119">
        <v>2</v>
      </c>
      <c r="T119" t="str">
        <f>IF(Healthcare_Data[[#This Row],[Final_Bill]]&gt;=50000,"High",IF(Healthcare_Data[[#This Row],[Final_Bill]]&gt;=20000,"Medium","low"))</f>
        <v>low</v>
      </c>
    </row>
    <row r="120" spans="1:20" x14ac:dyDescent="0.3">
      <c r="A120" t="s">
        <v>175</v>
      </c>
      <c r="B120">
        <v>45701</v>
      </c>
      <c r="C120" t="s">
        <v>67</v>
      </c>
      <c r="D120" t="s">
        <v>19</v>
      </c>
      <c r="E120" t="s">
        <v>54</v>
      </c>
      <c r="F120" t="s">
        <v>21</v>
      </c>
      <c r="G120">
        <v>61</v>
      </c>
      <c r="H120" t="s">
        <v>56</v>
      </c>
      <c r="I120" t="s">
        <v>63</v>
      </c>
      <c r="J120" t="s">
        <v>31</v>
      </c>
      <c r="K120">
        <v>0</v>
      </c>
      <c r="L120">
        <v>12409</v>
      </c>
      <c r="M120">
        <v>0</v>
      </c>
      <c r="N120">
        <v>12409</v>
      </c>
      <c r="O120" t="s">
        <v>59</v>
      </c>
      <c r="P120">
        <v>3.7</v>
      </c>
      <c r="Q120">
        <v>53</v>
      </c>
      <c r="R120" t="s">
        <v>1069</v>
      </c>
      <c r="S120">
        <v>2</v>
      </c>
      <c r="T120" t="str">
        <f>IF(Healthcare_Data[[#This Row],[Final_Bill]]&gt;=50000,"High",IF(Healthcare_Data[[#This Row],[Final_Bill]]&gt;=20000,"Medium","low"))</f>
        <v>low</v>
      </c>
    </row>
    <row r="121" spans="1:20" x14ac:dyDescent="0.3">
      <c r="A121" t="s">
        <v>176</v>
      </c>
      <c r="B121">
        <v>45702</v>
      </c>
      <c r="C121" t="s">
        <v>50</v>
      </c>
      <c r="D121" t="s">
        <v>51</v>
      </c>
      <c r="E121" t="s">
        <v>20</v>
      </c>
      <c r="F121" t="s">
        <v>21</v>
      </c>
      <c r="G121">
        <v>38</v>
      </c>
      <c r="H121" t="s">
        <v>35</v>
      </c>
      <c r="I121" t="s">
        <v>23</v>
      </c>
      <c r="J121" t="s">
        <v>24</v>
      </c>
      <c r="K121">
        <v>0</v>
      </c>
      <c r="L121">
        <v>15877</v>
      </c>
      <c r="M121">
        <v>1000</v>
      </c>
      <c r="N121">
        <v>14877</v>
      </c>
      <c r="O121" t="s">
        <v>32</v>
      </c>
      <c r="P121">
        <v>4</v>
      </c>
      <c r="Q121">
        <v>65</v>
      </c>
      <c r="R121" t="s">
        <v>1069</v>
      </c>
      <c r="S121">
        <v>2</v>
      </c>
      <c r="T121" t="str">
        <f>IF(Healthcare_Data[[#This Row],[Final_Bill]]&gt;=50000,"High",IF(Healthcare_Data[[#This Row],[Final_Bill]]&gt;=20000,"Medium","low"))</f>
        <v>low</v>
      </c>
    </row>
    <row r="122" spans="1:20" x14ac:dyDescent="0.3">
      <c r="A122" t="s">
        <v>177</v>
      </c>
      <c r="B122">
        <v>45703</v>
      </c>
      <c r="C122" t="s">
        <v>50</v>
      </c>
      <c r="D122" t="s">
        <v>51</v>
      </c>
      <c r="E122" t="s">
        <v>20</v>
      </c>
      <c r="F122" t="s">
        <v>40</v>
      </c>
      <c r="G122">
        <v>52</v>
      </c>
      <c r="H122" t="s">
        <v>46</v>
      </c>
      <c r="I122" t="s">
        <v>57</v>
      </c>
      <c r="J122" t="s">
        <v>24</v>
      </c>
      <c r="K122">
        <v>0</v>
      </c>
      <c r="L122">
        <v>9374</v>
      </c>
      <c r="M122">
        <v>0</v>
      </c>
      <c r="N122">
        <v>9374</v>
      </c>
      <c r="O122" t="s">
        <v>32</v>
      </c>
      <c r="P122">
        <v>3.6</v>
      </c>
      <c r="Q122">
        <v>83</v>
      </c>
      <c r="R122" t="s">
        <v>1069</v>
      </c>
      <c r="S122">
        <v>2</v>
      </c>
      <c r="T122" t="str">
        <f>IF(Healthcare_Data[[#This Row],[Final_Bill]]&gt;=50000,"High",IF(Healthcare_Data[[#This Row],[Final_Bill]]&gt;=20000,"Medium","low"))</f>
        <v>low</v>
      </c>
    </row>
    <row r="123" spans="1:20" x14ac:dyDescent="0.3">
      <c r="A123" t="s">
        <v>178</v>
      </c>
      <c r="B123">
        <v>45703</v>
      </c>
      <c r="C123" t="s">
        <v>48</v>
      </c>
      <c r="D123" t="s">
        <v>39</v>
      </c>
      <c r="E123" t="s">
        <v>54</v>
      </c>
      <c r="F123" t="s">
        <v>40</v>
      </c>
      <c r="G123">
        <v>50</v>
      </c>
      <c r="H123" t="s">
        <v>29</v>
      </c>
      <c r="I123" t="s">
        <v>57</v>
      </c>
      <c r="J123" t="s">
        <v>31</v>
      </c>
      <c r="K123">
        <v>0</v>
      </c>
      <c r="L123">
        <v>21866</v>
      </c>
      <c r="M123">
        <v>500</v>
      </c>
      <c r="N123">
        <v>21366</v>
      </c>
      <c r="O123" t="s">
        <v>25</v>
      </c>
      <c r="P123">
        <v>4.4000000000000004</v>
      </c>
      <c r="Q123">
        <v>95</v>
      </c>
      <c r="R123" t="s">
        <v>1069</v>
      </c>
      <c r="S123">
        <v>2</v>
      </c>
      <c r="T123" t="str">
        <f>IF(Healthcare_Data[[#This Row],[Final_Bill]]&gt;=50000,"High",IF(Healthcare_Data[[#This Row],[Final_Bill]]&gt;=20000,"Medium","low"))</f>
        <v>Medium</v>
      </c>
    </row>
    <row r="124" spans="1:20" x14ac:dyDescent="0.3">
      <c r="A124" t="s">
        <v>179</v>
      </c>
      <c r="B124">
        <v>45703</v>
      </c>
      <c r="C124" t="s">
        <v>38</v>
      </c>
      <c r="D124" t="s">
        <v>39</v>
      </c>
      <c r="E124" t="s">
        <v>52</v>
      </c>
      <c r="F124" t="s">
        <v>21</v>
      </c>
      <c r="G124">
        <v>50</v>
      </c>
      <c r="H124" t="s">
        <v>56</v>
      </c>
      <c r="I124" t="s">
        <v>23</v>
      </c>
      <c r="J124" t="s">
        <v>24</v>
      </c>
      <c r="K124">
        <v>2</v>
      </c>
      <c r="L124">
        <v>76394</v>
      </c>
      <c r="M124">
        <v>500</v>
      </c>
      <c r="N124">
        <v>75894</v>
      </c>
      <c r="O124" t="s">
        <v>25</v>
      </c>
      <c r="P124">
        <v>3.1</v>
      </c>
      <c r="Q124">
        <v>13</v>
      </c>
      <c r="R124" t="s">
        <v>1069</v>
      </c>
      <c r="S124">
        <v>2</v>
      </c>
      <c r="T124" t="str">
        <f>IF(Healthcare_Data[[#This Row],[Final_Bill]]&gt;=50000,"High",IF(Healthcare_Data[[#This Row],[Final_Bill]]&gt;=20000,"Medium","low"))</f>
        <v>High</v>
      </c>
    </row>
    <row r="125" spans="1:20" x14ac:dyDescent="0.3">
      <c r="A125" t="s">
        <v>180</v>
      </c>
      <c r="B125">
        <v>45704</v>
      </c>
      <c r="C125" t="s">
        <v>18</v>
      </c>
      <c r="D125" t="s">
        <v>28</v>
      </c>
      <c r="E125" t="s">
        <v>20</v>
      </c>
      <c r="F125" t="s">
        <v>21</v>
      </c>
      <c r="G125">
        <v>36</v>
      </c>
      <c r="H125" t="s">
        <v>46</v>
      </c>
      <c r="I125" t="s">
        <v>72</v>
      </c>
      <c r="J125" t="s">
        <v>24</v>
      </c>
      <c r="K125">
        <v>0</v>
      </c>
      <c r="L125">
        <v>2008</v>
      </c>
      <c r="M125">
        <v>0</v>
      </c>
      <c r="N125">
        <v>2008</v>
      </c>
      <c r="O125" t="s">
        <v>32</v>
      </c>
      <c r="P125">
        <v>2.6</v>
      </c>
      <c r="Q125">
        <v>31</v>
      </c>
      <c r="R125" t="s">
        <v>1069</v>
      </c>
      <c r="S125">
        <v>2</v>
      </c>
      <c r="T125" t="str">
        <f>IF(Healthcare_Data[[#This Row],[Final_Bill]]&gt;=50000,"High",IF(Healthcare_Data[[#This Row],[Final_Bill]]&gt;=20000,"Medium","low"))</f>
        <v>low</v>
      </c>
    </row>
    <row r="126" spans="1:20" x14ac:dyDescent="0.3">
      <c r="A126" t="s">
        <v>181</v>
      </c>
      <c r="B126">
        <v>45704</v>
      </c>
      <c r="C126" t="s">
        <v>27</v>
      </c>
      <c r="D126" t="s">
        <v>28</v>
      </c>
      <c r="E126" t="s">
        <v>52</v>
      </c>
      <c r="F126" t="s">
        <v>21</v>
      </c>
      <c r="G126">
        <v>51</v>
      </c>
      <c r="H126" t="s">
        <v>35</v>
      </c>
      <c r="I126" t="s">
        <v>63</v>
      </c>
      <c r="J126" t="s">
        <v>36</v>
      </c>
      <c r="K126">
        <v>2</v>
      </c>
      <c r="L126">
        <v>34743</v>
      </c>
      <c r="M126">
        <v>0</v>
      </c>
      <c r="N126">
        <v>34743</v>
      </c>
      <c r="O126" t="s">
        <v>25</v>
      </c>
      <c r="P126">
        <v>4.0999999999999996</v>
      </c>
      <c r="Q126">
        <v>13</v>
      </c>
      <c r="R126" t="s">
        <v>1069</v>
      </c>
      <c r="S126">
        <v>2</v>
      </c>
      <c r="T126" t="str">
        <f>IF(Healthcare_Data[[#This Row],[Final_Bill]]&gt;=50000,"High",IF(Healthcare_Data[[#This Row],[Final_Bill]]&gt;=20000,"Medium","low"))</f>
        <v>Medium</v>
      </c>
    </row>
    <row r="127" spans="1:20" x14ac:dyDescent="0.3">
      <c r="A127" t="s">
        <v>182</v>
      </c>
      <c r="B127">
        <v>45704</v>
      </c>
      <c r="C127" t="s">
        <v>27</v>
      </c>
      <c r="D127" t="s">
        <v>28</v>
      </c>
      <c r="E127" t="s">
        <v>20</v>
      </c>
      <c r="F127" t="s">
        <v>40</v>
      </c>
      <c r="G127">
        <v>53</v>
      </c>
      <c r="H127" t="s">
        <v>29</v>
      </c>
      <c r="I127" t="s">
        <v>72</v>
      </c>
      <c r="J127" t="s">
        <v>58</v>
      </c>
      <c r="K127">
        <v>0</v>
      </c>
      <c r="L127">
        <v>13429</v>
      </c>
      <c r="M127">
        <v>1500</v>
      </c>
      <c r="N127">
        <v>11929</v>
      </c>
      <c r="O127" t="s">
        <v>25</v>
      </c>
      <c r="P127">
        <v>4.8</v>
      </c>
      <c r="Q127">
        <v>103</v>
      </c>
      <c r="R127" t="s">
        <v>1069</v>
      </c>
      <c r="S127">
        <v>2</v>
      </c>
      <c r="T127" t="str">
        <f>IF(Healthcare_Data[[#This Row],[Final_Bill]]&gt;=50000,"High",IF(Healthcare_Data[[#This Row],[Final_Bill]]&gt;=20000,"Medium","low"))</f>
        <v>low</v>
      </c>
    </row>
    <row r="128" spans="1:20" x14ac:dyDescent="0.3">
      <c r="A128" t="s">
        <v>183</v>
      </c>
      <c r="B128">
        <v>45704</v>
      </c>
      <c r="C128" t="s">
        <v>48</v>
      </c>
      <c r="D128" t="s">
        <v>19</v>
      </c>
      <c r="E128" t="s">
        <v>52</v>
      </c>
      <c r="F128" t="s">
        <v>21</v>
      </c>
      <c r="G128">
        <v>63</v>
      </c>
      <c r="H128" t="s">
        <v>35</v>
      </c>
      <c r="I128" t="s">
        <v>42</v>
      </c>
      <c r="J128" t="s">
        <v>36</v>
      </c>
      <c r="K128">
        <v>5</v>
      </c>
      <c r="L128">
        <v>72207</v>
      </c>
      <c r="M128">
        <v>2000</v>
      </c>
      <c r="N128">
        <v>70207</v>
      </c>
      <c r="O128" t="s">
        <v>32</v>
      </c>
      <c r="P128">
        <v>3</v>
      </c>
      <c r="Q128">
        <v>74</v>
      </c>
      <c r="R128" t="s">
        <v>1069</v>
      </c>
      <c r="S128">
        <v>2</v>
      </c>
      <c r="T128" t="str">
        <f>IF(Healthcare_Data[[#This Row],[Final_Bill]]&gt;=50000,"High",IF(Healthcare_Data[[#This Row],[Final_Bill]]&gt;=20000,"Medium","low"))</f>
        <v>High</v>
      </c>
    </row>
    <row r="129" spans="1:20" x14ac:dyDescent="0.3">
      <c r="A129" t="s">
        <v>184</v>
      </c>
      <c r="B129">
        <v>45704</v>
      </c>
      <c r="C129" t="s">
        <v>18</v>
      </c>
      <c r="D129" t="s">
        <v>19</v>
      </c>
      <c r="E129" t="s">
        <v>20</v>
      </c>
      <c r="F129" t="s">
        <v>21</v>
      </c>
      <c r="G129">
        <v>52</v>
      </c>
      <c r="H129" t="s">
        <v>29</v>
      </c>
      <c r="I129" t="s">
        <v>72</v>
      </c>
      <c r="J129" t="s">
        <v>36</v>
      </c>
      <c r="K129">
        <v>0</v>
      </c>
      <c r="L129">
        <v>14954</v>
      </c>
      <c r="M129">
        <v>0</v>
      </c>
      <c r="N129">
        <v>14954</v>
      </c>
      <c r="O129" t="s">
        <v>25</v>
      </c>
      <c r="P129">
        <v>2.8</v>
      </c>
      <c r="Q129">
        <v>113</v>
      </c>
      <c r="R129" t="s">
        <v>1069</v>
      </c>
      <c r="S129">
        <v>2</v>
      </c>
      <c r="T129" t="str">
        <f>IF(Healthcare_Data[[#This Row],[Final_Bill]]&gt;=50000,"High",IF(Healthcare_Data[[#This Row],[Final_Bill]]&gt;=20000,"Medium","low"))</f>
        <v>low</v>
      </c>
    </row>
    <row r="130" spans="1:20" x14ac:dyDescent="0.3">
      <c r="A130" t="s">
        <v>185</v>
      </c>
      <c r="B130">
        <v>45705</v>
      </c>
      <c r="C130" t="s">
        <v>44</v>
      </c>
      <c r="D130" t="s">
        <v>34</v>
      </c>
      <c r="E130" t="s">
        <v>52</v>
      </c>
      <c r="F130" t="s">
        <v>40</v>
      </c>
      <c r="G130">
        <v>33</v>
      </c>
      <c r="H130" t="s">
        <v>22</v>
      </c>
      <c r="I130" t="s">
        <v>72</v>
      </c>
      <c r="J130" t="s">
        <v>58</v>
      </c>
      <c r="K130">
        <v>11</v>
      </c>
      <c r="L130">
        <v>51310</v>
      </c>
      <c r="M130">
        <v>1000</v>
      </c>
      <c r="N130">
        <v>50310</v>
      </c>
      <c r="O130" t="s">
        <v>25</v>
      </c>
      <c r="P130">
        <v>2.6</v>
      </c>
      <c r="Q130">
        <v>44</v>
      </c>
      <c r="R130" t="s">
        <v>1069</v>
      </c>
      <c r="S130">
        <v>2</v>
      </c>
      <c r="T130" t="str">
        <f>IF(Healthcare_Data[[#This Row],[Final_Bill]]&gt;=50000,"High",IF(Healthcare_Data[[#This Row],[Final_Bill]]&gt;=20000,"Medium","low"))</f>
        <v>High</v>
      </c>
    </row>
    <row r="131" spans="1:20" x14ac:dyDescent="0.3">
      <c r="A131" t="s">
        <v>186</v>
      </c>
      <c r="B131">
        <v>45705</v>
      </c>
      <c r="C131" t="s">
        <v>38</v>
      </c>
      <c r="D131" t="s">
        <v>28</v>
      </c>
      <c r="E131" t="s">
        <v>20</v>
      </c>
      <c r="F131" t="s">
        <v>21</v>
      </c>
      <c r="G131">
        <v>42</v>
      </c>
      <c r="H131" t="s">
        <v>56</v>
      </c>
      <c r="I131" t="s">
        <v>57</v>
      </c>
      <c r="J131" t="s">
        <v>24</v>
      </c>
      <c r="K131">
        <v>0</v>
      </c>
      <c r="L131">
        <v>6471</v>
      </c>
      <c r="M131">
        <v>1000</v>
      </c>
      <c r="N131">
        <v>5471</v>
      </c>
      <c r="O131" t="s">
        <v>25</v>
      </c>
      <c r="P131">
        <v>3.9</v>
      </c>
      <c r="Q131">
        <v>12</v>
      </c>
      <c r="R131" t="s">
        <v>1069</v>
      </c>
      <c r="S131">
        <v>2</v>
      </c>
      <c r="T131" t="str">
        <f>IF(Healthcare_Data[[#This Row],[Final_Bill]]&gt;=50000,"High",IF(Healthcare_Data[[#This Row],[Final_Bill]]&gt;=20000,"Medium","low"))</f>
        <v>low</v>
      </c>
    </row>
    <row r="132" spans="1:20" x14ac:dyDescent="0.3">
      <c r="A132" t="s">
        <v>187</v>
      </c>
      <c r="B132">
        <v>45705</v>
      </c>
      <c r="C132" t="s">
        <v>44</v>
      </c>
      <c r="D132" t="s">
        <v>28</v>
      </c>
      <c r="E132" t="s">
        <v>20</v>
      </c>
      <c r="F132" t="s">
        <v>21</v>
      </c>
      <c r="G132">
        <v>63</v>
      </c>
      <c r="H132" t="s">
        <v>22</v>
      </c>
      <c r="I132" t="s">
        <v>23</v>
      </c>
      <c r="J132" t="s">
        <v>24</v>
      </c>
      <c r="K132">
        <v>0</v>
      </c>
      <c r="L132">
        <v>3306</v>
      </c>
      <c r="M132">
        <v>500</v>
      </c>
      <c r="N132">
        <v>2806</v>
      </c>
      <c r="O132" t="s">
        <v>25</v>
      </c>
      <c r="P132">
        <v>5</v>
      </c>
      <c r="Q132">
        <v>17</v>
      </c>
      <c r="R132" t="s">
        <v>1069</v>
      </c>
      <c r="S132">
        <v>2</v>
      </c>
      <c r="T132" t="str">
        <f>IF(Healthcare_Data[[#This Row],[Final_Bill]]&gt;=50000,"High",IF(Healthcare_Data[[#This Row],[Final_Bill]]&gt;=20000,"Medium","low"))</f>
        <v>low</v>
      </c>
    </row>
    <row r="133" spans="1:20" x14ac:dyDescent="0.3">
      <c r="A133" t="s">
        <v>188</v>
      </c>
      <c r="B133">
        <v>45706</v>
      </c>
      <c r="C133" t="s">
        <v>48</v>
      </c>
      <c r="D133" t="s">
        <v>28</v>
      </c>
      <c r="E133" t="s">
        <v>20</v>
      </c>
      <c r="F133" t="s">
        <v>40</v>
      </c>
      <c r="G133">
        <v>48</v>
      </c>
      <c r="H133" t="s">
        <v>65</v>
      </c>
      <c r="I133" t="s">
        <v>42</v>
      </c>
      <c r="J133" t="s">
        <v>24</v>
      </c>
      <c r="K133">
        <v>0</v>
      </c>
      <c r="L133">
        <v>6870</v>
      </c>
      <c r="M133">
        <v>2000</v>
      </c>
      <c r="N133">
        <v>4870</v>
      </c>
      <c r="O133" t="s">
        <v>32</v>
      </c>
      <c r="P133">
        <v>4.8</v>
      </c>
      <c r="Q133">
        <v>66</v>
      </c>
      <c r="R133" t="s">
        <v>1069</v>
      </c>
      <c r="S133">
        <v>2</v>
      </c>
      <c r="T133" t="str">
        <f>IF(Healthcare_Data[[#This Row],[Final_Bill]]&gt;=50000,"High",IF(Healthcare_Data[[#This Row],[Final_Bill]]&gt;=20000,"Medium","low"))</f>
        <v>low</v>
      </c>
    </row>
    <row r="134" spans="1:20" x14ac:dyDescent="0.3">
      <c r="A134" t="s">
        <v>189</v>
      </c>
      <c r="B134">
        <v>45706</v>
      </c>
      <c r="C134" t="s">
        <v>27</v>
      </c>
      <c r="D134" t="s">
        <v>34</v>
      </c>
      <c r="E134" t="s">
        <v>20</v>
      </c>
      <c r="F134" t="s">
        <v>40</v>
      </c>
      <c r="G134">
        <v>70</v>
      </c>
      <c r="H134" t="s">
        <v>22</v>
      </c>
      <c r="I134" t="s">
        <v>69</v>
      </c>
      <c r="J134" t="s">
        <v>24</v>
      </c>
      <c r="K134">
        <v>0</v>
      </c>
      <c r="L134">
        <v>15295</v>
      </c>
      <c r="M134">
        <v>1000</v>
      </c>
      <c r="N134">
        <v>14295</v>
      </c>
      <c r="O134" t="s">
        <v>25</v>
      </c>
      <c r="P134">
        <v>4.2</v>
      </c>
      <c r="Q134">
        <v>67</v>
      </c>
      <c r="R134" t="s">
        <v>1069</v>
      </c>
      <c r="S134">
        <v>2</v>
      </c>
      <c r="T134" t="str">
        <f>IF(Healthcare_Data[[#This Row],[Final_Bill]]&gt;=50000,"High",IF(Healthcare_Data[[#This Row],[Final_Bill]]&gt;=20000,"Medium","low"))</f>
        <v>low</v>
      </c>
    </row>
    <row r="135" spans="1:20" x14ac:dyDescent="0.3">
      <c r="A135" t="s">
        <v>190</v>
      </c>
      <c r="B135">
        <v>45707</v>
      </c>
      <c r="C135" t="s">
        <v>67</v>
      </c>
      <c r="D135" t="s">
        <v>19</v>
      </c>
      <c r="E135" t="s">
        <v>20</v>
      </c>
      <c r="F135" t="s">
        <v>40</v>
      </c>
      <c r="G135">
        <v>54</v>
      </c>
      <c r="H135" t="s">
        <v>29</v>
      </c>
      <c r="I135" t="s">
        <v>72</v>
      </c>
      <c r="J135" t="s">
        <v>36</v>
      </c>
      <c r="K135">
        <v>0</v>
      </c>
      <c r="L135">
        <v>19171</v>
      </c>
      <c r="M135">
        <v>500</v>
      </c>
      <c r="N135">
        <v>18671</v>
      </c>
      <c r="O135" t="s">
        <v>32</v>
      </c>
      <c r="P135">
        <v>3.8</v>
      </c>
      <c r="Q135">
        <v>27</v>
      </c>
      <c r="R135" t="s">
        <v>1069</v>
      </c>
      <c r="S135">
        <v>2</v>
      </c>
      <c r="T135" t="str">
        <f>IF(Healthcare_Data[[#This Row],[Final_Bill]]&gt;=50000,"High",IF(Healthcare_Data[[#This Row],[Final_Bill]]&gt;=20000,"Medium","low"))</f>
        <v>low</v>
      </c>
    </row>
    <row r="136" spans="1:20" x14ac:dyDescent="0.3">
      <c r="A136" t="s">
        <v>191</v>
      </c>
      <c r="B136">
        <v>45708</v>
      </c>
      <c r="C136" t="s">
        <v>18</v>
      </c>
      <c r="D136" t="s">
        <v>51</v>
      </c>
      <c r="E136" t="s">
        <v>20</v>
      </c>
      <c r="F136" t="s">
        <v>40</v>
      </c>
      <c r="G136">
        <v>66</v>
      </c>
      <c r="H136" t="s">
        <v>56</v>
      </c>
      <c r="I136" t="s">
        <v>30</v>
      </c>
      <c r="J136" t="s">
        <v>24</v>
      </c>
      <c r="K136">
        <v>0</v>
      </c>
      <c r="L136">
        <v>8752</v>
      </c>
      <c r="M136">
        <v>500</v>
      </c>
      <c r="N136">
        <v>8252</v>
      </c>
      <c r="O136" t="s">
        <v>25</v>
      </c>
      <c r="P136">
        <v>2.5</v>
      </c>
      <c r="Q136">
        <v>78</v>
      </c>
      <c r="R136" t="s">
        <v>1069</v>
      </c>
      <c r="S136">
        <v>2</v>
      </c>
      <c r="T136" t="str">
        <f>IF(Healthcare_Data[[#This Row],[Final_Bill]]&gt;=50000,"High",IF(Healthcare_Data[[#This Row],[Final_Bill]]&gt;=20000,"Medium","low"))</f>
        <v>low</v>
      </c>
    </row>
    <row r="137" spans="1:20" x14ac:dyDescent="0.3">
      <c r="A137" t="s">
        <v>192</v>
      </c>
      <c r="B137">
        <v>45708</v>
      </c>
      <c r="C137" t="s">
        <v>54</v>
      </c>
      <c r="D137" t="s">
        <v>19</v>
      </c>
      <c r="E137" t="s">
        <v>20</v>
      </c>
      <c r="F137" t="s">
        <v>21</v>
      </c>
      <c r="G137">
        <v>59</v>
      </c>
      <c r="H137" t="s">
        <v>41</v>
      </c>
      <c r="I137" t="s">
        <v>30</v>
      </c>
      <c r="J137" t="s">
        <v>58</v>
      </c>
      <c r="K137">
        <v>0</v>
      </c>
      <c r="L137">
        <v>18058</v>
      </c>
      <c r="M137">
        <v>1000</v>
      </c>
      <c r="N137">
        <v>17058</v>
      </c>
      <c r="O137" t="s">
        <v>25</v>
      </c>
      <c r="P137">
        <v>4.4000000000000004</v>
      </c>
      <c r="Q137">
        <v>25</v>
      </c>
      <c r="R137" t="s">
        <v>1069</v>
      </c>
      <c r="S137">
        <v>2</v>
      </c>
      <c r="T137" t="str">
        <f>IF(Healthcare_Data[[#This Row],[Final_Bill]]&gt;=50000,"High",IF(Healthcare_Data[[#This Row],[Final_Bill]]&gt;=20000,"Medium","low"))</f>
        <v>low</v>
      </c>
    </row>
    <row r="138" spans="1:20" x14ac:dyDescent="0.3">
      <c r="A138" t="s">
        <v>193</v>
      </c>
      <c r="B138">
        <v>45708</v>
      </c>
      <c r="C138" t="s">
        <v>54</v>
      </c>
      <c r="D138" t="s">
        <v>28</v>
      </c>
      <c r="E138" t="s">
        <v>20</v>
      </c>
      <c r="F138" t="s">
        <v>21</v>
      </c>
      <c r="G138">
        <v>39</v>
      </c>
      <c r="H138" t="s">
        <v>115</v>
      </c>
      <c r="I138" t="s">
        <v>69</v>
      </c>
      <c r="J138" t="s">
        <v>31</v>
      </c>
      <c r="K138">
        <v>0</v>
      </c>
      <c r="L138">
        <v>16859</v>
      </c>
      <c r="M138">
        <v>500</v>
      </c>
      <c r="N138">
        <v>16359</v>
      </c>
      <c r="O138" t="s">
        <v>25</v>
      </c>
      <c r="P138">
        <v>3.5</v>
      </c>
      <c r="Q138">
        <v>110</v>
      </c>
      <c r="R138" t="s">
        <v>1069</v>
      </c>
      <c r="S138">
        <v>2</v>
      </c>
      <c r="T138" t="str">
        <f>IF(Healthcare_Data[[#This Row],[Final_Bill]]&gt;=50000,"High",IF(Healthcare_Data[[#This Row],[Final_Bill]]&gt;=20000,"Medium","low"))</f>
        <v>low</v>
      </c>
    </row>
    <row r="139" spans="1:20" x14ac:dyDescent="0.3">
      <c r="A139" t="s">
        <v>194</v>
      </c>
      <c r="B139">
        <v>45708</v>
      </c>
      <c r="C139" t="s">
        <v>67</v>
      </c>
      <c r="D139" t="s">
        <v>28</v>
      </c>
      <c r="E139" t="s">
        <v>20</v>
      </c>
      <c r="F139" t="s">
        <v>21</v>
      </c>
      <c r="G139">
        <v>60</v>
      </c>
      <c r="H139" t="s">
        <v>65</v>
      </c>
      <c r="I139" t="s">
        <v>57</v>
      </c>
      <c r="J139" t="s">
        <v>36</v>
      </c>
      <c r="K139">
        <v>0</v>
      </c>
      <c r="L139">
        <v>6346</v>
      </c>
      <c r="M139">
        <v>500</v>
      </c>
      <c r="N139">
        <v>5846</v>
      </c>
      <c r="O139" t="s">
        <v>32</v>
      </c>
      <c r="P139" t="s">
        <v>1057</v>
      </c>
      <c r="Q139">
        <v>94</v>
      </c>
      <c r="R139" t="s">
        <v>1069</v>
      </c>
      <c r="S139">
        <v>2</v>
      </c>
      <c r="T139" t="str">
        <f>IF(Healthcare_Data[[#This Row],[Final_Bill]]&gt;=50000,"High",IF(Healthcare_Data[[#This Row],[Final_Bill]]&gt;=20000,"Medium","low"))</f>
        <v>low</v>
      </c>
    </row>
    <row r="140" spans="1:20" x14ac:dyDescent="0.3">
      <c r="A140" t="s">
        <v>195</v>
      </c>
      <c r="B140">
        <v>45708</v>
      </c>
      <c r="C140" t="s">
        <v>44</v>
      </c>
      <c r="D140" t="s">
        <v>34</v>
      </c>
      <c r="E140" t="s">
        <v>52</v>
      </c>
      <c r="F140" t="s">
        <v>21</v>
      </c>
      <c r="G140">
        <v>72</v>
      </c>
      <c r="H140" t="s">
        <v>22</v>
      </c>
      <c r="I140" t="s">
        <v>30</v>
      </c>
      <c r="J140" t="s">
        <v>24</v>
      </c>
      <c r="K140">
        <v>14</v>
      </c>
      <c r="L140">
        <v>20241</v>
      </c>
      <c r="M140">
        <v>1000</v>
      </c>
      <c r="N140">
        <v>19241</v>
      </c>
      <c r="O140" t="s">
        <v>25</v>
      </c>
      <c r="P140">
        <v>3.7</v>
      </c>
      <c r="Q140">
        <v>56</v>
      </c>
      <c r="R140" t="s">
        <v>1069</v>
      </c>
      <c r="S140">
        <v>2</v>
      </c>
      <c r="T140" t="str">
        <f>IF(Healthcare_Data[[#This Row],[Final_Bill]]&gt;=50000,"High",IF(Healthcare_Data[[#This Row],[Final_Bill]]&gt;=20000,"Medium","low"))</f>
        <v>low</v>
      </c>
    </row>
    <row r="141" spans="1:20" x14ac:dyDescent="0.3">
      <c r="A141" t="s">
        <v>196</v>
      </c>
      <c r="B141">
        <v>45708</v>
      </c>
      <c r="C141" t="s">
        <v>38</v>
      </c>
      <c r="D141" t="s">
        <v>34</v>
      </c>
      <c r="E141" t="s">
        <v>54</v>
      </c>
      <c r="F141" t="s">
        <v>21</v>
      </c>
      <c r="G141">
        <v>25</v>
      </c>
      <c r="H141" t="s">
        <v>115</v>
      </c>
      <c r="I141" t="s">
        <v>63</v>
      </c>
      <c r="J141" t="s">
        <v>58</v>
      </c>
      <c r="K141">
        <v>0</v>
      </c>
      <c r="L141">
        <v>15939</v>
      </c>
      <c r="M141">
        <v>1000</v>
      </c>
      <c r="N141">
        <v>14939</v>
      </c>
      <c r="O141" t="s">
        <v>25</v>
      </c>
      <c r="P141">
        <v>3.8</v>
      </c>
      <c r="Q141">
        <v>5</v>
      </c>
      <c r="R141" t="s">
        <v>1069</v>
      </c>
      <c r="S141">
        <v>2</v>
      </c>
      <c r="T141" t="str">
        <f>IF(Healthcare_Data[[#This Row],[Final_Bill]]&gt;=50000,"High",IF(Healthcare_Data[[#This Row],[Final_Bill]]&gt;=20000,"Medium","low"))</f>
        <v>low</v>
      </c>
    </row>
    <row r="142" spans="1:20" x14ac:dyDescent="0.3">
      <c r="A142" t="s">
        <v>197</v>
      </c>
      <c r="B142">
        <v>45709</v>
      </c>
      <c r="C142" t="s">
        <v>67</v>
      </c>
      <c r="D142" t="s">
        <v>51</v>
      </c>
      <c r="E142" t="s">
        <v>52</v>
      </c>
      <c r="F142" t="s">
        <v>40</v>
      </c>
      <c r="G142">
        <v>48</v>
      </c>
      <c r="H142" t="s">
        <v>22</v>
      </c>
      <c r="I142" t="s">
        <v>61</v>
      </c>
      <c r="J142" t="s">
        <v>36</v>
      </c>
      <c r="K142">
        <v>6</v>
      </c>
      <c r="L142">
        <v>30150</v>
      </c>
      <c r="M142">
        <v>0</v>
      </c>
      <c r="N142">
        <v>30150</v>
      </c>
      <c r="O142" t="s">
        <v>25</v>
      </c>
      <c r="P142">
        <v>3</v>
      </c>
      <c r="Q142">
        <v>90</v>
      </c>
      <c r="R142" t="s">
        <v>1069</v>
      </c>
      <c r="S142">
        <v>2</v>
      </c>
      <c r="T142" t="str">
        <f>IF(Healthcare_Data[[#This Row],[Final_Bill]]&gt;=50000,"High",IF(Healthcare_Data[[#This Row],[Final_Bill]]&gt;=20000,"Medium","low"))</f>
        <v>Medium</v>
      </c>
    </row>
    <row r="143" spans="1:20" x14ac:dyDescent="0.3">
      <c r="A143" t="s">
        <v>198</v>
      </c>
      <c r="B143">
        <v>45709</v>
      </c>
      <c r="C143" t="s">
        <v>38</v>
      </c>
      <c r="D143" t="s">
        <v>51</v>
      </c>
      <c r="E143" t="s">
        <v>20</v>
      </c>
      <c r="F143" t="s">
        <v>40</v>
      </c>
      <c r="G143">
        <v>29</v>
      </c>
      <c r="H143" t="s">
        <v>29</v>
      </c>
      <c r="I143" t="s">
        <v>23</v>
      </c>
      <c r="J143" t="s">
        <v>58</v>
      </c>
      <c r="K143">
        <v>0</v>
      </c>
      <c r="L143">
        <v>5014</v>
      </c>
      <c r="M143">
        <v>1000</v>
      </c>
      <c r="N143">
        <v>4014</v>
      </c>
      <c r="O143" t="s">
        <v>25</v>
      </c>
      <c r="P143">
        <v>4.7</v>
      </c>
      <c r="Q143">
        <v>80</v>
      </c>
      <c r="R143" t="s">
        <v>1069</v>
      </c>
      <c r="S143">
        <v>2</v>
      </c>
      <c r="T143" t="str">
        <f>IF(Healthcare_Data[[#This Row],[Final_Bill]]&gt;=50000,"High",IF(Healthcare_Data[[#This Row],[Final_Bill]]&gt;=20000,"Medium","low"))</f>
        <v>low</v>
      </c>
    </row>
    <row r="144" spans="1:20" x14ac:dyDescent="0.3">
      <c r="A144" t="s">
        <v>199</v>
      </c>
      <c r="B144">
        <v>45709</v>
      </c>
      <c r="C144" t="s">
        <v>54</v>
      </c>
      <c r="D144" t="s">
        <v>28</v>
      </c>
      <c r="E144" t="s">
        <v>20</v>
      </c>
      <c r="F144" t="s">
        <v>21</v>
      </c>
      <c r="G144">
        <v>72</v>
      </c>
      <c r="H144" t="s">
        <v>56</v>
      </c>
      <c r="I144" t="s">
        <v>23</v>
      </c>
      <c r="J144" t="s">
        <v>31</v>
      </c>
      <c r="K144">
        <v>0</v>
      </c>
      <c r="L144">
        <v>13448</v>
      </c>
      <c r="M144">
        <v>500</v>
      </c>
      <c r="N144">
        <v>12948</v>
      </c>
      <c r="O144" t="s">
        <v>25</v>
      </c>
      <c r="P144">
        <v>4.5999999999999996</v>
      </c>
      <c r="Q144">
        <v>53</v>
      </c>
      <c r="R144" t="s">
        <v>1069</v>
      </c>
      <c r="S144">
        <v>2</v>
      </c>
      <c r="T144" t="str">
        <f>IF(Healthcare_Data[[#This Row],[Final_Bill]]&gt;=50000,"High",IF(Healthcare_Data[[#This Row],[Final_Bill]]&gt;=20000,"Medium","low"))</f>
        <v>low</v>
      </c>
    </row>
    <row r="145" spans="1:20" x14ac:dyDescent="0.3">
      <c r="A145" t="s">
        <v>200</v>
      </c>
      <c r="B145">
        <v>45710</v>
      </c>
      <c r="C145" t="s">
        <v>44</v>
      </c>
      <c r="D145" t="s">
        <v>39</v>
      </c>
      <c r="E145" t="s">
        <v>52</v>
      </c>
      <c r="F145" t="s">
        <v>40</v>
      </c>
      <c r="G145">
        <v>43</v>
      </c>
      <c r="H145" t="s">
        <v>29</v>
      </c>
      <c r="I145" t="s">
        <v>61</v>
      </c>
      <c r="J145" t="s">
        <v>24</v>
      </c>
      <c r="K145">
        <v>5</v>
      </c>
      <c r="L145">
        <v>44414</v>
      </c>
      <c r="M145">
        <v>0</v>
      </c>
      <c r="N145">
        <v>44414</v>
      </c>
      <c r="O145" t="s">
        <v>32</v>
      </c>
      <c r="P145">
        <v>2.6</v>
      </c>
      <c r="Q145">
        <v>18</v>
      </c>
      <c r="R145" t="s">
        <v>1069</v>
      </c>
      <c r="S145">
        <v>2</v>
      </c>
      <c r="T145" t="str">
        <f>IF(Healthcare_Data[[#This Row],[Final_Bill]]&gt;=50000,"High",IF(Healthcare_Data[[#This Row],[Final_Bill]]&gt;=20000,"Medium","low"))</f>
        <v>Medium</v>
      </c>
    </row>
    <row r="146" spans="1:20" x14ac:dyDescent="0.3">
      <c r="A146" t="s">
        <v>201</v>
      </c>
      <c r="B146">
        <v>45710</v>
      </c>
      <c r="C146" t="s">
        <v>27</v>
      </c>
      <c r="D146" t="s">
        <v>34</v>
      </c>
      <c r="E146" t="s">
        <v>20</v>
      </c>
      <c r="F146" t="s">
        <v>40</v>
      </c>
      <c r="G146">
        <v>72</v>
      </c>
      <c r="H146" t="s">
        <v>115</v>
      </c>
      <c r="I146" t="s">
        <v>61</v>
      </c>
      <c r="J146" t="s">
        <v>24</v>
      </c>
      <c r="K146">
        <v>0</v>
      </c>
      <c r="L146">
        <v>17116</v>
      </c>
      <c r="M146">
        <v>500</v>
      </c>
      <c r="N146">
        <v>16616</v>
      </c>
      <c r="O146" t="s">
        <v>25</v>
      </c>
      <c r="P146">
        <v>3.3</v>
      </c>
      <c r="Q146">
        <v>30</v>
      </c>
      <c r="R146" t="s">
        <v>1069</v>
      </c>
      <c r="S146">
        <v>2</v>
      </c>
      <c r="T146" t="str">
        <f>IF(Healthcare_Data[[#This Row],[Final_Bill]]&gt;=50000,"High",IF(Healthcare_Data[[#This Row],[Final_Bill]]&gt;=20000,"Medium","low"))</f>
        <v>low</v>
      </c>
    </row>
    <row r="147" spans="1:20" x14ac:dyDescent="0.3">
      <c r="A147" t="s">
        <v>202</v>
      </c>
      <c r="B147">
        <v>45710</v>
      </c>
      <c r="C147" t="s">
        <v>50</v>
      </c>
      <c r="D147" t="s">
        <v>34</v>
      </c>
      <c r="E147" t="s">
        <v>54</v>
      </c>
      <c r="F147" t="s">
        <v>21</v>
      </c>
      <c r="G147">
        <v>45</v>
      </c>
      <c r="H147" t="s">
        <v>115</v>
      </c>
      <c r="I147" t="s">
        <v>57</v>
      </c>
      <c r="J147" t="s">
        <v>36</v>
      </c>
      <c r="K147">
        <v>0</v>
      </c>
      <c r="L147">
        <v>33761</v>
      </c>
      <c r="M147">
        <v>2000</v>
      </c>
      <c r="N147">
        <v>31761</v>
      </c>
      <c r="O147" t="s">
        <v>25</v>
      </c>
      <c r="P147">
        <v>2.9</v>
      </c>
      <c r="Q147">
        <v>97</v>
      </c>
      <c r="R147" t="s">
        <v>1069</v>
      </c>
      <c r="S147">
        <v>2</v>
      </c>
      <c r="T147" t="str">
        <f>IF(Healthcare_Data[[#This Row],[Final_Bill]]&gt;=50000,"High",IF(Healthcare_Data[[#This Row],[Final_Bill]]&gt;=20000,"Medium","low"))</f>
        <v>Medium</v>
      </c>
    </row>
    <row r="148" spans="1:20" x14ac:dyDescent="0.3">
      <c r="A148" t="s">
        <v>203</v>
      </c>
      <c r="B148">
        <v>45710</v>
      </c>
      <c r="C148" t="s">
        <v>38</v>
      </c>
      <c r="D148" t="s">
        <v>51</v>
      </c>
      <c r="E148" t="s">
        <v>20</v>
      </c>
      <c r="F148" t="s">
        <v>21</v>
      </c>
      <c r="G148">
        <v>46</v>
      </c>
      <c r="H148" t="s">
        <v>29</v>
      </c>
      <c r="I148" t="s">
        <v>57</v>
      </c>
      <c r="J148" t="s">
        <v>36</v>
      </c>
      <c r="K148">
        <v>0</v>
      </c>
      <c r="L148">
        <v>9922</v>
      </c>
      <c r="M148">
        <v>1500</v>
      </c>
      <c r="N148">
        <v>8422</v>
      </c>
      <c r="O148" t="s">
        <v>25</v>
      </c>
      <c r="P148">
        <v>2.7</v>
      </c>
      <c r="Q148">
        <v>117</v>
      </c>
      <c r="R148" t="s">
        <v>1069</v>
      </c>
      <c r="S148">
        <v>2</v>
      </c>
      <c r="T148" t="str">
        <f>IF(Healthcare_Data[[#This Row],[Final_Bill]]&gt;=50000,"High",IF(Healthcare_Data[[#This Row],[Final_Bill]]&gt;=20000,"Medium","low"))</f>
        <v>low</v>
      </c>
    </row>
    <row r="149" spans="1:20" x14ac:dyDescent="0.3">
      <c r="A149" t="s">
        <v>204</v>
      </c>
      <c r="B149">
        <v>45710</v>
      </c>
      <c r="C149" t="s">
        <v>44</v>
      </c>
      <c r="D149" t="s">
        <v>28</v>
      </c>
      <c r="E149" t="s">
        <v>20</v>
      </c>
      <c r="F149" t="s">
        <v>21</v>
      </c>
      <c r="G149">
        <v>73</v>
      </c>
      <c r="H149" t="s">
        <v>46</v>
      </c>
      <c r="I149" t="s">
        <v>30</v>
      </c>
      <c r="J149" t="s">
        <v>24</v>
      </c>
      <c r="K149">
        <v>0</v>
      </c>
      <c r="L149">
        <v>6502</v>
      </c>
      <c r="M149">
        <v>500</v>
      </c>
      <c r="N149">
        <v>6002</v>
      </c>
      <c r="O149" t="s">
        <v>25</v>
      </c>
      <c r="P149">
        <v>3.1</v>
      </c>
      <c r="Q149">
        <v>91</v>
      </c>
      <c r="R149" t="s">
        <v>1069</v>
      </c>
      <c r="S149">
        <v>2</v>
      </c>
      <c r="T149" t="str">
        <f>IF(Healthcare_Data[[#This Row],[Final_Bill]]&gt;=50000,"High",IF(Healthcare_Data[[#This Row],[Final_Bill]]&gt;=20000,"Medium","low"))</f>
        <v>low</v>
      </c>
    </row>
    <row r="150" spans="1:20" x14ac:dyDescent="0.3">
      <c r="A150" t="s">
        <v>205</v>
      </c>
      <c r="B150">
        <v>45710</v>
      </c>
      <c r="C150" t="s">
        <v>27</v>
      </c>
      <c r="D150" t="s">
        <v>34</v>
      </c>
      <c r="E150" t="s">
        <v>52</v>
      </c>
      <c r="F150" t="s">
        <v>40</v>
      </c>
      <c r="G150">
        <v>53</v>
      </c>
      <c r="H150" t="s">
        <v>22</v>
      </c>
      <c r="I150" t="s">
        <v>23</v>
      </c>
      <c r="J150" t="s">
        <v>58</v>
      </c>
      <c r="K150">
        <v>3</v>
      </c>
      <c r="L150">
        <v>63777</v>
      </c>
      <c r="M150">
        <v>1000</v>
      </c>
      <c r="N150">
        <v>62777</v>
      </c>
      <c r="O150" t="s">
        <v>32</v>
      </c>
      <c r="P150">
        <v>4.0999999999999996</v>
      </c>
      <c r="Q150">
        <v>56</v>
      </c>
      <c r="R150" t="s">
        <v>1069</v>
      </c>
      <c r="S150">
        <v>2</v>
      </c>
      <c r="T150" t="str">
        <f>IF(Healthcare_Data[[#This Row],[Final_Bill]]&gt;=50000,"High",IF(Healthcare_Data[[#This Row],[Final_Bill]]&gt;=20000,"Medium","low"))</f>
        <v>High</v>
      </c>
    </row>
    <row r="151" spans="1:20" x14ac:dyDescent="0.3">
      <c r="A151" t="s">
        <v>206</v>
      </c>
      <c r="B151">
        <v>45710</v>
      </c>
      <c r="C151" t="s">
        <v>54</v>
      </c>
      <c r="D151" t="s">
        <v>34</v>
      </c>
      <c r="E151" t="s">
        <v>20</v>
      </c>
      <c r="F151" t="s">
        <v>40</v>
      </c>
      <c r="G151">
        <v>67</v>
      </c>
      <c r="H151" t="s">
        <v>22</v>
      </c>
      <c r="I151" t="s">
        <v>61</v>
      </c>
      <c r="J151" t="s">
        <v>36</v>
      </c>
      <c r="K151">
        <v>0</v>
      </c>
      <c r="L151">
        <v>2961</v>
      </c>
      <c r="M151">
        <v>500</v>
      </c>
      <c r="N151">
        <v>2461</v>
      </c>
      <c r="O151" t="s">
        <v>25</v>
      </c>
      <c r="P151" t="s">
        <v>1057</v>
      </c>
      <c r="Q151">
        <v>37</v>
      </c>
      <c r="R151" t="s">
        <v>1069</v>
      </c>
      <c r="S151">
        <v>2</v>
      </c>
      <c r="T151" t="str">
        <f>IF(Healthcare_Data[[#This Row],[Final_Bill]]&gt;=50000,"High",IF(Healthcare_Data[[#This Row],[Final_Bill]]&gt;=20000,"Medium","low"))</f>
        <v>low</v>
      </c>
    </row>
    <row r="152" spans="1:20" x14ac:dyDescent="0.3">
      <c r="A152" t="s">
        <v>207</v>
      </c>
      <c r="B152">
        <v>45711</v>
      </c>
      <c r="C152" t="s">
        <v>48</v>
      </c>
      <c r="D152" t="s">
        <v>28</v>
      </c>
      <c r="E152" t="s">
        <v>20</v>
      </c>
      <c r="F152" t="s">
        <v>21</v>
      </c>
      <c r="G152">
        <v>45</v>
      </c>
      <c r="H152" t="s">
        <v>22</v>
      </c>
      <c r="I152" t="s">
        <v>61</v>
      </c>
      <c r="J152" t="s">
        <v>24</v>
      </c>
      <c r="K152">
        <v>0</v>
      </c>
      <c r="L152">
        <v>15370</v>
      </c>
      <c r="M152">
        <v>500</v>
      </c>
      <c r="N152">
        <v>14870</v>
      </c>
      <c r="O152" t="s">
        <v>25</v>
      </c>
      <c r="P152">
        <v>3.4</v>
      </c>
      <c r="Q152">
        <v>64</v>
      </c>
      <c r="R152" t="s">
        <v>1069</v>
      </c>
      <c r="S152">
        <v>2</v>
      </c>
      <c r="T152" t="str">
        <f>IF(Healthcare_Data[[#This Row],[Final_Bill]]&gt;=50000,"High",IF(Healthcare_Data[[#This Row],[Final_Bill]]&gt;=20000,"Medium","low"))</f>
        <v>low</v>
      </c>
    </row>
    <row r="153" spans="1:20" x14ac:dyDescent="0.3">
      <c r="A153" t="s">
        <v>208</v>
      </c>
      <c r="B153">
        <v>45711</v>
      </c>
      <c r="C153" t="s">
        <v>50</v>
      </c>
      <c r="D153" t="s">
        <v>19</v>
      </c>
      <c r="E153" t="s">
        <v>20</v>
      </c>
      <c r="F153" t="s">
        <v>40</v>
      </c>
      <c r="G153">
        <v>55</v>
      </c>
      <c r="H153" t="s">
        <v>22</v>
      </c>
      <c r="I153" t="s">
        <v>42</v>
      </c>
      <c r="J153" t="s">
        <v>24</v>
      </c>
      <c r="K153">
        <v>0</v>
      </c>
      <c r="L153">
        <v>7204</v>
      </c>
      <c r="M153">
        <v>500</v>
      </c>
      <c r="N153">
        <v>6704</v>
      </c>
      <c r="O153" t="s">
        <v>25</v>
      </c>
      <c r="P153">
        <v>2.8</v>
      </c>
      <c r="Q153">
        <v>18</v>
      </c>
      <c r="R153" t="s">
        <v>1069</v>
      </c>
      <c r="S153">
        <v>2</v>
      </c>
      <c r="T153" t="str">
        <f>IF(Healthcare_Data[[#This Row],[Final_Bill]]&gt;=50000,"High",IF(Healthcare_Data[[#This Row],[Final_Bill]]&gt;=20000,"Medium","low"))</f>
        <v>low</v>
      </c>
    </row>
    <row r="154" spans="1:20" x14ac:dyDescent="0.3">
      <c r="A154" t="s">
        <v>209</v>
      </c>
      <c r="B154">
        <v>45711</v>
      </c>
      <c r="C154" t="s">
        <v>48</v>
      </c>
      <c r="D154" t="s">
        <v>51</v>
      </c>
      <c r="E154" t="s">
        <v>52</v>
      </c>
      <c r="F154" t="s">
        <v>40</v>
      </c>
      <c r="G154">
        <v>74</v>
      </c>
      <c r="H154" t="s">
        <v>65</v>
      </c>
      <c r="I154" t="s">
        <v>57</v>
      </c>
      <c r="J154" t="s">
        <v>58</v>
      </c>
      <c r="K154">
        <v>8</v>
      </c>
      <c r="L154">
        <v>56833</v>
      </c>
      <c r="M154">
        <v>0</v>
      </c>
      <c r="N154">
        <v>56833</v>
      </c>
      <c r="O154" t="s">
        <v>59</v>
      </c>
      <c r="P154">
        <v>4.8</v>
      </c>
      <c r="Q154">
        <v>26</v>
      </c>
      <c r="R154" t="s">
        <v>1069</v>
      </c>
      <c r="S154">
        <v>2</v>
      </c>
      <c r="T154" t="str">
        <f>IF(Healthcare_Data[[#This Row],[Final_Bill]]&gt;=50000,"High",IF(Healthcare_Data[[#This Row],[Final_Bill]]&gt;=20000,"Medium","low"))</f>
        <v>High</v>
      </c>
    </row>
    <row r="155" spans="1:20" x14ac:dyDescent="0.3">
      <c r="A155" t="s">
        <v>210</v>
      </c>
      <c r="B155">
        <v>45711</v>
      </c>
      <c r="C155" t="s">
        <v>27</v>
      </c>
      <c r="D155" t="s">
        <v>34</v>
      </c>
      <c r="E155" t="s">
        <v>52</v>
      </c>
      <c r="F155" t="s">
        <v>40</v>
      </c>
      <c r="G155">
        <v>66</v>
      </c>
      <c r="H155" t="s">
        <v>56</v>
      </c>
      <c r="I155" t="s">
        <v>57</v>
      </c>
      <c r="J155" t="s">
        <v>24</v>
      </c>
      <c r="K155">
        <v>4</v>
      </c>
      <c r="L155">
        <v>53562</v>
      </c>
      <c r="M155">
        <v>0</v>
      </c>
      <c r="N155">
        <v>53562</v>
      </c>
      <c r="O155" t="s">
        <v>25</v>
      </c>
      <c r="P155">
        <v>4.8</v>
      </c>
      <c r="Q155">
        <v>91</v>
      </c>
      <c r="R155" t="s">
        <v>1069</v>
      </c>
      <c r="S155">
        <v>2</v>
      </c>
      <c r="T155" t="str">
        <f>IF(Healthcare_Data[[#This Row],[Final_Bill]]&gt;=50000,"High",IF(Healthcare_Data[[#This Row],[Final_Bill]]&gt;=20000,"Medium","low"))</f>
        <v>High</v>
      </c>
    </row>
    <row r="156" spans="1:20" x14ac:dyDescent="0.3">
      <c r="A156" t="s">
        <v>211</v>
      </c>
      <c r="B156">
        <v>45711</v>
      </c>
      <c r="C156" t="s">
        <v>18</v>
      </c>
      <c r="D156" t="s">
        <v>39</v>
      </c>
      <c r="E156" t="s">
        <v>20</v>
      </c>
      <c r="F156" t="s">
        <v>21</v>
      </c>
      <c r="G156">
        <v>25</v>
      </c>
      <c r="H156" t="s">
        <v>41</v>
      </c>
      <c r="I156" t="s">
        <v>63</v>
      </c>
      <c r="J156" t="s">
        <v>24</v>
      </c>
      <c r="K156">
        <v>0</v>
      </c>
      <c r="L156">
        <v>11607</v>
      </c>
      <c r="M156">
        <v>2000</v>
      </c>
      <c r="N156">
        <v>9607</v>
      </c>
      <c r="O156" t="s">
        <v>25</v>
      </c>
      <c r="P156">
        <v>4.2</v>
      </c>
      <c r="Q156">
        <v>99</v>
      </c>
      <c r="R156" t="s">
        <v>1069</v>
      </c>
      <c r="S156">
        <v>2</v>
      </c>
      <c r="T156" t="str">
        <f>IF(Healthcare_Data[[#This Row],[Final_Bill]]&gt;=50000,"High",IF(Healthcare_Data[[#This Row],[Final_Bill]]&gt;=20000,"Medium","low"))</f>
        <v>low</v>
      </c>
    </row>
    <row r="157" spans="1:20" x14ac:dyDescent="0.3">
      <c r="A157" t="s">
        <v>212</v>
      </c>
      <c r="B157">
        <v>45711</v>
      </c>
      <c r="C157" t="s">
        <v>50</v>
      </c>
      <c r="D157" t="s">
        <v>28</v>
      </c>
      <c r="E157" t="s">
        <v>20</v>
      </c>
      <c r="F157" t="s">
        <v>21</v>
      </c>
      <c r="G157">
        <v>54</v>
      </c>
      <c r="H157" t="s">
        <v>22</v>
      </c>
      <c r="I157" t="s">
        <v>72</v>
      </c>
      <c r="J157" t="s">
        <v>36</v>
      </c>
      <c r="K157">
        <v>0</v>
      </c>
      <c r="L157">
        <v>2160</v>
      </c>
      <c r="M157">
        <v>2000</v>
      </c>
      <c r="N157">
        <v>160</v>
      </c>
      <c r="O157" t="s">
        <v>25</v>
      </c>
      <c r="P157">
        <v>2.8</v>
      </c>
      <c r="Q157">
        <v>25</v>
      </c>
      <c r="R157" t="s">
        <v>1069</v>
      </c>
      <c r="S157">
        <v>2</v>
      </c>
      <c r="T157" t="str">
        <f>IF(Healthcare_Data[[#This Row],[Final_Bill]]&gt;=50000,"High",IF(Healthcare_Data[[#This Row],[Final_Bill]]&gt;=20000,"Medium","low"))</f>
        <v>low</v>
      </c>
    </row>
    <row r="158" spans="1:20" x14ac:dyDescent="0.3">
      <c r="A158" t="s">
        <v>213</v>
      </c>
      <c r="B158">
        <v>45711</v>
      </c>
      <c r="C158" t="s">
        <v>50</v>
      </c>
      <c r="D158" t="s">
        <v>51</v>
      </c>
      <c r="E158" t="s">
        <v>20</v>
      </c>
      <c r="F158" t="s">
        <v>21</v>
      </c>
      <c r="G158">
        <v>25</v>
      </c>
      <c r="H158" t="s">
        <v>22</v>
      </c>
      <c r="I158" t="s">
        <v>63</v>
      </c>
      <c r="J158" t="s">
        <v>58</v>
      </c>
      <c r="K158">
        <v>0</v>
      </c>
      <c r="L158">
        <v>11109</v>
      </c>
      <c r="M158">
        <v>1000</v>
      </c>
      <c r="N158">
        <v>10109</v>
      </c>
      <c r="O158" t="s">
        <v>25</v>
      </c>
      <c r="P158">
        <v>3.7</v>
      </c>
      <c r="Q158">
        <v>89</v>
      </c>
      <c r="R158" t="s">
        <v>1069</v>
      </c>
      <c r="S158">
        <v>2</v>
      </c>
      <c r="T158" t="str">
        <f>IF(Healthcare_Data[[#This Row],[Final_Bill]]&gt;=50000,"High",IF(Healthcare_Data[[#This Row],[Final_Bill]]&gt;=20000,"Medium","low"))</f>
        <v>low</v>
      </c>
    </row>
    <row r="159" spans="1:20" x14ac:dyDescent="0.3">
      <c r="A159" t="s">
        <v>214</v>
      </c>
      <c r="B159">
        <v>45712</v>
      </c>
      <c r="C159" t="s">
        <v>18</v>
      </c>
      <c r="D159" t="s">
        <v>51</v>
      </c>
      <c r="E159" t="s">
        <v>20</v>
      </c>
      <c r="F159" t="s">
        <v>21</v>
      </c>
      <c r="G159">
        <v>66</v>
      </c>
      <c r="H159" t="s">
        <v>46</v>
      </c>
      <c r="I159" t="s">
        <v>61</v>
      </c>
      <c r="J159" t="s">
        <v>24</v>
      </c>
      <c r="K159">
        <v>0</v>
      </c>
      <c r="L159">
        <v>8053</v>
      </c>
      <c r="M159">
        <v>0</v>
      </c>
      <c r="N159">
        <v>8053</v>
      </c>
      <c r="O159" t="s">
        <v>25</v>
      </c>
      <c r="P159">
        <v>5</v>
      </c>
      <c r="Q159">
        <v>86</v>
      </c>
      <c r="R159" t="s">
        <v>1069</v>
      </c>
      <c r="S159">
        <v>2</v>
      </c>
      <c r="T159" t="str">
        <f>IF(Healthcare_Data[[#This Row],[Final_Bill]]&gt;=50000,"High",IF(Healthcare_Data[[#This Row],[Final_Bill]]&gt;=20000,"Medium","low"))</f>
        <v>low</v>
      </c>
    </row>
    <row r="160" spans="1:20" x14ac:dyDescent="0.3">
      <c r="A160" t="s">
        <v>215</v>
      </c>
      <c r="B160">
        <v>45713</v>
      </c>
      <c r="C160" t="s">
        <v>18</v>
      </c>
      <c r="D160" t="s">
        <v>28</v>
      </c>
      <c r="E160" t="s">
        <v>20</v>
      </c>
      <c r="F160" t="s">
        <v>21</v>
      </c>
      <c r="G160">
        <v>47</v>
      </c>
      <c r="H160" t="s">
        <v>46</v>
      </c>
      <c r="I160" t="s">
        <v>72</v>
      </c>
      <c r="J160" t="s">
        <v>24</v>
      </c>
      <c r="K160">
        <v>0</v>
      </c>
      <c r="L160">
        <v>5027</v>
      </c>
      <c r="M160">
        <v>1000</v>
      </c>
      <c r="N160">
        <v>4027</v>
      </c>
      <c r="O160" t="s">
        <v>59</v>
      </c>
      <c r="P160">
        <v>2.8</v>
      </c>
      <c r="Q160">
        <v>78</v>
      </c>
      <c r="R160" t="s">
        <v>1069</v>
      </c>
      <c r="S160">
        <v>2</v>
      </c>
      <c r="T160" t="str">
        <f>IF(Healthcare_Data[[#This Row],[Final_Bill]]&gt;=50000,"High",IF(Healthcare_Data[[#This Row],[Final_Bill]]&gt;=20000,"Medium","low"))</f>
        <v>low</v>
      </c>
    </row>
    <row r="161" spans="1:20" x14ac:dyDescent="0.3">
      <c r="A161" t="s">
        <v>216</v>
      </c>
      <c r="B161">
        <v>45713</v>
      </c>
      <c r="C161" t="s">
        <v>67</v>
      </c>
      <c r="D161" t="s">
        <v>51</v>
      </c>
      <c r="E161" t="s">
        <v>54</v>
      </c>
      <c r="F161" t="s">
        <v>21</v>
      </c>
      <c r="G161">
        <v>64</v>
      </c>
      <c r="H161" t="s">
        <v>65</v>
      </c>
      <c r="I161" t="s">
        <v>30</v>
      </c>
      <c r="J161" t="s">
        <v>1057</v>
      </c>
      <c r="K161">
        <v>0</v>
      </c>
      <c r="L161">
        <v>21025</v>
      </c>
      <c r="M161">
        <v>500</v>
      </c>
      <c r="N161">
        <v>20525</v>
      </c>
      <c r="O161" t="s">
        <v>25</v>
      </c>
      <c r="P161">
        <v>4.9000000000000004</v>
      </c>
      <c r="Q161">
        <v>100</v>
      </c>
      <c r="R161" t="s">
        <v>1069</v>
      </c>
      <c r="S161">
        <v>2</v>
      </c>
      <c r="T161" t="str">
        <f>IF(Healthcare_Data[[#This Row],[Final_Bill]]&gt;=50000,"High",IF(Healthcare_Data[[#This Row],[Final_Bill]]&gt;=20000,"Medium","low"))</f>
        <v>Medium</v>
      </c>
    </row>
    <row r="162" spans="1:20" x14ac:dyDescent="0.3">
      <c r="A162" t="s">
        <v>217</v>
      </c>
      <c r="B162">
        <v>45714</v>
      </c>
      <c r="C162" t="s">
        <v>44</v>
      </c>
      <c r="D162" t="s">
        <v>19</v>
      </c>
      <c r="E162" t="s">
        <v>20</v>
      </c>
      <c r="F162" t="s">
        <v>40</v>
      </c>
      <c r="G162">
        <v>76</v>
      </c>
      <c r="H162" t="s">
        <v>41</v>
      </c>
      <c r="I162" t="s">
        <v>23</v>
      </c>
      <c r="J162" t="s">
        <v>31</v>
      </c>
      <c r="K162">
        <v>0</v>
      </c>
      <c r="L162">
        <v>8491</v>
      </c>
      <c r="M162">
        <v>0</v>
      </c>
      <c r="N162">
        <v>8491</v>
      </c>
      <c r="O162" t="s">
        <v>25</v>
      </c>
      <c r="P162">
        <v>4</v>
      </c>
      <c r="Q162">
        <v>11</v>
      </c>
      <c r="R162" t="s">
        <v>1069</v>
      </c>
      <c r="S162">
        <v>2</v>
      </c>
      <c r="T162" t="str">
        <f>IF(Healthcare_Data[[#This Row],[Final_Bill]]&gt;=50000,"High",IF(Healthcare_Data[[#This Row],[Final_Bill]]&gt;=20000,"Medium","low"))</f>
        <v>low</v>
      </c>
    </row>
    <row r="163" spans="1:20" x14ac:dyDescent="0.3">
      <c r="A163" t="s">
        <v>218</v>
      </c>
      <c r="B163">
        <v>45715</v>
      </c>
      <c r="C163" t="s">
        <v>18</v>
      </c>
      <c r="D163" t="s">
        <v>28</v>
      </c>
      <c r="E163" t="s">
        <v>20</v>
      </c>
      <c r="F163" t="s">
        <v>40</v>
      </c>
      <c r="G163">
        <v>64</v>
      </c>
      <c r="H163" t="s">
        <v>35</v>
      </c>
      <c r="I163" t="s">
        <v>61</v>
      </c>
      <c r="J163" t="s">
        <v>24</v>
      </c>
      <c r="K163">
        <v>0</v>
      </c>
      <c r="L163">
        <v>5098</v>
      </c>
      <c r="M163">
        <v>0</v>
      </c>
      <c r="N163">
        <v>5098</v>
      </c>
      <c r="O163" t="s">
        <v>25</v>
      </c>
      <c r="P163">
        <v>4.5</v>
      </c>
      <c r="Q163">
        <v>5</v>
      </c>
      <c r="R163" t="s">
        <v>1069</v>
      </c>
      <c r="S163">
        <v>2</v>
      </c>
      <c r="T163" t="str">
        <f>IF(Healthcare_Data[[#This Row],[Final_Bill]]&gt;=50000,"High",IF(Healthcare_Data[[#This Row],[Final_Bill]]&gt;=20000,"Medium","low"))</f>
        <v>low</v>
      </c>
    </row>
    <row r="164" spans="1:20" x14ac:dyDescent="0.3">
      <c r="A164" t="s">
        <v>219</v>
      </c>
      <c r="B164">
        <v>45715</v>
      </c>
      <c r="C164" t="s">
        <v>54</v>
      </c>
      <c r="D164" t="s">
        <v>34</v>
      </c>
      <c r="E164" t="s">
        <v>20</v>
      </c>
      <c r="F164" t="s">
        <v>40</v>
      </c>
      <c r="G164">
        <v>44</v>
      </c>
      <c r="H164" t="s">
        <v>22</v>
      </c>
      <c r="I164" t="s">
        <v>42</v>
      </c>
      <c r="J164" t="s">
        <v>36</v>
      </c>
      <c r="K164">
        <v>0</v>
      </c>
      <c r="L164">
        <v>3257</v>
      </c>
      <c r="M164">
        <v>1500</v>
      </c>
      <c r="N164">
        <v>1757</v>
      </c>
      <c r="O164" t="s">
        <v>25</v>
      </c>
      <c r="P164" t="s">
        <v>1057</v>
      </c>
      <c r="Q164">
        <v>79</v>
      </c>
      <c r="R164" t="s">
        <v>1069</v>
      </c>
      <c r="S164">
        <v>2</v>
      </c>
      <c r="T164" t="str">
        <f>IF(Healthcare_Data[[#This Row],[Final_Bill]]&gt;=50000,"High",IF(Healthcare_Data[[#This Row],[Final_Bill]]&gt;=20000,"Medium","low"))</f>
        <v>low</v>
      </c>
    </row>
    <row r="165" spans="1:20" x14ac:dyDescent="0.3">
      <c r="A165" t="s">
        <v>220</v>
      </c>
      <c r="B165">
        <v>45715</v>
      </c>
      <c r="C165" t="s">
        <v>50</v>
      </c>
      <c r="D165" t="s">
        <v>19</v>
      </c>
      <c r="E165" t="s">
        <v>54</v>
      </c>
      <c r="F165" t="s">
        <v>21</v>
      </c>
      <c r="G165">
        <v>45</v>
      </c>
      <c r="H165" t="s">
        <v>56</v>
      </c>
      <c r="I165" t="s">
        <v>69</v>
      </c>
      <c r="J165" t="s">
        <v>36</v>
      </c>
      <c r="K165">
        <v>0</v>
      </c>
      <c r="L165">
        <v>35757</v>
      </c>
      <c r="M165">
        <v>0</v>
      </c>
      <c r="N165">
        <v>35757</v>
      </c>
      <c r="O165" t="s">
        <v>25</v>
      </c>
      <c r="P165">
        <v>3.7</v>
      </c>
      <c r="Q165">
        <v>14</v>
      </c>
      <c r="R165" t="s">
        <v>1069</v>
      </c>
      <c r="S165">
        <v>2</v>
      </c>
      <c r="T165" t="str">
        <f>IF(Healthcare_Data[[#This Row],[Final_Bill]]&gt;=50000,"High",IF(Healthcare_Data[[#This Row],[Final_Bill]]&gt;=20000,"Medium","low"))</f>
        <v>Medium</v>
      </c>
    </row>
    <row r="166" spans="1:20" x14ac:dyDescent="0.3">
      <c r="A166" t="s">
        <v>221</v>
      </c>
      <c r="B166">
        <v>45715</v>
      </c>
      <c r="C166" t="s">
        <v>50</v>
      </c>
      <c r="D166" t="s">
        <v>28</v>
      </c>
      <c r="E166" t="s">
        <v>20</v>
      </c>
      <c r="F166" t="s">
        <v>21</v>
      </c>
      <c r="G166">
        <v>62</v>
      </c>
      <c r="H166" t="s">
        <v>35</v>
      </c>
      <c r="I166" t="s">
        <v>61</v>
      </c>
      <c r="J166" t="s">
        <v>24</v>
      </c>
      <c r="K166">
        <v>0</v>
      </c>
      <c r="L166">
        <v>9666</v>
      </c>
      <c r="M166">
        <v>500</v>
      </c>
      <c r="N166">
        <v>9166</v>
      </c>
      <c r="O166" t="s">
        <v>25</v>
      </c>
      <c r="P166">
        <v>4.9000000000000004</v>
      </c>
      <c r="Q166">
        <v>53</v>
      </c>
      <c r="R166" t="s">
        <v>1069</v>
      </c>
      <c r="S166">
        <v>2</v>
      </c>
      <c r="T166" t="str">
        <f>IF(Healthcare_Data[[#This Row],[Final_Bill]]&gt;=50000,"High",IF(Healthcare_Data[[#This Row],[Final_Bill]]&gt;=20000,"Medium","low"))</f>
        <v>low</v>
      </c>
    </row>
    <row r="167" spans="1:20" x14ac:dyDescent="0.3">
      <c r="A167" t="s">
        <v>222</v>
      </c>
      <c r="B167">
        <v>45715</v>
      </c>
      <c r="C167" t="s">
        <v>44</v>
      </c>
      <c r="D167" t="s">
        <v>34</v>
      </c>
      <c r="E167" t="s">
        <v>52</v>
      </c>
      <c r="F167" t="s">
        <v>21</v>
      </c>
      <c r="G167">
        <v>35</v>
      </c>
      <c r="H167" t="s">
        <v>46</v>
      </c>
      <c r="I167" t="s">
        <v>63</v>
      </c>
      <c r="J167" t="s">
        <v>24</v>
      </c>
      <c r="K167">
        <v>10</v>
      </c>
      <c r="L167">
        <v>30732</v>
      </c>
      <c r="M167">
        <v>0</v>
      </c>
      <c r="N167">
        <v>30732</v>
      </c>
      <c r="O167" t="s">
        <v>25</v>
      </c>
      <c r="P167">
        <v>3.1</v>
      </c>
      <c r="Q167">
        <v>16</v>
      </c>
      <c r="R167" t="s">
        <v>1069</v>
      </c>
      <c r="S167">
        <v>2</v>
      </c>
      <c r="T167" t="str">
        <f>IF(Healthcare_Data[[#This Row],[Final_Bill]]&gt;=50000,"High",IF(Healthcare_Data[[#This Row],[Final_Bill]]&gt;=20000,"Medium","low"))</f>
        <v>Medium</v>
      </c>
    </row>
    <row r="168" spans="1:20" x14ac:dyDescent="0.3">
      <c r="A168" t="s">
        <v>223</v>
      </c>
      <c r="B168">
        <v>45715</v>
      </c>
      <c r="C168" t="s">
        <v>44</v>
      </c>
      <c r="D168" t="s">
        <v>19</v>
      </c>
      <c r="E168" t="s">
        <v>20</v>
      </c>
      <c r="F168" t="s">
        <v>21</v>
      </c>
      <c r="G168">
        <v>52</v>
      </c>
      <c r="H168" t="s">
        <v>22</v>
      </c>
      <c r="I168" t="s">
        <v>72</v>
      </c>
      <c r="J168" t="s">
        <v>58</v>
      </c>
      <c r="K168">
        <v>0</v>
      </c>
      <c r="L168">
        <v>15679</v>
      </c>
      <c r="M168">
        <v>0</v>
      </c>
      <c r="N168">
        <v>15679</v>
      </c>
      <c r="O168" t="s">
        <v>32</v>
      </c>
      <c r="P168">
        <v>3.8</v>
      </c>
      <c r="Q168">
        <v>49</v>
      </c>
      <c r="R168" t="s">
        <v>1069</v>
      </c>
      <c r="S168">
        <v>2</v>
      </c>
      <c r="T168" t="str">
        <f>IF(Healthcare_Data[[#This Row],[Final_Bill]]&gt;=50000,"High",IF(Healthcare_Data[[#This Row],[Final_Bill]]&gt;=20000,"Medium","low"))</f>
        <v>low</v>
      </c>
    </row>
    <row r="169" spans="1:20" x14ac:dyDescent="0.3">
      <c r="A169" t="s">
        <v>224</v>
      </c>
      <c r="B169">
        <v>45716</v>
      </c>
      <c r="C169" t="s">
        <v>54</v>
      </c>
      <c r="D169" t="s">
        <v>34</v>
      </c>
      <c r="E169" t="s">
        <v>52</v>
      </c>
      <c r="F169" t="s">
        <v>40</v>
      </c>
      <c r="G169">
        <v>47</v>
      </c>
      <c r="H169" t="s">
        <v>65</v>
      </c>
      <c r="I169" t="s">
        <v>57</v>
      </c>
      <c r="J169" t="s">
        <v>24</v>
      </c>
      <c r="K169">
        <v>13</v>
      </c>
      <c r="L169">
        <v>22396</v>
      </c>
      <c r="M169">
        <v>1500</v>
      </c>
      <c r="N169">
        <v>20896</v>
      </c>
      <c r="O169" t="s">
        <v>59</v>
      </c>
      <c r="P169">
        <v>3.6</v>
      </c>
      <c r="Q169">
        <v>12</v>
      </c>
      <c r="R169" t="s">
        <v>1069</v>
      </c>
      <c r="S169">
        <v>2</v>
      </c>
      <c r="T169" t="str">
        <f>IF(Healthcare_Data[[#This Row],[Final_Bill]]&gt;=50000,"High",IF(Healthcare_Data[[#This Row],[Final_Bill]]&gt;=20000,"Medium","low"))</f>
        <v>Medium</v>
      </c>
    </row>
    <row r="170" spans="1:20" x14ac:dyDescent="0.3">
      <c r="A170" t="s">
        <v>225</v>
      </c>
      <c r="B170">
        <v>45717</v>
      </c>
      <c r="C170" t="s">
        <v>67</v>
      </c>
      <c r="D170" t="s">
        <v>19</v>
      </c>
      <c r="E170" t="s">
        <v>52</v>
      </c>
      <c r="F170" t="s">
        <v>21</v>
      </c>
      <c r="G170">
        <v>54</v>
      </c>
      <c r="H170" t="s">
        <v>46</v>
      </c>
      <c r="I170" t="s">
        <v>57</v>
      </c>
      <c r="J170" t="s">
        <v>31</v>
      </c>
      <c r="K170">
        <v>7</v>
      </c>
      <c r="L170">
        <v>27047</v>
      </c>
      <c r="M170">
        <v>0</v>
      </c>
      <c r="N170">
        <v>27047</v>
      </c>
      <c r="O170" t="s">
        <v>25</v>
      </c>
      <c r="P170">
        <v>4.9000000000000004</v>
      </c>
      <c r="Q170">
        <v>31</v>
      </c>
      <c r="R170" t="s">
        <v>1070</v>
      </c>
      <c r="S170">
        <v>3</v>
      </c>
      <c r="T170" t="str">
        <f>IF(Healthcare_Data[[#This Row],[Final_Bill]]&gt;=50000,"High",IF(Healthcare_Data[[#This Row],[Final_Bill]]&gt;=20000,"Medium","low"))</f>
        <v>Medium</v>
      </c>
    </row>
    <row r="171" spans="1:20" x14ac:dyDescent="0.3">
      <c r="A171" t="s">
        <v>226</v>
      </c>
      <c r="B171">
        <v>45717</v>
      </c>
      <c r="C171" t="s">
        <v>38</v>
      </c>
      <c r="D171" t="s">
        <v>19</v>
      </c>
      <c r="E171" t="s">
        <v>20</v>
      </c>
      <c r="F171" t="s">
        <v>40</v>
      </c>
      <c r="G171">
        <v>67</v>
      </c>
      <c r="H171" t="s">
        <v>46</v>
      </c>
      <c r="I171" t="s">
        <v>63</v>
      </c>
      <c r="J171" t="s">
        <v>58</v>
      </c>
      <c r="K171">
        <v>0</v>
      </c>
      <c r="L171">
        <v>5877</v>
      </c>
      <c r="M171">
        <v>500</v>
      </c>
      <c r="N171">
        <v>5377</v>
      </c>
      <c r="O171" t="s">
        <v>25</v>
      </c>
      <c r="P171">
        <v>4.9000000000000004</v>
      </c>
      <c r="Q171">
        <v>112</v>
      </c>
      <c r="R171" t="s">
        <v>1070</v>
      </c>
      <c r="S171">
        <v>3</v>
      </c>
      <c r="T171" t="str">
        <f>IF(Healthcare_Data[[#This Row],[Final_Bill]]&gt;=50000,"High",IF(Healthcare_Data[[#This Row],[Final_Bill]]&gt;=20000,"Medium","low"))</f>
        <v>low</v>
      </c>
    </row>
    <row r="172" spans="1:20" x14ac:dyDescent="0.3">
      <c r="A172" t="s">
        <v>227</v>
      </c>
      <c r="B172">
        <v>45718</v>
      </c>
      <c r="C172" t="s">
        <v>67</v>
      </c>
      <c r="D172" t="s">
        <v>28</v>
      </c>
      <c r="E172" t="s">
        <v>52</v>
      </c>
      <c r="F172" t="s">
        <v>21</v>
      </c>
      <c r="G172">
        <v>45</v>
      </c>
      <c r="H172" t="s">
        <v>46</v>
      </c>
      <c r="I172" t="s">
        <v>69</v>
      </c>
      <c r="J172" t="s">
        <v>58</v>
      </c>
      <c r="K172">
        <v>10</v>
      </c>
      <c r="L172">
        <v>51135</v>
      </c>
      <c r="M172">
        <v>2000</v>
      </c>
      <c r="N172">
        <v>49135</v>
      </c>
      <c r="O172" t="s">
        <v>25</v>
      </c>
      <c r="P172">
        <v>4.2</v>
      </c>
      <c r="Q172">
        <v>26</v>
      </c>
      <c r="R172" t="s">
        <v>1070</v>
      </c>
      <c r="S172">
        <v>3</v>
      </c>
      <c r="T172" t="str">
        <f>IF(Healthcare_Data[[#This Row],[Final_Bill]]&gt;=50000,"High",IF(Healthcare_Data[[#This Row],[Final_Bill]]&gt;=20000,"Medium","low"))</f>
        <v>Medium</v>
      </c>
    </row>
    <row r="173" spans="1:20" x14ac:dyDescent="0.3">
      <c r="A173" t="s">
        <v>228</v>
      </c>
      <c r="B173">
        <v>45718</v>
      </c>
      <c r="C173" t="s">
        <v>38</v>
      </c>
      <c r="D173" t="s">
        <v>34</v>
      </c>
      <c r="E173" t="s">
        <v>20</v>
      </c>
      <c r="F173" t="s">
        <v>21</v>
      </c>
      <c r="G173">
        <v>18</v>
      </c>
      <c r="H173" t="s">
        <v>35</v>
      </c>
      <c r="I173" t="s">
        <v>23</v>
      </c>
      <c r="J173" t="s">
        <v>31</v>
      </c>
      <c r="K173">
        <v>0</v>
      </c>
      <c r="L173">
        <v>7397</v>
      </c>
      <c r="M173">
        <v>1000</v>
      </c>
      <c r="N173">
        <v>6397</v>
      </c>
      <c r="O173" t="s">
        <v>25</v>
      </c>
      <c r="P173">
        <v>4.4000000000000004</v>
      </c>
      <c r="Q173">
        <v>100</v>
      </c>
      <c r="R173" t="s">
        <v>1070</v>
      </c>
      <c r="S173">
        <v>3</v>
      </c>
      <c r="T173" t="str">
        <f>IF(Healthcare_Data[[#This Row],[Final_Bill]]&gt;=50000,"High",IF(Healthcare_Data[[#This Row],[Final_Bill]]&gt;=20000,"Medium","low"))</f>
        <v>low</v>
      </c>
    </row>
    <row r="174" spans="1:20" x14ac:dyDescent="0.3">
      <c r="A174" t="s">
        <v>229</v>
      </c>
      <c r="B174">
        <v>45719</v>
      </c>
      <c r="C174" t="s">
        <v>38</v>
      </c>
      <c r="D174" t="s">
        <v>34</v>
      </c>
      <c r="E174" t="s">
        <v>52</v>
      </c>
      <c r="F174" t="s">
        <v>40</v>
      </c>
      <c r="G174">
        <v>35</v>
      </c>
      <c r="H174" t="s">
        <v>29</v>
      </c>
      <c r="I174" t="s">
        <v>57</v>
      </c>
      <c r="J174" t="s">
        <v>58</v>
      </c>
      <c r="K174">
        <v>10</v>
      </c>
      <c r="L174">
        <v>20206</v>
      </c>
      <c r="M174">
        <v>0</v>
      </c>
      <c r="N174">
        <v>20206</v>
      </c>
      <c r="O174" t="s">
        <v>32</v>
      </c>
      <c r="P174">
        <v>4.5999999999999996</v>
      </c>
      <c r="Q174">
        <v>106</v>
      </c>
      <c r="R174" t="s">
        <v>1070</v>
      </c>
      <c r="S174">
        <v>3</v>
      </c>
      <c r="T174" t="str">
        <f>IF(Healthcare_Data[[#This Row],[Final_Bill]]&gt;=50000,"High",IF(Healthcare_Data[[#This Row],[Final_Bill]]&gt;=20000,"Medium","low"))</f>
        <v>Medium</v>
      </c>
    </row>
    <row r="175" spans="1:20" x14ac:dyDescent="0.3">
      <c r="A175" t="s">
        <v>230</v>
      </c>
      <c r="B175">
        <v>45719</v>
      </c>
      <c r="C175" t="s">
        <v>54</v>
      </c>
      <c r="D175" t="s">
        <v>28</v>
      </c>
      <c r="E175" t="s">
        <v>20</v>
      </c>
      <c r="F175" t="s">
        <v>21</v>
      </c>
      <c r="G175">
        <v>57</v>
      </c>
      <c r="H175" t="s">
        <v>65</v>
      </c>
      <c r="I175" t="s">
        <v>63</v>
      </c>
      <c r="J175" t="s">
        <v>31</v>
      </c>
      <c r="K175">
        <v>0</v>
      </c>
      <c r="L175">
        <v>17578</v>
      </c>
      <c r="M175">
        <v>0</v>
      </c>
      <c r="N175">
        <v>17578</v>
      </c>
      <c r="O175" t="s">
        <v>32</v>
      </c>
      <c r="P175">
        <v>4.0999999999999996</v>
      </c>
      <c r="Q175">
        <v>13</v>
      </c>
      <c r="R175" t="s">
        <v>1070</v>
      </c>
      <c r="S175">
        <v>3</v>
      </c>
      <c r="T175" t="str">
        <f>IF(Healthcare_Data[[#This Row],[Final_Bill]]&gt;=50000,"High",IF(Healthcare_Data[[#This Row],[Final_Bill]]&gt;=20000,"Medium","low"))</f>
        <v>low</v>
      </c>
    </row>
    <row r="176" spans="1:20" x14ac:dyDescent="0.3">
      <c r="A176" t="s">
        <v>231</v>
      </c>
      <c r="B176">
        <v>45719</v>
      </c>
      <c r="C176" t="s">
        <v>38</v>
      </c>
      <c r="D176" t="s">
        <v>51</v>
      </c>
      <c r="E176" t="s">
        <v>52</v>
      </c>
      <c r="F176" t="s">
        <v>21</v>
      </c>
      <c r="G176">
        <v>54</v>
      </c>
      <c r="H176" t="s">
        <v>35</v>
      </c>
      <c r="I176" t="s">
        <v>69</v>
      </c>
      <c r="J176" t="s">
        <v>58</v>
      </c>
      <c r="K176">
        <v>13</v>
      </c>
      <c r="L176">
        <v>47848</v>
      </c>
      <c r="M176">
        <v>0</v>
      </c>
      <c r="N176">
        <v>47848</v>
      </c>
      <c r="O176" t="s">
        <v>25</v>
      </c>
      <c r="P176">
        <v>2.9</v>
      </c>
      <c r="Q176">
        <v>113</v>
      </c>
      <c r="R176" t="s">
        <v>1070</v>
      </c>
      <c r="S176">
        <v>3</v>
      </c>
      <c r="T176" t="str">
        <f>IF(Healthcare_Data[[#This Row],[Final_Bill]]&gt;=50000,"High",IF(Healthcare_Data[[#This Row],[Final_Bill]]&gt;=20000,"Medium","low"))</f>
        <v>Medium</v>
      </c>
    </row>
    <row r="177" spans="1:20" x14ac:dyDescent="0.3">
      <c r="A177" t="s">
        <v>232</v>
      </c>
      <c r="B177">
        <v>45719</v>
      </c>
      <c r="C177" t="s">
        <v>27</v>
      </c>
      <c r="D177" t="s">
        <v>28</v>
      </c>
      <c r="E177" t="s">
        <v>20</v>
      </c>
      <c r="F177" t="s">
        <v>21</v>
      </c>
      <c r="G177">
        <v>41</v>
      </c>
      <c r="H177" t="s">
        <v>41</v>
      </c>
      <c r="I177" t="s">
        <v>57</v>
      </c>
      <c r="J177" t="s">
        <v>24</v>
      </c>
      <c r="K177">
        <v>0</v>
      </c>
      <c r="L177">
        <v>7164</v>
      </c>
      <c r="M177">
        <v>0</v>
      </c>
      <c r="N177">
        <v>7164</v>
      </c>
      <c r="O177" t="s">
        <v>25</v>
      </c>
      <c r="P177">
        <v>3.4</v>
      </c>
      <c r="Q177">
        <v>7</v>
      </c>
      <c r="R177" t="s">
        <v>1070</v>
      </c>
      <c r="S177">
        <v>3</v>
      </c>
      <c r="T177" t="str">
        <f>IF(Healthcare_Data[[#This Row],[Final_Bill]]&gt;=50000,"High",IF(Healthcare_Data[[#This Row],[Final_Bill]]&gt;=20000,"Medium","low"))</f>
        <v>low</v>
      </c>
    </row>
    <row r="178" spans="1:20" x14ac:dyDescent="0.3">
      <c r="A178" t="s">
        <v>233</v>
      </c>
      <c r="B178">
        <v>45720</v>
      </c>
      <c r="C178" t="s">
        <v>44</v>
      </c>
      <c r="D178" t="s">
        <v>19</v>
      </c>
      <c r="E178" t="s">
        <v>20</v>
      </c>
      <c r="F178" t="s">
        <v>21</v>
      </c>
      <c r="G178">
        <v>40</v>
      </c>
      <c r="H178" t="s">
        <v>22</v>
      </c>
      <c r="I178" t="s">
        <v>23</v>
      </c>
      <c r="J178" t="s">
        <v>31</v>
      </c>
      <c r="K178">
        <v>0</v>
      </c>
      <c r="L178">
        <v>17620</v>
      </c>
      <c r="M178">
        <v>0</v>
      </c>
      <c r="N178">
        <v>17620</v>
      </c>
      <c r="O178" t="s">
        <v>25</v>
      </c>
      <c r="P178">
        <v>4.9000000000000004</v>
      </c>
      <c r="Q178">
        <v>110</v>
      </c>
      <c r="R178" t="s">
        <v>1070</v>
      </c>
      <c r="S178">
        <v>3</v>
      </c>
      <c r="T178" t="str">
        <f>IF(Healthcare_Data[[#This Row],[Final_Bill]]&gt;=50000,"High",IF(Healthcare_Data[[#This Row],[Final_Bill]]&gt;=20000,"Medium","low"))</f>
        <v>low</v>
      </c>
    </row>
    <row r="179" spans="1:20" x14ac:dyDescent="0.3">
      <c r="A179" t="s">
        <v>234</v>
      </c>
      <c r="B179">
        <v>45720</v>
      </c>
      <c r="C179" t="s">
        <v>48</v>
      </c>
      <c r="D179" t="s">
        <v>34</v>
      </c>
      <c r="E179" t="s">
        <v>20</v>
      </c>
      <c r="F179" t="s">
        <v>40</v>
      </c>
      <c r="G179">
        <v>19</v>
      </c>
      <c r="H179" t="s">
        <v>22</v>
      </c>
      <c r="I179" t="s">
        <v>42</v>
      </c>
      <c r="J179" t="s">
        <v>24</v>
      </c>
      <c r="K179">
        <v>0</v>
      </c>
      <c r="L179">
        <v>13325</v>
      </c>
      <c r="M179">
        <v>0</v>
      </c>
      <c r="N179">
        <v>13325</v>
      </c>
      <c r="O179" t="s">
        <v>25</v>
      </c>
      <c r="P179">
        <v>3.2</v>
      </c>
      <c r="Q179">
        <v>44</v>
      </c>
      <c r="R179" t="s">
        <v>1070</v>
      </c>
      <c r="S179">
        <v>3</v>
      </c>
      <c r="T179" t="str">
        <f>IF(Healthcare_Data[[#This Row],[Final_Bill]]&gt;=50000,"High",IF(Healthcare_Data[[#This Row],[Final_Bill]]&gt;=20000,"Medium","low"))</f>
        <v>low</v>
      </c>
    </row>
    <row r="180" spans="1:20" x14ac:dyDescent="0.3">
      <c r="A180" t="s">
        <v>235</v>
      </c>
      <c r="B180">
        <v>45720</v>
      </c>
      <c r="C180" t="s">
        <v>54</v>
      </c>
      <c r="D180" t="s">
        <v>39</v>
      </c>
      <c r="E180" t="s">
        <v>20</v>
      </c>
      <c r="F180" t="s">
        <v>40</v>
      </c>
      <c r="G180">
        <v>23</v>
      </c>
      <c r="H180" t="s">
        <v>56</v>
      </c>
      <c r="I180" t="s">
        <v>69</v>
      </c>
      <c r="J180" t="s">
        <v>24</v>
      </c>
      <c r="K180">
        <v>0</v>
      </c>
      <c r="L180">
        <v>8732</v>
      </c>
      <c r="M180">
        <v>1000</v>
      </c>
      <c r="N180">
        <v>7732</v>
      </c>
      <c r="O180" t="s">
        <v>59</v>
      </c>
      <c r="P180">
        <v>2.8</v>
      </c>
      <c r="Q180">
        <v>93</v>
      </c>
      <c r="R180" t="s">
        <v>1070</v>
      </c>
      <c r="S180">
        <v>3</v>
      </c>
      <c r="T180" t="str">
        <f>IF(Healthcare_Data[[#This Row],[Final_Bill]]&gt;=50000,"High",IF(Healthcare_Data[[#This Row],[Final_Bill]]&gt;=20000,"Medium","low"))</f>
        <v>low</v>
      </c>
    </row>
    <row r="181" spans="1:20" x14ac:dyDescent="0.3">
      <c r="A181" t="s">
        <v>236</v>
      </c>
      <c r="B181">
        <v>45720</v>
      </c>
      <c r="C181" t="s">
        <v>44</v>
      </c>
      <c r="D181" t="s">
        <v>51</v>
      </c>
      <c r="E181" t="s">
        <v>52</v>
      </c>
      <c r="F181" t="s">
        <v>21</v>
      </c>
      <c r="G181">
        <v>42</v>
      </c>
      <c r="H181" t="s">
        <v>35</v>
      </c>
      <c r="I181" t="s">
        <v>69</v>
      </c>
      <c r="J181" t="s">
        <v>24</v>
      </c>
      <c r="K181">
        <v>6</v>
      </c>
      <c r="L181">
        <v>54032</v>
      </c>
      <c r="M181">
        <v>1000</v>
      </c>
      <c r="N181">
        <v>53032</v>
      </c>
      <c r="O181" t="s">
        <v>32</v>
      </c>
      <c r="P181">
        <v>3.5</v>
      </c>
      <c r="Q181">
        <v>51</v>
      </c>
      <c r="R181" t="s">
        <v>1070</v>
      </c>
      <c r="S181">
        <v>3</v>
      </c>
      <c r="T181" t="str">
        <f>IF(Healthcare_Data[[#This Row],[Final_Bill]]&gt;=50000,"High",IF(Healthcare_Data[[#This Row],[Final_Bill]]&gt;=20000,"Medium","low"))</f>
        <v>High</v>
      </c>
    </row>
    <row r="182" spans="1:20" x14ac:dyDescent="0.3">
      <c r="A182" t="s">
        <v>237</v>
      </c>
      <c r="B182">
        <v>45722</v>
      </c>
      <c r="C182" t="s">
        <v>48</v>
      </c>
      <c r="D182" t="s">
        <v>51</v>
      </c>
      <c r="E182" t="s">
        <v>20</v>
      </c>
      <c r="F182" t="s">
        <v>21</v>
      </c>
      <c r="G182">
        <v>71</v>
      </c>
      <c r="H182" t="s">
        <v>41</v>
      </c>
      <c r="I182" t="s">
        <v>23</v>
      </c>
      <c r="J182" t="s">
        <v>24</v>
      </c>
      <c r="K182">
        <v>0</v>
      </c>
      <c r="L182">
        <v>19298</v>
      </c>
      <c r="M182">
        <v>1000</v>
      </c>
      <c r="N182">
        <v>18298</v>
      </c>
      <c r="O182" t="s">
        <v>32</v>
      </c>
      <c r="P182">
        <v>2.8</v>
      </c>
      <c r="Q182">
        <v>43</v>
      </c>
      <c r="R182" t="s">
        <v>1070</v>
      </c>
      <c r="S182">
        <v>3</v>
      </c>
      <c r="T182" t="str">
        <f>IF(Healthcare_Data[[#This Row],[Final_Bill]]&gt;=50000,"High",IF(Healthcare_Data[[#This Row],[Final_Bill]]&gt;=20000,"Medium","low"))</f>
        <v>low</v>
      </c>
    </row>
    <row r="183" spans="1:20" x14ac:dyDescent="0.3">
      <c r="A183" t="s">
        <v>238</v>
      </c>
      <c r="B183">
        <v>45722</v>
      </c>
      <c r="C183" t="s">
        <v>44</v>
      </c>
      <c r="D183" t="s">
        <v>19</v>
      </c>
      <c r="E183" t="s">
        <v>20</v>
      </c>
      <c r="F183" t="s">
        <v>40</v>
      </c>
      <c r="G183">
        <v>48</v>
      </c>
      <c r="H183" t="s">
        <v>46</v>
      </c>
      <c r="I183" t="s">
        <v>57</v>
      </c>
      <c r="J183" t="s">
        <v>24</v>
      </c>
      <c r="K183">
        <v>0</v>
      </c>
      <c r="L183">
        <v>19550</v>
      </c>
      <c r="M183">
        <v>1500</v>
      </c>
      <c r="N183">
        <v>18050</v>
      </c>
      <c r="O183" t="s">
        <v>25</v>
      </c>
      <c r="P183">
        <v>4.5</v>
      </c>
      <c r="Q183">
        <v>13</v>
      </c>
      <c r="R183" t="s">
        <v>1070</v>
      </c>
      <c r="S183">
        <v>3</v>
      </c>
      <c r="T183" t="str">
        <f>IF(Healthcare_Data[[#This Row],[Final_Bill]]&gt;=50000,"High",IF(Healthcare_Data[[#This Row],[Final_Bill]]&gt;=20000,"Medium","low"))</f>
        <v>low</v>
      </c>
    </row>
    <row r="184" spans="1:20" x14ac:dyDescent="0.3">
      <c r="A184" t="s">
        <v>239</v>
      </c>
      <c r="B184">
        <v>45722</v>
      </c>
      <c r="C184" t="s">
        <v>54</v>
      </c>
      <c r="D184" t="s">
        <v>19</v>
      </c>
      <c r="E184" t="s">
        <v>20</v>
      </c>
      <c r="F184" t="s">
        <v>21</v>
      </c>
      <c r="G184">
        <v>24</v>
      </c>
      <c r="H184" t="s">
        <v>46</v>
      </c>
      <c r="I184" t="s">
        <v>61</v>
      </c>
      <c r="J184" t="s">
        <v>36</v>
      </c>
      <c r="K184">
        <v>0</v>
      </c>
      <c r="L184">
        <v>18606</v>
      </c>
      <c r="M184">
        <v>0</v>
      </c>
      <c r="N184">
        <v>18606</v>
      </c>
      <c r="O184" t="s">
        <v>25</v>
      </c>
      <c r="P184" t="s">
        <v>1057</v>
      </c>
      <c r="Q184">
        <v>66</v>
      </c>
      <c r="R184" t="s">
        <v>1070</v>
      </c>
      <c r="S184">
        <v>3</v>
      </c>
      <c r="T184" t="str">
        <f>IF(Healthcare_Data[[#This Row],[Final_Bill]]&gt;=50000,"High",IF(Healthcare_Data[[#This Row],[Final_Bill]]&gt;=20000,"Medium","low"))</f>
        <v>low</v>
      </c>
    </row>
    <row r="185" spans="1:20" x14ac:dyDescent="0.3">
      <c r="A185" t="s">
        <v>240</v>
      </c>
      <c r="B185">
        <v>45723</v>
      </c>
      <c r="C185" t="s">
        <v>27</v>
      </c>
      <c r="D185" t="s">
        <v>28</v>
      </c>
      <c r="E185" t="s">
        <v>20</v>
      </c>
      <c r="F185" t="s">
        <v>21</v>
      </c>
      <c r="G185">
        <v>43</v>
      </c>
      <c r="H185" t="s">
        <v>115</v>
      </c>
      <c r="I185" t="s">
        <v>72</v>
      </c>
      <c r="J185" t="s">
        <v>36</v>
      </c>
      <c r="K185">
        <v>0</v>
      </c>
      <c r="L185">
        <v>7397</v>
      </c>
      <c r="M185">
        <v>1000</v>
      </c>
      <c r="N185">
        <v>6397</v>
      </c>
      <c r="O185" t="s">
        <v>59</v>
      </c>
      <c r="P185">
        <v>4.2</v>
      </c>
      <c r="Q185">
        <v>91</v>
      </c>
      <c r="R185" t="s">
        <v>1070</v>
      </c>
      <c r="S185">
        <v>3</v>
      </c>
      <c r="T185" t="str">
        <f>IF(Healthcare_Data[[#This Row],[Final_Bill]]&gt;=50000,"High",IF(Healthcare_Data[[#This Row],[Final_Bill]]&gt;=20000,"Medium","low"))</f>
        <v>low</v>
      </c>
    </row>
    <row r="186" spans="1:20" x14ac:dyDescent="0.3">
      <c r="A186" t="s">
        <v>241</v>
      </c>
      <c r="B186">
        <v>45723</v>
      </c>
      <c r="C186" t="s">
        <v>67</v>
      </c>
      <c r="D186" t="s">
        <v>39</v>
      </c>
      <c r="E186" t="s">
        <v>54</v>
      </c>
      <c r="F186" t="s">
        <v>40</v>
      </c>
      <c r="G186">
        <v>56</v>
      </c>
      <c r="H186" t="s">
        <v>115</v>
      </c>
      <c r="I186" t="s">
        <v>61</v>
      </c>
      <c r="J186" t="s">
        <v>24</v>
      </c>
      <c r="K186">
        <v>0</v>
      </c>
      <c r="L186">
        <v>30391</v>
      </c>
      <c r="M186">
        <v>0</v>
      </c>
      <c r="N186">
        <v>30391</v>
      </c>
      <c r="O186" t="s">
        <v>32</v>
      </c>
      <c r="P186">
        <v>3.5</v>
      </c>
      <c r="Q186">
        <v>83</v>
      </c>
      <c r="R186" t="s">
        <v>1070</v>
      </c>
      <c r="S186">
        <v>3</v>
      </c>
      <c r="T186" t="str">
        <f>IF(Healthcare_Data[[#This Row],[Final_Bill]]&gt;=50000,"High",IF(Healthcare_Data[[#This Row],[Final_Bill]]&gt;=20000,"Medium","low"))</f>
        <v>Medium</v>
      </c>
    </row>
    <row r="187" spans="1:20" x14ac:dyDescent="0.3">
      <c r="A187" t="s">
        <v>242</v>
      </c>
      <c r="B187">
        <v>45724</v>
      </c>
      <c r="C187" t="s">
        <v>27</v>
      </c>
      <c r="D187" t="s">
        <v>19</v>
      </c>
      <c r="E187" t="s">
        <v>20</v>
      </c>
      <c r="F187" t="s">
        <v>40</v>
      </c>
      <c r="G187">
        <v>43</v>
      </c>
      <c r="H187" t="s">
        <v>22</v>
      </c>
      <c r="I187" t="s">
        <v>57</v>
      </c>
      <c r="J187" t="s">
        <v>36</v>
      </c>
      <c r="K187">
        <v>0</v>
      </c>
      <c r="L187">
        <v>10613</v>
      </c>
      <c r="M187">
        <v>500</v>
      </c>
      <c r="N187">
        <v>10113</v>
      </c>
      <c r="O187" t="s">
        <v>25</v>
      </c>
      <c r="P187">
        <v>4</v>
      </c>
      <c r="Q187">
        <v>102</v>
      </c>
      <c r="R187" t="s">
        <v>1070</v>
      </c>
      <c r="S187">
        <v>3</v>
      </c>
      <c r="T187" t="str">
        <f>IF(Healthcare_Data[[#This Row],[Final_Bill]]&gt;=50000,"High",IF(Healthcare_Data[[#This Row],[Final_Bill]]&gt;=20000,"Medium","low"))</f>
        <v>low</v>
      </c>
    </row>
    <row r="188" spans="1:20" x14ac:dyDescent="0.3">
      <c r="A188" t="s">
        <v>243</v>
      </c>
      <c r="B188">
        <v>45725</v>
      </c>
      <c r="C188" t="s">
        <v>54</v>
      </c>
      <c r="D188" t="s">
        <v>34</v>
      </c>
      <c r="E188" t="s">
        <v>20</v>
      </c>
      <c r="F188" t="s">
        <v>21</v>
      </c>
      <c r="G188">
        <v>19</v>
      </c>
      <c r="H188" t="s">
        <v>56</v>
      </c>
      <c r="I188" t="s">
        <v>61</v>
      </c>
      <c r="J188" t="s">
        <v>24</v>
      </c>
      <c r="K188">
        <v>0</v>
      </c>
      <c r="L188">
        <v>19253</v>
      </c>
      <c r="M188">
        <v>1000</v>
      </c>
      <c r="N188">
        <v>18253</v>
      </c>
      <c r="O188" t="s">
        <v>25</v>
      </c>
      <c r="P188">
        <v>4.4000000000000004</v>
      </c>
      <c r="Q188">
        <v>10</v>
      </c>
      <c r="R188" t="s">
        <v>1070</v>
      </c>
      <c r="S188">
        <v>3</v>
      </c>
      <c r="T188" t="str">
        <f>IF(Healthcare_Data[[#This Row],[Final_Bill]]&gt;=50000,"High",IF(Healthcare_Data[[#This Row],[Final_Bill]]&gt;=20000,"Medium","low"))</f>
        <v>low</v>
      </c>
    </row>
    <row r="189" spans="1:20" x14ac:dyDescent="0.3">
      <c r="A189" t="s">
        <v>244</v>
      </c>
      <c r="B189">
        <v>45725</v>
      </c>
      <c r="C189" t="s">
        <v>27</v>
      </c>
      <c r="D189" t="s">
        <v>28</v>
      </c>
      <c r="E189" t="s">
        <v>20</v>
      </c>
      <c r="F189" t="s">
        <v>40</v>
      </c>
      <c r="G189">
        <v>76</v>
      </c>
      <c r="H189" t="s">
        <v>115</v>
      </c>
      <c r="I189" t="s">
        <v>30</v>
      </c>
      <c r="J189" t="s">
        <v>36</v>
      </c>
      <c r="K189">
        <v>0</v>
      </c>
      <c r="L189">
        <v>14676</v>
      </c>
      <c r="M189">
        <v>1000</v>
      </c>
      <c r="N189">
        <v>13676</v>
      </c>
      <c r="O189" t="s">
        <v>25</v>
      </c>
      <c r="P189">
        <v>4.4000000000000004</v>
      </c>
      <c r="Q189">
        <v>107</v>
      </c>
      <c r="R189" t="s">
        <v>1070</v>
      </c>
      <c r="S189">
        <v>3</v>
      </c>
      <c r="T189" t="str">
        <f>IF(Healthcare_Data[[#This Row],[Final_Bill]]&gt;=50000,"High",IF(Healthcare_Data[[#This Row],[Final_Bill]]&gt;=20000,"Medium","low"))</f>
        <v>low</v>
      </c>
    </row>
    <row r="190" spans="1:20" x14ac:dyDescent="0.3">
      <c r="A190" t="s">
        <v>245</v>
      </c>
      <c r="B190">
        <v>45726</v>
      </c>
      <c r="C190" t="s">
        <v>48</v>
      </c>
      <c r="D190" t="s">
        <v>39</v>
      </c>
      <c r="E190" t="s">
        <v>20</v>
      </c>
      <c r="F190" t="s">
        <v>40</v>
      </c>
      <c r="G190">
        <v>80</v>
      </c>
      <c r="H190" t="s">
        <v>35</v>
      </c>
      <c r="I190" t="s">
        <v>63</v>
      </c>
      <c r="J190" t="s">
        <v>31</v>
      </c>
      <c r="K190">
        <v>0</v>
      </c>
      <c r="L190">
        <v>19361</v>
      </c>
      <c r="M190">
        <v>0</v>
      </c>
      <c r="N190">
        <v>19361</v>
      </c>
      <c r="O190" t="s">
        <v>25</v>
      </c>
      <c r="P190">
        <v>4.3</v>
      </c>
      <c r="Q190">
        <v>49</v>
      </c>
      <c r="R190" t="s">
        <v>1070</v>
      </c>
      <c r="S190">
        <v>3</v>
      </c>
      <c r="T190" t="str">
        <f>IF(Healthcare_Data[[#This Row],[Final_Bill]]&gt;=50000,"High",IF(Healthcare_Data[[#This Row],[Final_Bill]]&gt;=20000,"Medium","low"))</f>
        <v>low</v>
      </c>
    </row>
    <row r="191" spans="1:20" x14ac:dyDescent="0.3">
      <c r="A191" t="s">
        <v>246</v>
      </c>
      <c r="B191">
        <v>45726</v>
      </c>
      <c r="C191" t="s">
        <v>50</v>
      </c>
      <c r="D191" t="s">
        <v>39</v>
      </c>
      <c r="E191" t="s">
        <v>20</v>
      </c>
      <c r="F191" t="s">
        <v>21</v>
      </c>
      <c r="G191">
        <v>76</v>
      </c>
      <c r="H191" t="s">
        <v>115</v>
      </c>
      <c r="I191" t="s">
        <v>30</v>
      </c>
      <c r="J191" t="s">
        <v>24</v>
      </c>
      <c r="K191">
        <v>0</v>
      </c>
      <c r="L191">
        <v>7313</v>
      </c>
      <c r="M191">
        <v>0</v>
      </c>
      <c r="N191">
        <v>7313</v>
      </c>
      <c r="O191" t="s">
        <v>59</v>
      </c>
      <c r="P191" t="s">
        <v>1057</v>
      </c>
      <c r="Q191">
        <v>77</v>
      </c>
      <c r="R191" t="s">
        <v>1070</v>
      </c>
      <c r="S191">
        <v>3</v>
      </c>
      <c r="T191" t="str">
        <f>IF(Healthcare_Data[[#This Row],[Final_Bill]]&gt;=50000,"High",IF(Healthcare_Data[[#This Row],[Final_Bill]]&gt;=20000,"Medium","low"))</f>
        <v>low</v>
      </c>
    </row>
    <row r="192" spans="1:20" x14ac:dyDescent="0.3">
      <c r="A192" t="s">
        <v>247</v>
      </c>
      <c r="B192">
        <v>45726</v>
      </c>
      <c r="C192" t="s">
        <v>27</v>
      </c>
      <c r="D192" t="s">
        <v>19</v>
      </c>
      <c r="E192" t="s">
        <v>52</v>
      </c>
      <c r="F192" t="s">
        <v>40</v>
      </c>
      <c r="G192">
        <v>26</v>
      </c>
      <c r="H192" t="s">
        <v>56</v>
      </c>
      <c r="I192" t="s">
        <v>23</v>
      </c>
      <c r="J192" t="s">
        <v>24</v>
      </c>
      <c r="K192">
        <v>11</v>
      </c>
      <c r="L192">
        <v>26525</v>
      </c>
      <c r="M192">
        <v>500</v>
      </c>
      <c r="N192">
        <v>26025</v>
      </c>
      <c r="O192" t="s">
        <v>32</v>
      </c>
      <c r="P192">
        <v>3.7</v>
      </c>
      <c r="Q192">
        <v>54</v>
      </c>
      <c r="R192" t="s">
        <v>1070</v>
      </c>
      <c r="S192">
        <v>3</v>
      </c>
      <c r="T192" t="str">
        <f>IF(Healthcare_Data[[#This Row],[Final_Bill]]&gt;=50000,"High",IF(Healthcare_Data[[#This Row],[Final_Bill]]&gt;=20000,"Medium","low"))</f>
        <v>Medium</v>
      </c>
    </row>
    <row r="193" spans="1:20" x14ac:dyDescent="0.3">
      <c r="A193" t="s">
        <v>248</v>
      </c>
      <c r="B193">
        <v>45726</v>
      </c>
      <c r="C193" t="s">
        <v>50</v>
      </c>
      <c r="D193" t="s">
        <v>19</v>
      </c>
      <c r="E193" t="s">
        <v>20</v>
      </c>
      <c r="F193" t="s">
        <v>40</v>
      </c>
      <c r="G193">
        <v>37</v>
      </c>
      <c r="H193" t="s">
        <v>29</v>
      </c>
      <c r="I193" t="s">
        <v>23</v>
      </c>
      <c r="J193" t="s">
        <v>31</v>
      </c>
      <c r="K193">
        <v>0</v>
      </c>
      <c r="L193">
        <v>16503</v>
      </c>
      <c r="M193">
        <v>1500</v>
      </c>
      <c r="N193">
        <v>15003</v>
      </c>
      <c r="O193" t="s">
        <v>25</v>
      </c>
      <c r="P193">
        <v>3.8</v>
      </c>
      <c r="Q193">
        <v>28</v>
      </c>
      <c r="R193" t="s">
        <v>1070</v>
      </c>
      <c r="S193">
        <v>3</v>
      </c>
      <c r="T193" t="str">
        <f>IF(Healthcare_Data[[#This Row],[Final_Bill]]&gt;=50000,"High",IF(Healthcare_Data[[#This Row],[Final_Bill]]&gt;=20000,"Medium","low"))</f>
        <v>low</v>
      </c>
    </row>
    <row r="194" spans="1:20" x14ac:dyDescent="0.3">
      <c r="A194" t="s">
        <v>249</v>
      </c>
      <c r="B194">
        <v>45727</v>
      </c>
      <c r="C194" t="s">
        <v>18</v>
      </c>
      <c r="D194" t="s">
        <v>28</v>
      </c>
      <c r="E194" t="s">
        <v>54</v>
      </c>
      <c r="F194" t="s">
        <v>21</v>
      </c>
      <c r="G194">
        <v>18</v>
      </c>
      <c r="H194" t="s">
        <v>115</v>
      </c>
      <c r="I194" t="s">
        <v>57</v>
      </c>
      <c r="J194" t="s">
        <v>31</v>
      </c>
      <c r="K194">
        <v>0</v>
      </c>
      <c r="L194">
        <v>14475</v>
      </c>
      <c r="M194">
        <v>1000</v>
      </c>
      <c r="N194">
        <v>13475</v>
      </c>
      <c r="O194" t="s">
        <v>25</v>
      </c>
      <c r="P194">
        <v>3.9</v>
      </c>
      <c r="Q194">
        <v>48</v>
      </c>
      <c r="R194" t="s">
        <v>1070</v>
      </c>
      <c r="S194">
        <v>3</v>
      </c>
      <c r="T194" t="str">
        <f>IF(Healthcare_Data[[#This Row],[Final_Bill]]&gt;=50000,"High",IF(Healthcare_Data[[#This Row],[Final_Bill]]&gt;=20000,"Medium","low"))</f>
        <v>low</v>
      </c>
    </row>
    <row r="195" spans="1:20" x14ac:dyDescent="0.3">
      <c r="A195" t="s">
        <v>250</v>
      </c>
      <c r="B195">
        <v>45727</v>
      </c>
      <c r="C195" t="s">
        <v>27</v>
      </c>
      <c r="D195" t="s">
        <v>51</v>
      </c>
      <c r="E195" t="s">
        <v>20</v>
      </c>
      <c r="F195" t="s">
        <v>40</v>
      </c>
      <c r="G195">
        <v>64</v>
      </c>
      <c r="H195" t="s">
        <v>115</v>
      </c>
      <c r="I195" t="s">
        <v>72</v>
      </c>
      <c r="J195" t="s">
        <v>58</v>
      </c>
      <c r="K195">
        <v>0</v>
      </c>
      <c r="L195">
        <v>2915</v>
      </c>
      <c r="M195">
        <v>0</v>
      </c>
      <c r="N195">
        <v>2915</v>
      </c>
      <c r="O195" t="s">
        <v>25</v>
      </c>
      <c r="P195">
        <v>3</v>
      </c>
      <c r="Q195">
        <v>61</v>
      </c>
      <c r="R195" t="s">
        <v>1070</v>
      </c>
      <c r="S195">
        <v>3</v>
      </c>
      <c r="T195" t="str">
        <f>IF(Healthcare_Data[[#This Row],[Final_Bill]]&gt;=50000,"High",IF(Healthcare_Data[[#This Row],[Final_Bill]]&gt;=20000,"Medium","low"))</f>
        <v>low</v>
      </c>
    </row>
    <row r="196" spans="1:20" x14ac:dyDescent="0.3">
      <c r="A196" t="s">
        <v>251</v>
      </c>
      <c r="B196">
        <v>45729</v>
      </c>
      <c r="C196" t="s">
        <v>44</v>
      </c>
      <c r="D196" t="s">
        <v>39</v>
      </c>
      <c r="E196" t="s">
        <v>20</v>
      </c>
      <c r="F196" t="s">
        <v>40</v>
      </c>
      <c r="G196">
        <v>19</v>
      </c>
      <c r="H196" t="s">
        <v>35</v>
      </c>
      <c r="I196" t="s">
        <v>72</v>
      </c>
      <c r="J196" t="s">
        <v>36</v>
      </c>
      <c r="K196">
        <v>0</v>
      </c>
      <c r="L196">
        <v>12358</v>
      </c>
      <c r="M196">
        <v>0</v>
      </c>
      <c r="N196">
        <v>12358</v>
      </c>
      <c r="O196" t="s">
        <v>25</v>
      </c>
      <c r="P196">
        <v>4.3</v>
      </c>
      <c r="Q196">
        <v>69</v>
      </c>
      <c r="R196" t="s">
        <v>1070</v>
      </c>
      <c r="S196">
        <v>3</v>
      </c>
      <c r="T196" t="str">
        <f>IF(Healthcare_Data[[#This Row],[Final_Bill]]&gt;=50000,"High",IF(Healthcare_Data[[#This Row],[Final_Bill]]&gt;=20000,"Medium","low"))</f>
        <v>low</v>
      </c>
    </row>
    <row r="197" spans="1:20" x14ac:dyDescent="0.3">
      <c r="A197" t="s">
        <v>252</v>
      </c>
      <c r="B197">
        <v>45729</v>
      </c>
      <c r="C197" t="s">
        <v>48</v>
      </c>
      <c r="D197" t="s">
        <v>39</v>
      </c>
      <c r="E197" t="s">
        <v>20</v>
      </c>
      <c r="F197" t="s">
        <v>21</v>
      </c>
      <c r="G197">
        <v>33</v>
      </c>
      <c r="H197" t="s">
        <v>46</v>
      </c>
      <c r="I197" t="s">
        <v>72</v>
      </c>
      <c r="J197" t="s">
        <v>31</v>
      </c>
      <c r="K197">
        <v>0</v>
      </c>
      <c r="L197">
        <v>13457</v>
      </c>
      <c r="M197">
        <v>1000</v>
      </c>
      <c r="N197">
        <v>12457</v>
      </c>
      <c r="O197" t="s">
        <v>25</v>
      </c>
      <c r="P197">
        <v>3.5</v>
      </c>
      <c r="Q197">
        <v>75</v>
      </c>
      <c r="R197" t="s">
        <v>1070</v>
      </c>
      <c r="S197">
        <v>3</v>
      </c>
      <c r="T197" t="str">
        <f>IF(Healthcare_Data[[#This Row],[Final_Bill]]&gt;=50000,"High",IF(Healthcare_Data[[#This Row],[Final_Bill]]&gt;=20000,"Medium","low"))</f>
        <v>low</v>
      </c>
    </row>
    <row r="198" spans="1:20" x14ac:dyDescent="0.3">
      <c r="A198" t="s">
        <v>253</v>
      </c>
      <c r="B198">
        <v>45730</v>
      </c>
      <c r="C198" t="s">
        <v>18</v>
      </c>
      <c r="D198" t="s">
        <v>39</v>
      </c>
      <c r="E198" t="s">
        <v>54</v>
      </c>
      <c r="F198" t="s">
        <v>40</v>
      </c>
      <c r="G198">
        <v>26</v>
      </c>
      <c r="H198" t="s">
        <v>46</v>
      </c>
      <c r="I198" t="s">
        <v>57</v>
      </c>
      <c r="J198" t="s">
        <v>24</v>
      </c>
      <c r="K198">
        <v>0</v>
      </c>
      <c r="L198">
        <v>12512</v>
      </c>
      <c r="M198">
        <v>1000</v>
      </c>
      <c r="N198">
        <v>11512</v>
      </c>
      <c r="O198" t="s">
        <v>25</v>
      </c>
      <c r="P198">
        <v>3.2</v>
      </c>
      <c r="Q198">
        <v>106</v>
      </c>
      <c r="R198" t="s">
        <v>1070</v>
      </c>
      <c r="S198">
        <v>3</v>
      </c>
      <c r="T198" t="str">
        <f>IF(Healthcare_Data[[#This Row],[Final_Bill]]&gt;=50000,"High",IF(Healthcare_Data[[#This Row],[Final_Bill]]&gt;=20000,"Medium","low"))</f>
        <v>low</v>
      </c>
    </row>
    <row r="199" spans="1:20" x14ac:dyDescent="0.3">
      <c r="A199" t="s">
        <v>254</v>
      </c>
      <c r="B199">
        <v>45731</v>
      </c>
      <c r="C199" t="s">
        <v>44</v>
      </c>
      <c r="D199" t="s">
        <v>34</v>
      </c>
      <c r="E199" t="s">
        <v>52</v>
      </c>
      <c r="F199" t="s">
        <v>21</v>
      </c>
      <c r="G199">
        <v>78</v>
      </c>
      <c r="H199" t="s">
        <v>35</v>
      </c>
      <c r="I199" t="s">
        <v>72</v>
      </c>
      <c r="J199" t="s">
        <v>24</v>
      </c>
      <c r="K199">
        <v>11</v>
      </c>
      <c r="L199">
        <v>60657</v>
      </c>
      <c r="M199">
        <v>500</v>
      </c>
      <c r="N199">
        <v>60157</v>
      </c>
      <c r="O199" t="s">
        <v>25</v>
      </c>
      <c r="P199">
        <v>4.7</v>
      </c>
      <c r="Q199">
        <v>11</v>
      </c>
      <c r="R199" t="s">
        <v>1070</v>
      </c>
      <c r="S199">
        <v>3</v>
      </c>
      <c r="T199" t="str">
        <f>IF(Healthcare_Data[[#This Row],[Final_Bill]]&gt;=50000,"High",IF(Healthcare_Data[[#This Row],[Final_Bill]]&gt;=20000,"Medium","low"))</f>
        <v>High</v>
      </c>
    </row>
    <row r="200" spans="1:20" x14ac:dyDescent="0.3">
      <c r="A200" t="s">
        <v>255</v>
      </c>
      <c r="B200">
        <v>45732</v>
      </c>
      <c r="C200" t="s">
        <v>48</v>
      </c>
      <c r="D200" t="s">
        <v>51</v>
      </c>
      <c r="E200" t="s">
        <v>20</v>
      </c>
      <c r="F200" t="s">
        <v>40</v>
      </c>
      <c r="G200">
        <v>40</v>
      </c>
      <c r="H200" t="s">
        <v>46</v>
      </c>
      <c r="I200" t="s">
        <v>57</v>
      </c>
      <c r="J200" t="s">
        <v>24</v>
      </c>
      <c r="K200">
        <v>0</v>
      </c>
      <c r="L200">
        <v>15957</v>
      </c>
      <c r="M200">
        <v>1000</v>
      </c>
      <c r="N200">
        <v>14957</v>
      </c>
      <c r="O200" t="s">
        <v>25</v>
      </c>
      <c r="P200">
        <v>2.9</v>
      </c>
      <c r="Q200">
        <v>74</v>
      </c>
      <c r="R200" t="s">
        <v>1070</v>
      </c>
      <c r="S200">
        <v>3</v>
      </c>
      <c r="T200" t="str">
        <f>IF(Healthcare_Data[[#This Row],[Final_Bill]]&gt;=50000,"High",IF(Healthcare_Data[[#This Row],[Final_Bill]]&gt;=20000,"Medium","low"))</f>
        <v>low</v>
      </c>
    </row>
    <row r="201" spans="1:20" x14ac:dyDescent="0.3">
      <c r="A201" t="s">
        <v>256</v>
      </c>
      <c r="B201">
        <v>45732</v>
      </c>
      <c r="C201" t="s">
        <v>50</v>
      </c>
      <c r="D201" t="s">
        <v>28</v>
      </c>
      <c r="E201" t="s">
        <v>20</v>
      </c>
      <c r="F201" t="s">
        <v>21</v>
      </c>
      <c r="G201">
        <v>77</v>
      </c>
      <c r="H201" t="s">
        <v>115</v>
      </c>
      <c r="I201" t="s">
        <v>61</v>
      </c>
      <c r="J201" t="s">
        <v>36</v>
      </c>
      <c r="K201">
        <v>0</v>
      </c>
      <c r="L201">
        <v>13383</v>
      </c>
      <c r="M201">
        <v>2000</v>
      </c>
      <c r="N201">
        <v>11383</v>
      </c>
      <c r="O201" t="s">
        <v>59</v>
      </c>
      <c r="P201">
        <v>4.2</v>
      </c>
      <c r="Q201">
        <v>78</v>
      </c>
      <c r="R201" t="s">
        <v>1070</v>
      </c>
      <c r="S201">
        <v>3</v>
      </c>
      <c r="T201" t="str">
        <f>IF(Healthcare_Data[[#This Row],[Final_Bill]]&gt;=50000,"High",IF(Healthcare_Data[[#This Row],[Final_Bill]]&gt;=20000,"Medium","low"))</f>
        <v>low</v>
      </c>
    </row>
    <row r="202" spans="1:20" x14ac:dyDescent="0.3">
      <c r="A202" t="s">
        <v>257</v>
      </c>
      <c r="B202">
        <v>45732</v>
      </c>
      <c r="C202" t="s">
        <v>18</v>
      </c>
      <c r="D202" t="s">
        <v>28</v>
      </c>
      <c r="E202" t="s">
        <v>54</v>
      </c>
      <c r="F202" t="s">
        <v>21</v>
      </c>
      <c r="G202">
        <v>69</v>
      </c>
      <c r="H202" t="s">
        <v>29</v>
      </c>
      <c r="I202" t="s">
        <v>69</v>
      </c>
      <c r="J202" t="s">
        <v>31</v>
      </c>
      <c r="K202">
        <v>0</v>
      </c>
      <c r="L202">
        <v>35624</v>
      </c>
      <c r="M202">
        <v>1000</v>
      </c>
      <c r="N202">
        <v>34624</v>
      </c>
      <c r="O202" t="s">
        <v>32</v>
      </c>
      <c r="P202">
        <v>2.8</v>
      </c>
      <c r="Q202">
        <v>120</v>
      </c>
      <c r="R202" t="s">
        <v>1070</v>
      </c>
      <c r="S202">
        <v>3</v>
      </c>
      <c r="T202" t="str">
        <f>IF(Healthcare_Data[[#This Row],[Final_Bill]]&gt;=50000,"High",IF(Healthcare_Data[[#This Row],[Final_Bill]]&gt;=20000,"Medium","low"))</f>
        <v>Medium</v>
      </c>
    </row>
    <row r="203" spans="1:20" x14ac:dyDescent="0.3">
      <c r="A203" t="s">
        <v>258</v>
      </c>
      <c r="B203">
        <v>45732</v>
      </c>
      <c r="C203" t="s">
        <v>67</v>
      </c>
      <c r="D203" t="s">
        <v>51</v>
      </c>
      <c r="E203" t="s">
        <v>20</v>
      </c>
      <c r="F203" t="s">
        <v>21</v>
      </c>
      <c r="G203">
        <v>53</v>
      </c>
      <c r="H203" t="s">
        <v>29</v>
      </c>
      <c r="I203" t="s">
        <v>63</v>
      </c>
      <c r="J203" t="s">
        <v>24</v>
      </c>
      <c r="K203">
        <v>0</v>
      </c>
      <c r="L203">
        <v>11827</v>
      </c>
      <c r="M203">
        <v>1000</v>
      </c>
      <c r="N203">
        <v>10827</v>
      </c>
      <c r="O203" t="s">
        <v>25</v>
      </c>
      <c r="P203" t="s">
        <v>1057</v>
      </c>
      <c r="Q203">
        <v>19</v>
      </c>
      <c r="R203" t="s">
        <v>1070</v>
      </c>
      <c r="S203">
        <v>3</v>
      </c>
      <c r="T203" t="str">
        <f>IF(Healthcare_Data[[#This Row],[Final_Bill]]&gt;=50000,"High",IF(Healthcare_Data[[#This Row],[Final_Bill]]&gt;=20000,"Medium","low"))</f>
        <v>low</v>
      </c>
    </row>
    <row r="204" spans="1:20" x14ac:dyDescent="0.3">
      <c r="A204" t="s">
        <v>259</v>
      </c>
      <c r="B204">
        <v>45733</v>
      </c>
      <c r="C204" t="s">
        <v>27</v>
      </c>
      <c r="D204" t="s">
        <v>19</v>
      </c>
      <c r="E204" t="s">
        <v>20</v>
      </c>
      <c r="F204" t="s">
        <v>40</v>
      </c>
      <c r="G204">
        <v>25</v>
      </c>
      <c r="H204" t="s">
        <v>65</v>
      </c>
      <c r="I204" t="s">
        <v>57</v>
      </c>
      <c r="J204" t="s">
        <v>24</v>
      </c>
      <c r="K204">
        <v>0</v>
      </c>
      <c r="L204">
        <v>17907</v>
      </c>
      <c r="M204">
        <v>2000</v>
      </c>
      <c r="N204">
        <v>15907</v>
      </c>
      <c r="O204" t="s">
        <v>59</v>
      </c>
      <c r="P204">
        <v>4.9000000000000004</v>
      </c>
      <c r="Q204">
        <v>118</v>
      </c>
      <c r="R204" t="s">
        <v>1070</v>
      </c>
      <c r="S204">
        <v>3</v>
      </c>
      <c r="T204" t="str">
        <f>IF(Healthcare_Data[[#This Row],[Final_Bill]]&gt;=50000,"High",IF(Healthcare_Data[[#This Row],[Final_Bill]]&gt;=20000,"Medium","low"))</f>
        <v>low</v>
      </c>
    </row>
    <row r="205" spans="1:20" x14ac:dyDescent="0.3">
      <c r="A205" t="s">
        <v>260</v>
      </c>
      <c r="B205">
        <v>45733</v>
      </c>
      <c r="C205" t="s">
        <v>50</v>
      </c>
      <c r="D205" t="s">
        <v>19</v>
      </c>
      <c r="E205" t="s">
        <v>54</v>
      </c>
      <c r="F205" t="s">
        <v>40</v>
      </c>
      <c r="G205">
        <v>29</v>
      </c>
      <c r="H205" t="s">
        <v>41</v>
      </c>
      <c r="I205" t="s">
        <v>57</v>
      </c>
      <c r="J205" t="s">
        <v>58</v>
      </c>
      <c r="K205">
        <v>0</v>
      </c>
      <c r="L205">
        <v>12083</v>
      </c>
      <c r="M205">
        <v>1000</v>
      </c>
      <c r="N205">
        <v>11083</v>
      </c>
      <c r="O205" t="s">
        <v>32</v>
      </c>
      <c r="P205">
        <v>3.3</v>
      </c>
      <c r="Q205">
        <v>96</v>
      </c>
      <c r="R205" t="s">
        <v>1070</v>
      </c>
      <c r="S205">
        <v>3</v>
      </c>
      <c r="T205" t="str">
        <f>IF(Healthcare_Data[[#This Row],[Final_Bill]]&gt;=50000,"High",IF(Healthcare_Data[[#This Row],[Final_Bill]]&gt;=20000,"Medium","low"))</f>
        <v>low</v>
      </c>
    </row>
    <row r="206" spans="1:20" x14ac:dyDescent="0.3">
      <c r="A206" t="s">
        <v>261</v>
      </c>
      <c r="B206">
        <v>45733</v>
      </c>
      <c r="C206" t="s">
        <v>54</v>
      </c>
      <c r="D206" t="s">
        <v>28</v>
      </c>
      <c r="E206" t="s">
        <v>52</v>
      </c>
      <c r="F206" t="s">
        <v>40</v>
      </c>
      <c r="G206">
        <v>78</v>
      </c>
      <c r="H206" t="s">
        <v>115</v>
      </c>
      <c r="I206" t="s">
        <v>63</v>
      </c>
      <c r="J206" t="s">
        <v>36</v>
      </c>
      <c r="K206">
        <v>1</v>
      </c>
      <c r="L206">
        <v>28435</v>
      </c>
      <c r="M206">
        <v>0</v>
      </c>
      <c r="N206">
        <v>28435</v>
      </c>
      <c r="O206" t="s">
        <v>25</v>
      </c>
      <c r="P206">
        <v>2.6</v>
      </c>
      <c r="Q206">
        <v>69</v>
      </c>
      <c r="R206" t="s">
        <v>1070</v>
      </c>
      <c r="S206">
        <v>3</v>
      </c>
      <c r="T206" t="str">
        <f>IF(Healthcare_Data[[#This Row],[Final_Bill]]&gt;=50000,"High",IF(Healthcare_Data[[#This Row],[Final_Bill]]&gt;=20000,"Medium","low"))</f>
        <v>Medium</v>
      </c>
    </row>
    <row r="207" spans="1:20" x14ac:dyDescent="0.3">
      <c r="A207" t="s">
        <v>262</v>
      </c>
      <c r="B207">
        <v>45735</v>
      </c>
      <c r="C207" t="s">
        <v>38</v>
      </c>
      <c r="D207" t="s">
        <v>51</v>
      </c>
      <c r="E207" t="s">
        <v>20</v>
      </c>
      <c r="F207" t="s">
        <v>40</v>
      </c>
      <c r="G207">
        <v>66</v>
      </c>
      <c r="H207" t="s">
        <v>46</v>
      </c>
      <c r="I207" t="s">
        <v>30</v>
      </c>
      <c r="J207" t="s">
        <v>31</v>
      </c>
      <c r="K207">
        <v>0</v>
      </c>
      <c r="L207">
        <v>9808</v>
      </c>
      <c r="M207">
        <v>0</v>
      </c>
      <c r="N207">
        <v>9808</v>
      </c>
      <c r="O207" t="s">
        <v>25</v>
      </c>
      <c r="P207">
        <v>3.6</v>
      </c>
      <c r="Q207">
        <v>34</v>
      </c>
      <c r="R207" t="s">
        <v>1070</v>
      </c>
      <c r="S207">
        <v>3</v>
      </c>
      <c r="T207" t="str">
        <f>IF(Healthcare_Data[[#This Row],[Final_Bill]]&gt;=50000,"High",IF(Healthcare_Data[[#This Row],[Final_Bill]]&gt;=20000,"Medium","low"))</f>
        <v>low</v>
      </c>
    </row>
    <row r="208" spans="1:20" x14ac:dyDescent="0.3">
      <c r="A208" t="s">
        <v>263</v>
      </c>
      <c r="B208">
        <v>45735</v>
      </c>
      <c r="C208" t="s">
        <v>18</v>
      </c>
      <c r="D208" t="s">
        <v>19</v>
      </c>
      <c r="E208" t="s">
        <v>54</v>
      </c>
      <c r="F208" t="s">
        <v>21</v>
      </c>
      <c r="G208">
        <v>20</v>
      </c>
      <c r="H208" t="s">
        <v>56</v>
      </c>
      <c r="I208" t="s">
        <v>61</v>
      </c>
      <c r="J208" t="s">
        <v>24</v>
      </c>
      <c r="K208">
        <v>0</v>
      </c>
      <c r="L208">
        <v>40535</v>
      </c>
      <c r="M208">
        <v>500</v>
      </c>
      <c r="N208">
        <v>40035</v>
      </c>
      <c r="O208" t="s">
        <v>25</v>
      </c>
      <c r="P208">
        <v>4.7</v>
      </c>
      <c r="Q208">
        <v>60</v>
      </c>
      <c r="R208" t="s">
        <v>1070</v>
      </c>
      <c r="S208">
        <v>3</v>
      </c>
      <c r="T208" t="str">
        <f>IF(Healthcare_Data[[#This Row],[Final_Bill]]&gt;=50000,"High",IF(Healthcare_Data[[#This Row],[Final_Bill]]&gt;=20000,"Medium","low"))</f>
        <v>Medium</v>
      </c>
    </row>
    <row r="209" spans="1:20" x14ac:dyDescent="0.3">
      <c r="A209" t="s">
        <v>264</v>
      </c>
      <c r="B209">
        <v>45735</v>
      </c>
      <c r="C209" t="s">
        <v>67</v>
      </c>
      <c r="D209" t="s">
        <v>39</v>
      </c>
      <c r="E209" t="s">
        <v>20</v>
      </c>
      <c r="F209" t="s">
        <v>21</v>
      </c>
      <c r="G209">
        <v>42</v>
      </c>
      <c r="H209" t="s">
        <v>35</v>
      </c>
      <c r="I209" t="s">
        <v>42</v>
      </c>
      <c r="J209" t="s">
        <v>58</v>
      </c>
      <c r="K209">
        <v>0</v>
      </c>
      <c r="L209">
        <v>14377</v>
      </c>
      <c r="M209">
        <v>0</v>
      </c>
      <c r="N209">
        <v>14377</v>
      </c>
      <c r="O209" t="s">
        <v>25</v>
      </c>
      <c r="P209">
        <v>4.4000000000000004</v>
      </c>
      <c r="Q209">
        <v>86</v>
      </c>
      <c r="R209" t="s">
        <v>1070</v>
      </c>
      <c r="S209">
        <v>3</v>
      </c>
      <c r="T209" t="str">
        <f>IF(Healthcare_Data[[#This Row],[Final_Bill]]&gt;=50000,"High",IF(Healthcare_Data[[#This Row],[Final_Bill]]&gt;=20000,"Medium","low"))</f>
        <v>low</v>
      </c>
    </row>
    <row r="210" spans="1:20" x14ac:dyDescent="0.3">
      <c r="A210" t="s">
        <v>265</v>
      </c>
      <c r="B210">
        <v>45737</v>
      </c>
      <c r="C210" t="s">
        <v>18</v>
      </c>
      <c r="D210" t="s">
        <v>19</v>
      </c>
      <c r="E210" t="s">
        <v>20</v>
      </c>
      <c r="F210" t="s">
        <v>21</v>
      </c>
      <c r="G210">
        <v>32</v>
      </c>
      <c r="H210" t="s">
        <v>35</v>
      </c>
      <c r="I210" t="s">
        <v>42</v>
      </c>
      <c r="J210" t="s">
        <v>31</v>
      </c>
      <c r="K210">
        <v>0</v>
      </c>
      <c r="L210">
        <v>16700</v>
      </c>
      <c r="M210">
        <v>0</v>
      </c>
      <c r="N210">
        <v>16700</v>
      </c>
      <c r="O210" t="s">
        <v>25</v>
      </c>
      <c r="P210">
        <v>3.7</v>
      </c>
      <c r="Q210">
        <v>41</v>
      </c>
      <c r="R210" t="s">
        <v>1070</v>
      </c>
      <c r="S210">
        <v>3</v>
      </c>
      <c r="T210" t="str">
        <f>IF(Healthcare_Data[[#This Row],[Final_Bill]]&gt;=50000,"High",IF(Healthcare_Data[[#This Row],[Final_Bill]]&gt;=20000,"Medium","low"))</f>
        <v>low</v>
      </c>
    </row>
    <row r="211" spans="1:20" x14ac:dyDescent="0.3">
      <c r="A211" t="s">
        <v>266</v>
      </c>
      <c r="B211">
        <v>45738</v>
      </c>
      <c r="C211" t="s">
        <v>67</v>
      </c>
      <c r="D211" t="s">
        <v>34</v>
      </c>
      <c r="E211" t="s">
        <v>52</v>
      </c>
      <c r="F211" t="s">
        <v>21</v>
      </c>
      <c r="G211">
        <v>32</v>
      </c>
      <c r="H211" t="s">
        <v>65</v>
      </c>
      <c r="I211" t="s">
        <v>57</v>
      </c>
      <c r="J211" t="s">
        <v>31</v>
      </c>
      <c r="K211">
        <v>10</v>
      </c>
      <c r="L211">
        <v>29379</v>
      </c>
      <c r="M211">
        <v>0</v>
      </c>
      <c r="N211">
        <v>29379</v>
      </c>
      <c r="O211" t="s">
        <v>25</v>
      </c>
      <c r="P211" t="s">
        <v>1057</v>
      </c>
      <c r="Q211">
        <v>92</v>
      </c>
      <c r="R211" t="s">
        <v>1070</v>
      </c>
      <c r="S211">
        <v>3</v>
      </c>
      <c r="T211" t="str">
        <f>IF(Healthcare_Data[[#This Row],[Final_Bill]]&gt;=50000,"High",IF(Healthcare_Data[[#This Row],[Final_Bill]]&gt;=20000,"Medium","low"))</f>
        <v>Medium</v>
      </c>
    </row>
    <row r="212" spans="1:20" x14ac:dyDescent="0.3">
      <c r="A212" t="s">
        <v>267</v>
      </c>
      <c r="B212">
        <v>45738</v>
      </c>
      <c r="C212" t="s">
        <v>50</v>
      </c>
      <c r="D212" t="s">
        <v>28</v>
      </c>
      <c r="E212" t="s">
        <v>20</v>
      </c>
      <c r="F212" t="s">
        <v>40</v>
      </c>
      <c r="G212">
        <v>19</v>
      </c>
      <c r="H212" t="s">
        <v>29</v>
      </c>
      <c r="I212" t="s">
        <v>69</v>
      </c>
      <c r="J212" t="s">
        <v>24</v>
      </c>
      <c r="K212">
        <v>0</v>
      </c>
      <c r="L212">
        <v>10164</v>
      </c>
      <c r="M212">
        <v>0</v>
      </c>
      <c r="N212">
        <v>10164</v>
      </c>
      <c r="O212" t="s">
        <v>25</v>
      </c>
      <c r="P212">
        <v>4</v>
      </c>
      <c r="Q212">
        <v>95</v>
      </c>
      <c r="R212" t="s">
        <v>1070</v>
      </c>
      <c r="S212">
        <v>3</v>
      </c>
      <c r="T212" t="str">
        <f>IF(Healthcare_Data[[#This Row],[Final_Bill]]&gt;=50000,"High",IF(Healthcare_Data[[#This Row],[Final_Bill]]&gt;=20000,"Medium","low"))</f>
        <v>low</v>
      </c>
    </row>
    <row r="213" spans="1:20" x14ac:dyDescent="0.3">
      <c r="A213" t="s">
        <v>268</v>
      </c>
      <c r="B213">
        <v>45738</v>
      </c>
      <c r="C213" t="s">
        <v>54</v>
      </c>
      <c r="D213" t="s">
        <v>28</v>
      </c>
      <c r="E213" t="s">
        <v>20</v>
      </c>
      <c r="F213" t="s">
        <v>40</v>
      </c>
      <c r="G213">
        <v>35</v>
      </c>
      <c r="H213" t="s">
        <v>56</v>
      </c>
      <c r="I213" t="s">
        <v>61</v>
      </c>
      <c r="J213" t="s">
        <v>58</v>
      </c>
      <c r="K213">
        <v>0</v>
      </c>
      <c r="L213">
        <v>19218</v>
      </c>
      <c r="M213">
        <v>1500</v>
      </c>
      <c r="N213">
        <v>17718</v>
      </c>
      <c r="O213" t="s">
        <v>25</v>
      </c>
      <c r="P213">
        <v>4.5999999999999996</v>
      </c>
      <c r="Q213">
        <v>99</v>
      </c>
      <c r="R213" t="s">
        <v>1070</v>
      </c>
      <c r="S213">
        <v>3</v>
      </c>
      <c r="T213" t="str">
        <f>IF(Healthcare_Data[[#This Row],[Final_Bill]]&gt;=50000,"High",IF(Healthcare_Data[[#This Row],[Final_Bill]]&gt;=20000,"Medium","low"))</f>
        <v>low</v>
      </c>
    </row>
    <row r="214" spans="1:20" x14ac:dyDescent="0.3">
      <c r="A214" t="s">
        <v>269</v>
      </c>
      <c r="B214">
        <v>45738</v>
      </c>
      <c r="C214" t="s">
        <v>54</v>
      </c>
      <c r="D214" t="s">
        <v>34</v>
      </c>
      <c r="E214" t="s">
        <v>20</v>
      </c>
      <c r="F214" t="s">
        <v>40</v>
      </c>
      <c r="G214">
        <v>42</v>
      </c>
      <c r="H214" t="s">
        <v>46</v>
      </c>
      <c r="I214" t="s">
        <v>23</v>
      </c>
      <c r="J214" t="s">
        <v>31</v>
      </c>
      <c r="K214">
        <v>0</v>
      </c>
      <c r="L214">
        <v>7685</v>
      </c>
      <c r="M214">
        <v>500</v>
      </c>
      <c r="N214">
        <v>7185</v>
      </c>
      <c r="O214" t="s">
        <v>25</v>
      </c>
      <c r="P214">
        <v>4.0999999999999996</v>
      </c>
      <c r="Q214">
        <v>24</v>
      </c>
      <c r="R214" t="s">
        <v>1070</v>
      </c>
      <c r="S214">
        <v>3</v>
      </c>
      <c r="T214" t="str">
        <f>IF(Healthcare_Data[[#This Row],[Final_Bill]]&gt;=50000,"High",IF(Healthcare_Data[[#This Row],[Final_Bill]]&gt;=20000,"Medium","low"))</f>
        <v>low</v>
      </c>
    </row>
    <row r="215" spans="1:20" x14ac:dyDescent="0.3">
      <c r="A215" t="s">
        <v>270</v>
      </c>
      <c r="B215">
        <v>45739</v>
      </c>
      <c r="C215" t="s">
        <v>38</v>
      </c>
      <c r="D215" t="s">
        <v>51</v>
      </c>
      <c r="E215" t="s">
        <v>20</v>
      </c>
      <c r="F215" t="s">
        <v>21</v>
      </c>
      <c r="G215">
        <v>36</v>
      </c>
      <c r="H215" t="s">
        <v>29</v>
      </c>
      <c r="I215" t="s">
        <v>23</v>
      </c>
      <c r="J215" t="s">
        <v>24</v>
      </c>
      <c r="K215">
        <v>0</v>
      </c>
      <c r="L215">
        <v>4000</v>
      </c>
      <c r="M215">
        <v>0</v>
      </c>
      <c r="N215">
        <v>4000</v>
      </c>
      <c r="O215" t="s">
        <v>25</v>
      </c>
      <c r="P215">
        <v>3.7</v>
      </c>
      <c r="Q215">
        <v>86</v>
      </c>
      <c r="R215" t="s">
        <v>1070</v>
      </c>
      <c r="S215">
        <v>3</v>
      </c>
      <c r="T215" t="str">
        <f>IF(Healthcare_Data[[#This Row],[Final_Bill]]&gt;=50000,"High",IF(Healthcare_Data[[#This Row],[Final_Bill]]&gt;=20000,"Medium","low"))</f>
        <v>low</v>
      </c>
    </row>
    <row r="216" spans="1:20" x14ac:dyDescent="0.3">
      <c r="A216" t="s">
        <v>271</v>
      </c>
      <c r="B216">
        <v>45740</v>
      </c>
      <c r="C216" t="s">
        <v>48</v>
      </c>
      <c r="D216" t="s">
        <v>19</v>
      </c>
      <c r="E216" t="s">
        <v>20</v>
      </c>
      <c r="F216" t="s">
        <v>21</v>
      </c>
      <c r="G216">
        <v>77</v>
      </c>
      <c r="H216" t="s">
        <v>41</v>
      </c>
      <c r="I216" t="s">
        <v>42</v>
      </c>
      <c r="J216" t="s">
        <v>58</v>
      </c>
      <c r="K216">
        <v>0</v>
      </c>
      <c r="L216">
        <v>9170</v>
      </c>
      <c r="M216">
        <v>0</v>
      </c>
      <c r="N216">
        <v>9170</v>
      </c>
      <c r="O216" t="s">
        <v>25</v>
      </c>
      <c r="P216">
        <v>3.6</v>
      </c>
      <c r="Q216">
        <v>63</v>
      </c>
      <c r="R216" t="s">
        <v>1070</v>
      </c>
      <c r="S216">
        <v>3</v>
      </c>
      <c r="T216" t="str">
        <f>IF(Healthcare_Data[[#This Row],[Final_Bill]]&gt;=50000,"High",IF(Healthcare_Data[[#This Row],[Final_Bill]]&gt;=20000,"Medium","low"))</f>
        <v>low</v>
      </c>
    </row>
    <row r="217" spans="1:20" x14ac:dyDescent="0.3">
      <c r="A217" t="s">
        <v>272</v>
      </c>
      <c r="B217">
        <v>45740</v>
      </c>
      <c r="C217" t="s">
        <v>27</v>
      </c>
      <c r="D217" t="s">
        <v>34</v>
      </c>
      <c r="E217" t="s">
        <v>52</v>
      </c>
      <c r="F217" t="s">
        <v>40</v>
      </c>
      <c r="G217">
        <v>62</v>
      </c>
      <c r="H217" t="s">
        <v>22</v>
      </c>
      <c r="I217" t="s">
        <v>63</v>
      </c>
      <c r="J217" t="s">
        <v>36</v>
      </c>
      <c r="K217">
        <v>11</v>
      </c>
      <c r="L217">
        <v>20947</v>
      </c>
      <c r="M217">
        <v>500</v>
      </c>
      <c r="N217">
        <v>20447</v>
      </c>
      <c r="O217" t="s">
        <v>25</v>
      </c>
      <c r="P217">
        <v>3.8</v>
      </c>
      <c r="Q217">
        <v>109</v>
      </c>
      <c r="R217" t="s">
        <v>1070</v>
      </c>
      <c r="S217">
        <v>3</v>
      </c>
      <c r="T217" t="str">
        <f>IF(Healthcare_Data[[#This Row],[Final_Bill]]&gt;=50000,"High",IF(Healthcare_Data[[#This Row],[Final_Bill]]&gt;=20000,"Medium","low"))</f>
        <v>Medium</v>
      </c>
    </row>
    <row r="218" spans="1:20" x14ac:dyDescent="0.3">
      <c r="A218" t="s">
        <v>273</v>
      </c>
      <c r="B218">
        <v>45741</v>
      </c>
      <c r="C218" t="s">
        <v>48</v>
      </c>
      <c r="D218" t="s">
        <v>39</v>
      </c>
      <c r="E218" t="s">
        <v>20</v>
      </c>
      <c r="F218" t="s">
        <v>21</v>
      </c>
      <c r="G218">
        <v>67</v>
      </c>
      <c r="H218" t="s">
        <v>46</v>
      </c>
      <c r="I218" t="s">
        <v>42</v>
      </c>
      <c r="J218" t="s">
        <v>36</v>
      </c>
      <c r="K218">
        <v>0</v>
      </c>
      <c r="L218">
        <v>17036</v>
      </c>
      <c r="M218">
        <v>1000</v>
      </c>
      <c r="N218">
        <v>16036</v>
      </c>
      <c r="O218" t="s">
        <v>25</v>
      </c>
      <c r="P218">
        <v>2.8</v>
      </c>
      <c r="Q218">
        <v>9</v>
      </c>
      <c r="R218" t="s">
        <v>1070</v>
      </c>
      <c r="S218">
        <v>3</v>
      </c>
      <c r="T218" t="str">
        <f>IF(Healthcare_Data[[#This Row],[Final_Bill]]&gt;=50000,"High",IF(Healthcare_Data[[#This Row],[Final_Bill]]&gt;=20000,"Medium","low"))</f>
        <v>low</v>
      </c>
    </row>
    <row r="219" spans="1:20" x14ac:dyDescent="0.3">
      <c r="A219" t="s">
        <v>274</v>
      </c>
      <c r="B219">
        <v>45742</v>
      </c>
      <c r="C219" t="s">
        <v>54</v>
      </c>
      <c r="D219" t="s">
        <v>34</v>
      </c>
      <c r="E219" t="s">
        <v>20</v>
      </c>
      <c r="F219" t="s">
        <v>21</v>
      </c>
      <c r="G219">
        <v>48</v>
      </c>
      <c r="H219" t="s">
        <v>41</v>
      </c>
      <c r="I219" t="s">
        <v>57</v>
      </c>
      <c r="J219" t="s">
        <v>58</v>
      </c>
      <c r="K219">
        <v>0</v>
      </c>
      <c r="L219">
        <v>4111</v>
      </c>
      <c r="M219">
        <v>500</v>
      </c>
      <c r="N219">
        <v>3611</v>
      </c>
      <c r="O219" t="s">
        <v>25</v>
      </c>
      <c r="P219">
        <v>3.3</v>
      </c>
      <c r="Q219">
        <v>33</v>
      </c>
      <c r="R219" t="s">
        <v>1070</v>
      </c>
      <c r="S219">
        <v>3</v>
      </c>
      <c r="T219" t="str">
        <f>IF(Healthcare_Data[[#This Row],[Final_Bill]]&gt;=50000,"High",IF(Healthcare_Data[[#This Row],[Final_Bill]]&gt;=20000,"Medium","low"))</f>
        <v>low</v>
      </c>
    </row>
    <row r="220" spans="1:20" x14ac:dyDescent="0.3">
      <c r="A220" t="s">
        <v>275</v>
      </c>
      <c r="B220">
        <v>45743</v>
      </c>
      <c r="C220" t="s">
        <v>48</v>
      </c>
      <c r="D220" t="s">
        <v>28</v>
      </c>
      <c r="E220" t="s">
        <v>20</v>
      </c>
      <c r="F220" t="s">
        <v>40</v>
      </c>
      <c r="G220">
        <v>72</v>
      </c>
      <c r="H220" t="s">
        <v>65</v>
      </c>
      <c r="I220" t="s">
        <v>69</v>
      </c>
      <c r="J220" t="s">
        <v>24</v>
      </c>
      <c r="K220">
        <v>0</v>
      </c>
      <c r="L220">
        <v>16987</v>
      </c>
      <c r="M220">
        <v>0</v>
      </c>
      <c r="N220">
        <v>16987</v>
      </c>
      <c r="O220" t="s">
        <v>25</v>
      </c>
      <c r="P220">
        <v>3.5</v>
      </c>
      <c r="Q220">
        <v>25</v>
      </c>
      <c r="R220" t="s">
        <v>1070</v>
      </c>
      <c r="S220">
        <v>3</v>
      </c>
      <c r="T220" t="str">
        <f>IF(Healthcare_Data[[#This Row],[Final_Bill]]&gt;=50000,"High",IF(Healthcare_Data[[#This Row],[Final_Bill]]&gt;=20000,"Medium","low"))</f>
        <v>low</v>
      </c>
    </row>
    <row r="221" spans="1:20" x14ac:dyDescent="0.3">
      <c r="A221" t="s">
        <v>276</v>
      </c>
      <c r="B221">
        <v>45743</v>
      </c>
      <c r="C221" t="s">
        <v>48</v>
      </c>
      <c r="D221" t="s">
        <v>51</v>
      </c>
      <c r="E221" t="s">
        <v>54</v>
      </c>
      <c r="F221" t="s">
        <v>40</v>
      </c>
      <c r="G221">
        <v>57</v>
      </c>
      <c r="H221" t="s">
        <v>65</v>
      </c>
      <c r="I221" t="s">
        <v>30</v>
      </c>
      <c r="J221" t="s">
        <v>31</v>
      </c>
      <c r="K221">
        <v>0</v>
      </c>
      <c r="L221">
        <v>24940</v>
      </c>
      <c r="M221">
        <v>500</v>
      </c>
      <c r="N221">
        <v>24440</v>
      </c>
      <c r="O221" t="s">
        <v>25</v>
      </c>
      <c r="P221">
        <v>4.5</v>
      </c>
      <c r="Q221">
        <v>67</v>
      </c>
      <c r="R221" t="s">
        <v>1070</v>
      </c>
      <c r="S221">
        <v>3</v>
      </c>
      <c r="T221" t="str">
        <f>IF(Healthcare_Data[[#This Row],[Final_Bill]]&gt;=50000,"High",IF(Healthcare_Data[[#This Row],[Final_Bill]]&gt;=20000,"Medium","low"))</f>
        <v>Medium</v>
      </c>
    </row>
    <row r="222" spans="1:20" x14ac:dyDescent="0.3">
      <c r="A222" t="s">
        <v>277</v>
      </c>
      <c r="B222">
        <v>45743</v>
      </c>
      <c r="C222" t="s">
        <v>38</v>
      </c>
      <c r="D222" t="s">
        <v>39</v>
      </c>
      <c r="E222" t="s">
        <v>20</v>
      </c>
      <c r="F222" t="s">
        <v>21</v>
      </c>
      <c r="G222">
        <v>76</v>
      </c>
      <c r="H222" t="s">
        <v>115</v>
      </c>
      <c r="I222" t="s">
        <v>57</v>
      </c>
      <c r="J222" t="s">
        <v>24</v>
      </c>
      <c r="K222">
        <v>0</v>
      </c>
      <c r="L222">
        <v>3956</v>
      </c>
      <c r="M222">
        <v>1000</v>
      </c>
      <c r="N222">
        <v>2956</v>
      </c>
      <c r="O222" t="s">
        <v>25</v>
      </c>
      <c r="P222">
        <v>2.6</v>
      </c>
      <c r="Q222">
        <v>58</v>
      </c>
      <c r="R222" t="s">
        <v>1070</v>
      </c>
      <c r="S222">
        <v>3</v>
      </c>
      <c r="T222" t="str">
        <f>IF(Healthcare_Data[[#This Row],[Final_Bill]]&gt;=50000,"High",IF(Healthcare_Data[[#This Row],[Final_Bill]]&gt;=20000,"Medium","low"))</f>
        <v>low</v>
      </c>
    </row>
    <row r="223" spans="1:20" x14ac:dyDescent="0.3">
      <c r="A223" t="s">
        <v>278</v>
      </c>
      <c r="B223">
        <v>45745</v>
      </c>
      <c r="C223" t="s">
        <v>48</v>
      </c>
      <c r="D223" t="s">
        <v>34</v>
      </c>
      <c r="E223" t="s">
        <v>20</v>
      </c>
      <c r="F223" t="s">
        <v>40</v>
      </c>
      <c r="G223">
        <v>70</v>
      </c>
      <c r="H223" t="s">
        <v>41</v>
      </c>
      <c r="I223" t="s">
        <v>61</v>
      </c>
      <c r="J223" t="s">
        <v>24</v>
      </c>
      <c r="K223">
        <v>0</v>
      </c>
      <c r="L223">
        <v>18377</v>
      </c>
      <c r="M223">
        <v>0</v>
      </c>
      <c r="N223">
        <v>18377</v>
      </c>
      <c r="O223" t="s">
        <v>32</v>
      </c>
      <c r="P223">
        <v>2.7</v>
      </c>
      <c r="Q223">
        <v>29</v>
      </c>
      <c r="R223" t="s">
        <v>1070</v>
      </c>
      <c r="S223">
        <v>3</v>
      </c>
      <c r="T223" t="str">
        <f>IF(Healthcare_Data[[#This Row],[Final_Bill]]&gt;=50000,"High",IF(Healthcare_Data[[#This Row],[Final_Bill]]&gt;=20000,"Medium","low"))</f>
        <v>low</v>
      </c>
    </row>
    <row r="224" spans="1:20" x14ac:dyDescent="0.3">
      <c r="A224" t="s">
        <v>279</v>
      </c>
      <c r="B224">
        <v>45746</v>
      </c>
      <c r="C224" t="s">
        <v>54</v>
      </c>
      <c r="D224" t="s">
        <v>28</v>
      </c>
      <c r="E224" t="s">
        <v>52</v>
      </c>
      <c r="F224" t="s">
        <v>40</v>
      </c>
      <c r="G224">
        <v>67</v>
      </c>
      <c r="H224" t="s">
        <v>29</v>
      </c>
      <c r="I224" t="s">
        <v>42</v>
      </c>
      <c r="J224" t="s">
        <v>24</v>
      </c>
      <c r="K224">
        <v>2</v>
      </c>
      <c r="L224">
        <v>34159</v>
      </c>
      <c r="M224">
        <v>1000</v>
      </c>
      <c r="N224">
        <v>33159</v>
      </c>
      <c r="O224" t="s">
        <v>25</v>
      </c>
      <c r="P224">
        <v>4</v>
      </c>
      <c r="Q224">
        <v>58</v>
      </c>
      <c r="R224" t="s">
        <v>1070</v>
      </c>
      <c r="S224">
        <v>3</v>
      </c>
      <c r="T224" t="str">
        <f>IF(Healthcare_Data[[#This Row],[Final_Bill]]&gt;=50000,"High",IF(Healthcare_Data[[#This Row],[Final_Bill]]&gt;=20000,"Medium","low"))</f>
        <v>Medium</v>
      </c>
    </row>
    <row r="225" spans="1:20" x14ac:dyDescent="0.3">
      <c r="A225" t="s">
        <v>280</v>
      </c>
      <c r="B225">
        <v>45746</v>
      </c>
      <c r="C225" t="s">
        <v>44</v>
      </c>
      <c r="D225" t="s">
        <v>28</v>
      </c>
      <c r="E225" t="s">
        <v>20</v>
      </c>
      <c r="F225" t="s">
        <v>21</v>
      </c>
      <c r="G225">
        <v>24</v>
      </c>
      <c r="H225" t="s">
        <v>46</v>
      </c>
      <c r="I225" t="s">
        <v>57</v>
      </c>
      <c r="J225" t="s">
        <v>24</v>
      </c>
      <c r="K225">
        <v>0</v>
      </c>
      <c r="L225">
        <v>9048</v>
      </c>
      <c r="M225">
        <v>2000</v>
      </c>
      <c r="N225">
        <v>7048</v>
      </c>
      <c r="O225" t="s">
        <v>25</v>
      </c>
      <c r="P225">
        <v>3.9</v>
      </c>
      <c r="Q225">
        <v>65</v>
      </c>
      <c r="R225" t="s">
        <v>1070</v>
      </c>
      <c r="S225">
        <v>3</v>
      </c>
      <c r="T225" t="str">
        <f>IF(Healthcare_Data[[#This Row],[Final_Bill]]&gt;=50000,"High",IF(Healthcare_Data[[#This Row],[Final_Bill]]&gt;=20000,"Medium","low"))</f>
        <v>low</v>
      </c>
    </row>
    <row r="226" spans="1:20" x14ac:dyDescent="0.3">
      <c r="A226" t="s">
        <v>281</v>
      </c>
      <c r="B226">
        <v>45747</v>
      </c>
      <c r="C226" t="s">
        <v>38</v>
      </c>
      <c r="D226" t="s">
        <v>28</v>
      </c>
      <c r="E226" t="s">
        <v>52</v>
      </c>
      <c r="F226" t="s">
        <v>40</v>
      </c>
      <c r="G226">
        <v>35</v>
      </c>
      <c r="H226" t="s">
        <v>35</v>
      </c>
      <c r="I226" t="s">
        <v>57</v>
      </c>
      <c r="J226" t="s">
        <v>58</v>
      </c>
      <c r="K226">
        <v>10</v>
      </c>
      <c r="L226">
        <v>23007</v>
      </c>
      <c r="M226">
        <v>0</v>
      </c>
      <c r="N226">
        <v>23007</v>
      </c>
      <c r="O226" t="s">
        <v>32</v>
      </c>
      <c r="P226">
        <v>3.4</v>
      </c>
      <c r="Q226">
        <v>7</v>
      </c>
      <c r="R226" t="s">
        <v>1070</v>
      </c>
      <c r="S226">
        <v>3</v>
      </c>
      <c r="T226" t="str">
        <f>IF(Healthcare_Data[[#This Row],[Final_Bill]]&gt;=50000,"High",IF(Healthcare_Data[[#This Row],[Final_Bill]]&gt;=20000,"Medium","low"))</f>
        <v>Medium</v>
      </c>
    </row>
    <row r="227" spans="1:20" x14ac:dyDescent="0.3">
      <c r="A227" t="s">
        <v>282</v>
      </c>
      <c r="B227">
        <v>45747</v>
      </c>
      <c r="C227" t="s">
        <v>67</v>
      </c>
      <c r="D227" t="s">
        <v>19</v>
      </c>
      <c r="E227" t="s">
        <v>54</v>
      </c>
      <c r="F227" t="s">
        <v>21</v>
      </c>
      <c r="G227">
        <v>78</v>
      </c>
      <c r="H227" t="s">
        <v>29</v>
      </c>
      <c r="I227" t="s">
        <v>30</v>
      </c>
      <c r="J227" t="s">
        <v>24</v>
      </c>
      <c r="K227">
        <v>0</v>
      </c>
      <c r="L227">
        <v>23659</v>
      </c>
      <c r="M227">
        <v>0</v>
      </c>
      <c r="N227">
        <v>23659</v>
      </c>
      <c r="O227" t="s">
        <v>25</v>
      </c>
      <c r="P227">
        <v>2.6</v>
      </c>
      <c r="Q227">
        <v>10</v>
      </c>
      <c r="R227" t="s">
        <v>1070</v>
      </c>
      <c r="S227">
        <v>3</v>
      </c>
      <c r="T227" t="str">
        <f>IF(Healthcare_Data[[#This Row],[Final_Bill]]&gt;=50000,"High",IF(Healthcare_Data[[#This Row],[Final_Bill]]&gt;=20000,"Medium","low"))</f>
        <v>Medium</v>
      </c>
    </row>
    <row r="228" spans="1:20" x14ac:dyDescent="0.3">
      <c r="A228" t="s">
        <v>283</v>
      </c>
      <c r="B228">
        <v>45747</v>
      </c>
      <c r="C228" t="s">
        <v>18</v>
      </c>
      <c r="D228" t="s">
        <v>51</v>
      </c>
      <c r="E228" t="s">
        <v>20</v>
      </c>
      <c r="F228" t="s">
        <v>40</v>
      </c>
      <c r="G228">
        <v>36</v>
      </c>
      <c r="H228" t="s">
        <v>22</v>
      </c>
      <c r="I228" t="s">
        <v>72</v>
      </c>
      <c r="J228" t="s">
        <v>24</v>
      </c>
      <c r="K228">
        <v>0</v>
      </c>
      <c r="L228">
        <v>19123</v>
      </c>
      <c r="M228">
        <v>1500</v>
      </c>
      <c r="N228">
        <v>17623</v>
      </c>
      <c r="O228" t="s">
        <v>25</v>
      </c>
      <c r="P228">
        <v>2.8</v>
      </c>
      <c r="Q228">
        <v>25</v>
      </c>
      <c r="R228" t="s">
        <v>1070</v>
      </c>
      <c r="S228">
        <v>3</v>
      </c>
      <c r="T228" t="str">
        <f>IF(Healthcare_Data[[#This Row],[Final_Bill]]&gt;=50000,"High",IF(Healthcare_Data[[#This Row],[Final_Bill]]&gt;=20000,"Medium","low"))</f>
        <v>low</v>
      </c>
    </row>
    <row r="229" spans="1:20" x14ac:dyDescent="0.3">
      <c r="A229" t="s">
        <v>284</v>
      </c>
      <c r="B229">
        <v>45747</v>
      </c>
      <c r="C229" t="s">
        <v>50</v>
      </c>
      <c r="D229" t="s">
        <v>51</v>
      </c>
      <c r="E229" t="s">
        <v>52</v>
      </c>
      <c r="F229" t="s">
        <v>21</v>
      </c>
      <c r="G229">
        <v>55</v>
      </c>
      <c r="H229" t="s">
        <v>46</v>
      </c>
      <c r="I229" t="s">
        <v>72</v>
      </c>
      <c r="J229" t="s">
        <v>36</v>
      </c>
      <c r="K229">
        <v>12</v>
      </c>
      <c r="L229">
        <v>56632</v>
      </c>
      <c r="M229">
        <v>1000</v>
      </c>
      <c r="N229">
        <v>55632</v>
      </c>
      <c r="O229" t="s">
        <v>25</v>
      </c>
      <c r="P229">
        <v>3</v>
      </c>
      <c r="Q229">
        <v>101</v>
      </c>
      <c r="R229" t="s">
        <v>1070</v>
      </c>
      <c r="S229">
        <v>3</v>
      </c>
      <c r="T229" t="str">
        <f>IF(Healthcare_Data[[#This Row],[Final_Bill]]&gt;=50000,"High",IF(Healthcare_Data[[#This Row],[Final_Bill]]&gt;=20000,"Medium","low"))</f>
        <v>High</v>
      </c>
    </row>
    <row r="230" spans="1:20" x14ac:dyDescent="0.3">
      <c r="A230" t="s">
        <v>285</v>
      </c>
      <c r="B230">
        <v>45748</v>
      </c>
      <c r="C230" t="s">
        <v>48</v>
      </c>
      <c r="D230" t="s">
        <v>34</v>
      </c>
      <c r="E230" t="s">
        <v>20</v>
      </c>
      <c r="F230" t="s">
        <v>40</v>
      </c>
      <c r="G230">
        <v>59</v>
      </c>
      <c r="H230" t="s">
        <v>46</v>
      </c>
      <c r="I230" t="s">
        <v>23</v>
      </c>
      <c r="J230" t="s">
        <v>24</v>
      </c>
      <c r="K230">
        <v>0</v>
      </c>
      <c r="L230">
        <v>18446</v>
      </c>
      <c r="M230">
        <v>1000</v>
      </c>
      <c r="N230">
        <v>17446</v>
      </c>
      <c r="O230" t="s">
        <v>25</v>
      </c>
      <c r="P230">
        <v>3.2</v>
      </c>
      <c r="Q230">
        <v>12</v>
      </c>
      <c r="R230" t="s">
        <v>1071</v>
      </c>
      <c r="S230">
        <v>4</v>
      </c>
      <c r="T230" t="str">
        <f>IF(Healthcare_Data[[#This Row],[Final_Bill]]&gt;=50000,"High",IF(Healthcare_Data[[#This Row],[Final_Bill]]&gt;=20000,"Medium","low"))</f>
        <v>low</v>
      </c>
    </row>
    <row r="231" spans="1:20" x14ac:dyDescent="0.3">
      <c r="A231" t="s">
        <v>286</v>
      </c>
      <c r="B231">
        <v>45749</v>
      </c>
      <c r="C231" t="s">
        <v>48</v>
      </c>
      <c r="D231" t="s">
        <v>34</v>
      </c>
      <c r="E231" t="s">
        <v>20</v>
      </c>
      <c r="F231" t="s">
        <v>21</v>
      </c>
      <c r="G231">
        <v>28</v>
      </c>
      <c r="H231" t="s">
        <v>35</v>
      </c>
      <c r="I231" t="s">
        <v>23</v>
      </c>
      <c r="J231" t="s">
        <v>24</v>
      </c>
      <c r="K231">
        <v>0</v>
      </c>
      <c r="L231">
        <v>17024</v>
      </c>
      <c r="M231">
        <v>500</v>
      </c>
      <c r="N231">
        <v>16524</v>
      </c>
      <c r="O231" t="s">
        <v>25</v>
      </c>
      <c r="P231">
        <v>2.8</v>
      </c>
      <c r="Q231">
        <v>19</v>
      </c>
      <c r="R231" t="s">
        <v>1071</v>
      </c>
      <c r="S231">
        <v>4</v>
      </c>
      <c r="T231" t="str">
        <f>IF(Healthcare_Data[[#This Row],[Final_Bill]]&gt;=50000,"High",IF(Healthcare_Data[[#This Row],[Final_Bill]]&gt;=20000,"Medium","low"))</f>
        <v>low</v>
      </c>
    </row>
    <row r="232" spans="1:20" x14ac:dyDescent="0.3">
      <c r="A232" t="s">
        <v>287</v>
      </c>
      <c r="B232">
        <v>45749</v>
      </c>
      <c r="C232" t="s">
        <v>67</v>
      </c>
      <c r="D232" t="s">
        <v>34</v>
      </c>
      <c r="E232" t="s">
        <v>20</v>
      </c>
      <c r="F232" t="s">
        <v>40</v>
      </c>
      <c r="G232">
        <v>58</v>
      </c>
      <c r="H232" t="s">
        <v>22</v>
      </c>
      <c r="I232" t="s">
        <v>57</v>
      </c>
      <c r="J232" t="s">
        <v>24</v>
      </c>
      <c r="K232">
        <v>0</v>
      </c>
      <c r="L232">
        <v>4193</v>
      </c>
      <c r="M232">
        <v>0</v>
      </c>
      <c r="N232">
        <v>4193</v>
      </c>
      <c r="O232" t="s">
        <v>25</v>
      </c>
      <c r="P232">
        <v>2.8</v>
      </c>
      <c r="Q232">
        <v>36</v>
      </c>
      <c r="R232" t="s">
        <v>1071</v>
      </c>
      <c r="S232">
        <v>4</v>
      </c>
      <c r="T232" t="str">
        <f>IF(Healthcare_Data[[#This Row],[Final_Bill]]&gt;=50000,"High",IF(Healthcare_Data[[#This Row],[Final_Bill]]&gt;=20000,"Medium","low"))</f>
        <v>low</v>
      </c>
    </row>
    <row r="233" spans="1:20" x14ac:dyDescent="0.3">
      <c r="A233" t="s">
        <v>288</v>
      </c>
      <c r="B233">
        <v>45749</v>
      </c>
      <c r="C233" t="s">
        <v>48</v>
      </c>
      <c r="D233" t="s">
        <v>19</v>
      </c>
      <c r="E233" t="s">
        <v>20</v>
      </c>
      <c r="F233" t="s">
        <v>21</v>
      </c>
      <c r="G233">
        <v>77</v>
      </c>
      <c r="H233" t="s">
        <v>29</v>
      </c>
      <c r="I233" t="s">
        <v>57</v>
      </c>
      <c r="J233" t="s">
        <v>36</v>
      </c>
      <c r="K233">
        <v>0</v>
      </c>
      <c r="L233">
        <v>11051</v>
      </c>
      <c r="M233">
        <v>0</v>
      </c>
      <c r="N233">
        <v>11051</v>
      </c>
      <c r="O233" t="s">
        <v>25</v>
      </c>
      <c r="P233">
        <v>4.7</v>
      </c>
      <c r="Q233">
        <v>86</v>
      </c>
      <c r="R233" t="s">
        <v>1071</v>
      </c>
      <c r="S233">
        <v>4</v>
      </c>
      <c r="T233" t="str">
        <f>IF(Healthcare_Data[[#This Row],[Final_Bill]]&gt;=50000,"High",IF(Healthcare_Data[[#This Row],[Final_Bill]]&gt;=20000,"Medium","low"))</f>
        <v>low</v>
      </c>
    </row>
    <row r="234" spans="1:20" x14ac:dyDescent="0.3">
      <c r="A234" t="s">
        <v>289</v>
      </c>
      <c r="B234">
        <v>45749</v>
      </c>
      <c r="C234" t="s">
        <v>44</v>
      </c>
      <c r="D234" t="s">
        <v>51</v>
      </c>
      <c r="E234" t="s">
        <v>20</v>
      </c>
      <c r="F234" t="s">
        <v>21</v>
      </c>
      <c r="G234">
        <v>41</v>
      </c>
      <c r="H234" t="s">
        <v>22</v>
      </c>
      <c r="I234" t="s">
        <v>61</v>
      </c>
      <c r="J234" t="s">
        <v>24</v>
      </c>
      <c r="K234">
        <v>0</v>
      </c>
      <c r="L234">
        <v>18878</v>
      </c>
      <c r="M234">
        <v>0</v>
      </c>
      <c r="N234">
        <v>18878</v>
      </c>
      <c r="O234" t="s">
        <v>25</v>
      </c>
      <c r="P234">
        <v>3.1</v>
      </c>
      <c r="Q234">
        <v>60</v>
      </c>
      <c r="R234" t="s">
        <v>1071</v>
      </c>
      <c r="S234">
        <v>4</v>
      </c>
      <c r="T234" t="str">
        <f>IF(Healthcare_Data[[#This Row],[Final_Bill]]&gt;=50000,"High",IF(Healthcare_Data[[#This Row],[Final_Bill]]&gt;=20000,"Medium","low"))</f>
        <v>low</v>
      </c>
    </row>
    <row r="235" spans="1:20" x14ac:dyDescent="0.3">
      <c r="A235" t="s">
        <v>290</v>
      </c>
      <c r="B235">
        <v>45750</v>
      </c>
      <c r="C235" t="s">
        <v>18</v>
      </c>
      <c r="D235" t="s">
        <v>28</v>
      </c>
      <c r="E235" t="s">
        <v>52</v>
      </c>
      <c r="F235" t="s">
        <v>21</v>
      </c>
      <c r="G235">
        <v>69</v>
      </c>
      <c r="H235" t="s">
        <v>115</v>
      </c>
      <c r="I235" t="s">
        <v>72</v>
      </c>
      <c r="J235" t="s">
        <v>58</v>
      </c>
      <c r="K235">
        <v>11</v>
      </c>
      <c r="L235">
        <v>48868</v>
      </c>
      <c r="M235">
        <v>500</v>
      </c>
      <c r="N235">
        <v>48368</v>
      </c>
      <c r="O235" t="s">
        <v>25</v>
      </c>
      <c r="P235">
        <v>2.5</v>
      </c>
      <c r="Q235">
        <v>66</v>
      </c>
      <c r="R235" t="s">
        <v>1071</v>
      </c>
      <c r="S235">
        <v>4</v>
      </c>
      <c r="T235" t="str">
        <f>IF(Healthcare_Data[[#This Row],[Final_Bill]]&gt;=50000,"High",IF(Healthcare_Data[[#This Row],[Final_Bill]]&gt;=20000,"Medium","low"))</f>
        <v>Medium</v>
      </c>
    </row>
    <row r="236" spans="1:20" x14ac:dyDescent="0.3">
      <c r="A236" t="s">
        <v>291</v>
      </c>
      <c r="B236">
        <v>45750</v>
      </c>
      <c r="C236" t="s">
        <v>50</v>
      </c>
      <c r="D236" t="s">
        <v>39</v>
      </c>
      <c r="E236" t="s">
        <v>20</v>
      </c>
      <c r="F236" t="s">
        <v>21</v>
      </c>
      <c r="G236">
        <v>52</v>
      </c>
      <c r="H236" t="s">
        <v>29</v>
      </c>
      <c r="I236" t="s">
        <v>61</v>
      </c>
      <c r="J236" t="s">
        <v>36</v>
      </c>
      <c r="K236">
        <v>0</v>
      </c>
      <c r="L236">
        <v>18863</v>
      </c>
      <c r="M236">
        <v>500</v>
      </c>
      <c r="N236">
        <v>18363</v>
      </c>
      <c r="O236" t="s">
        <v>25</v>
      </c>
      <c r="P236">
        <v>2.6</v>
      </c>
      <c r="Q236">
        <v>111</v>
      </c>
      <c r="R236" t="s">
        <v>1071</v>
      </c>
      <c r="S236">
        <v>4</v>
      </c>
      <c r="T236" t="str">
        <f>IF(Healthcare_Data[[#This Row],[Final_Bill]]&gt;=50000,"High",IF(Healthcare_Data[[#This Row],[Final_Bill]]&gt;=20000,"Medium","low"))</f>
        <v>low</v>
      </c>
    </row>
    <row r="237" spans="1:20" x14ac:dyDescent="0.3">
      <c r="A237" t="s">
        <v>292</v>
      </c>
      <c r="B237">
        <v>45751</v>
      </c>
      <c r="C237" t="s">
        <v>18</v>
      </c>
      <c r="D237" t="s">
        <v>34</v>
      </c>
      <c r="E237" t="s">
        <v>52</v>
      </c>
      <c r="F237" t="s">
        <v>21</v>
      </c>
      <c r="G237">
        <v>29</v>
      </c>
      <c r="H237" t="s">
        <v>56</v>
      </c>
      <c r="I237" t="s">
        <v>61</v>
      </c>
      <c r="J237" t="s">
        <v>24</v>
      </c>
      <c r="K237">
        <v>14</v>
      </c>
      <c r="L237">
        <v>71370</v>
      </c>
      <c r="M237">
        <v>0</v>
      </c>
      <c r="N237">
        <v>71370</v>
      </c>
      <c r="O237" t="s">
        <v>25</v>
      </c>
      <c r="P237">
        <v>3.8</v>
      </c>
      <c r="Q237">
        <v>109</v>
      </c>
      <c r="R237" t="s">
        <v>1071</v>
      </c>
      <c r="S237">
        <v>4</v>
      </c>
      <c r="T237" t="str">
        <f>IF(Healthcare_Data[[#This Row],[Final_Bill]]&gt;=50000,"High",IF(Healthcare_Data[[#This Row],[Final_Bill]]&gt;=20000,"Medium","low"))</f>
        <v>High</v>
      </c>
    </row>
    <row r="238" spans="1:20" x14ac:dyDescent="0.3">
      <c r="A238" t="s">
        <v>293</v>
      </c>
      <c r="B238">
        <v>45751</v>
      </c>
      <c r="C238" t="s">
        <v>67</v>
      </c>
      <c r="D238" t="s">
        <v>34</v>
      </c>
      <c r="E238" t="s">
        <v>20</v>
      </c>
      <c r="F238" t="s">
        <v>40</v>
      </c>
      <c r="G238">
        <v>20</v>
      </c>
      <c r="H238" t="s">
        <v>65</v>
      </c>
      <c r="I238" t="s">
        <v>61</v>
      </c>
      <c r="J238" t="s">
        <v>31</v>
      </c>
      <c r="K238">
        <v>0</v>
      </c>
      <c r="L238">
        <v>14835</v>
      </c>
      <c r="M238">
        <v>0</v>
      </c>
      <c r="N238">
        <v>14835</v>
      </c>
      <c r="O238" t="s">
        <v>25</v>
      </c>
      <c r="P238">
        <v>3.2</v>
      </c>
      <c r="Q238">
        <v>106</v>
      </c>
      <c r="R238" t="s">
        <v>1071</v>
      </c>
      <c r="S238">
        <v>4</v>
      </c>
      <c r="T238" t="str">
        <f>IF(Healthcare_Data[[#This Row],[Final_Bill]]&gt;=50000,"High",IF(Healthcare_Data[[#This Row],[Final_Bill]]&gt;=20000,"Medium","low"))</f>
        <v>low</v>
      </c>
    </row>
    <row r="239" spans="1:20" x14ac:dyDescent="0.3">
      <c r="A239" t="s">
        <v>294</v>
      </c>
      <c r="B239">
        <v>45752</v>
      </c>
      <c r="C239" t="s">
        <v>18</v>
      </c>
      <c r="D239" t="s">
        <v>19</v>
      </c>
      <c r="E239" t="s">
        <v>52</v>
      </c>
      <c r="F239" t="s">
        <v>40</v>
      </c>
      <c r="G239">
        <v>30</v>
      </c>
      <c r="H239" t="s">
        <v>65</v>
      </c>
      <c r="I239" t="s">
        <v>57</v>
      </c>
      <c r="J239" t="s">
        <v>36</v>
      </c>
      <c r="K239">
        <v>6</v>
      </c>
      <c r="L239">
        <v>36040</v>
      </c>
      <c r="M239">
        <v>1000</v>
      </c>
      <c r="N239">
        <v>35040</v>
      </c>
      <c r="O239" t="s">
        <v>25</v>
      </c>
      <c r="P239">
        <v>4.3</v>
      </c>
      <c r="Q239">
        <v>87</v>
      </c>
      <c r="R239" t="s">
        <v>1071</v>
      </c>
      <c r="S239">
        <v>4</v>
      </c>
      <c r="T239" t="str">
        <f>IF(Healthcare_Data[[#This Row],[Final_Bill]]&gt;=50000,"High",IF(Healthcare_Data[[#This Row],[Final_Bill]]&gt;=20000,"Medium","low"))</f>
        <v>Medium</v>
      </c>
    </row>
    <row r="240" spans="1:20" x14ac:dyDescent="0.3">
      <c r="A240" t="s">
        <v>295</v>
      </c>
      <c r="B240">
        <v>45752</v>
      </c>
      <c r="C240" t="s">
        <v>48</v>
      </c>
      <c r="D240" t="s">
        <v>19</v>
      </c>
      <c r="E240" t="s">
        <v>52</v>
      </c>
      <c r="F240" t="s">
        <v>21</v>
      </c>
      <c r="G240">
        <v>28</v>
      </c>
      <c r="H240" t="s">
        <v>115</v>
      </c>
      <c r="I240" t="s">
        <v>42</v>
      </c>
      <c r="J240" t="s">
        <v>31</v>
      </c>
      <c r="K240">
        <v>7</v>
      </c>
      <c r="L240">
        <v>65104</v>
      </c>
      <c r="M240">
        <v>500</v>
      </c>
      <c r="N240">
        <v>64604</v>
      </c>
      <c r="O240" t="s">
        <v>25</v>
      </c>
      <c r="P240">
        <v>3.4</v>
      </c>
      <c r="Q240">
        <v>42</v>
      </c>
      <c r="R240" t="s">
        <v>1071</v>
      </c>
      <c r="S240">
        <v>4</v>
      </c>
      <c r="T240" t="str">
        <f>IF(Healthcare_Data[[#This Row],[Final_Bill]]&gt;=50000,"High",IF(Healthcare_Data[[#This Row],[Final_Bill]]&gt;=20000,"Medium","low"))</f>
        <v>High</v>
      </c>
    </row>
    <row r="241" spans="1:20" x14ac:dyDescent="0.3">
      <c r="A241" t="s">
        <v>296</v>
      </c>
      <c r="B241">
        <v>45752</v>
      </c>
      <c r="C241" t="s">
        <v>54</v>
      </c>
      <c r="D241" t="s">
        <v>19</v>
      </c>
      <c r="E241" t="s">
        <v>20</v>
      </c>
      <c r="F241" t="s">
        <v>21</v>
      </c>
      <c r="G241">
        <v>21</v>
      </c>
      <c r="H241" t="s">
        <v>22</v>
      </c>
      <c r="I241" t="s">
        <v>57</v>
      </c>
      <c r="J241" t="s">
        <v>24</v>
      </c>
      <c r="K241">
        <v>0</v>
      </c>
      <c r="L241">
        <v>16989</v>
      </c>
      <c r="M241">
        <v>500</v>
      </c>
      <c r="N241">
        <v>16489</v>
      </c>
      <c r="O241" t="s">
        <v>25</v>
      </c>
      <c r="P241">
        <v>3.8</v>
      </c>
      <c r="Q241">
        <v>8</v>
      </c>
      <c r="R241" t="s">
        <v>1071</v>
      </c>
      <c r="S241">
        <v>4</v>
      </c>
      <c r="T241" t="str">
        <f>IF(Healthcare_Data[[#This Row],[Final_Bill]]&gt;=50000,"High",IF(Healthcare_Data[[#This Row],[Final_Bill]]&gt;=20000,"Medium","low"))</f>
        <v>low</v>
      </c>
    </row>
    <row r="242" spans="1:20" x14ac:dyDescent="0.3">
      <c r="A242" t="s">
        <v>297</v>
      </c>
      <c r="B242">
        <v>45752</v>
      </c>
      <c r="C242" t="s">
        <v>54</v>
      </c>
      <c r="D242" t="s">
        <v>19</v>
      </c>
      <c r="E242" t="s">
        <v>20</v>
      </c>
      <c r="F242" t="s">
        <v>40</v>
      </c>
      <c r="G242">
        <v>42</v>
      </c>
      <c r="H242" t="s">
        <v>29</v>
      </c>
      <c r="I242" t="s">
        <v>42</v>
      </c>
      <c r="J242" t="s">
        <v>24</v>
      </c>
      <c r="K242">
        <v>0</v>
      </c>
      <c r="L242">
        <v>18610</v>
      </c>
      <c r="M242">
        <v>1500</v>
      </c>
      <c r="N242">
        <v>17110</v>
      </c>
      <c r="O242" t="s">
        <v>25</v>
      </c>
      <c r="P242">
        <v>3.5</v>
      </c>
      <c r="Q242">
        <v>76</v>
      </c>
      <c r="R242" t="s">
        <v>1071</v>
      </c>
      <c r="S242">
        <v>4</v>
      </c>
      <c r="T242" t="str">
        <f>IF(Healthcare_Data[[#This Row],[Final_Bill]]&gt;=50000,"High",IF(Healthcare_Data[[#This Row],[Final_Bill]]&gt;=20000,"Medium","low"))</f>
        <v>low</v>
      </c>
    </row>
    <row r="243" spans="1:20" x14ac:dyDescent="0.3">
      <c r="A243" t="s">
        <v>298</v>
      </c>
      <c r="B243">
        <v>45752</v>
      </c>
      <c r="C243" t="s">
        <v>38</v>
      </c>
      <c r="D243" t="s">
        <v>51</v>
      </c>
      <c r="E243" t="s">
        <v>20</v>
      </c>
      <c r="F243" t="s">
        <v>40</v>
      </c>
      <c r="G243">
        <v>62</v>
      </c>
      <c r="H243" t="s">
        <v>22</v>
      </c>
      <c r="I243" t="s">
        <v>23</v>
      </c>
      <c r="J243" t="s">
        <v>58</v>
      </c>
      <c r="K243">
        <v>0</v>
      </c>
      <c r="L243">
        <v>5577</v>
      </c>
      <c r="M243">
        <v>0</v>
      </c>
      <c r="N243">
        <v>5577</v>
      </c>
      <c r="O243" t="s">
        <v>25</v>
      </c>
      <c r="P243">
        <v>2.9</v>
      </c>
      <c r="Q243">
        <v>71</v>
      </c>
      <c r="R243" t="s">
        <v>1071</v>
      </c>
      <c r="S243">
        <v>4</v>
      </c>
      <c r="T243" t="str">
        <f>IF(Healthcare_Data[[#This Row],[Final_Bill]]&gt;=50000,"High",IF(Healthcare_Data[[#This Row],[Final_Bill]]&gt;=20000,"Medium","low"))</f>
        <v>low</v>
      </c>
    </row>
    <row r="244" spans="1:20" x14ac:dyDescent="0.3">
      <c r="A244" t="s">
        <v>299</v>
      </c>
      <c r="B244">
        <v>45753</v>
      </c>
      <c r="C244" t="s">
        <v>38</v>
      </c>
      <c r="D244" t="s">
        <v>19</v>
      </c>
      <c r="E244" t="s">
        <v>54</v>
      </c>
      <c r="F244" t="s">
        <v>21</v>
      </c>
      <c r="G244">
        <v>30</v>
      </c>
      <c r="H244" t="s">
        <v>46</v>
      </c>
      <c r="I244" t="s">
        <v>42</v>
      </c>
      <c r="J244" t="s">
        <v>24</v>
      </c>
      <c r="K244">
        <v>0</v>
      </c>
      <c r="L244">
        <v>9425</v>
      </c>
      <c r="M244">
        <v>500</v>
      </c>
      <c r="N244">
        <v>8925</v>
      </c>
      <c r="O244" t="s">
        <v>25</v>
      </c>
      <c r="P244">
        <v>4.5999999999999996</v>
      </c>
      <c r="Q244">
        <v>113</v>
      </c>
      <c r="R244" t="s">
        <v>1071</v>
      </c>
      <c r="S244">
        <v>4</v>
      </c>
      <c r="T244" t="str">
        <f>IF(Healthcare_Data[[#This Row],[Final_Bill]]&gt;=50000,"High",IF(Healthcare_Data[[#This Row],[Final_Bill]]&gt;=20000,"Medium","low"))</f>
        <v>low</v>
      </c>
    </row>
    <row r="245" spans="1:20" x14ac:dyDescent="0.3">
      <c r="A245" t="s">
        <v>300</v>
      </c>
      <c r="B245">
        <v>45753</v>
      </c>
      <c r="C245" t="s">
        <v>50</v>
      </c>
      <c r="D245" t="s">
        <v>51</v>
      </c>
      <c r="E245" t="s">
        <v>52</v>
      </c>
      <c r="F245" t="s">
        <v>21</v>
      </c>
      <c r="G245">
        <v>29</v>
      </c>
      <c r="H245" t="s">
        <v>29</v>
      </c>
      <c r="I245" t="s">
        <v>72</v>
      </c>
      <c r="J245" t="s">
        <v>31</v>
      </c>
      <c r="K245">
        <v>8</v>
      </c>
      <c r="L245">
        <v>33594</v>
      </c>
      <c r="M245">
        <v>1500</v>
      </c>
      <c r="N245">
        <v>32094</v>
      </c>
      <c r="O245" t="s">
        <v>32</v>
      </c>
      <c r="P245">
        <v>2.9</v>
      </c>
      <c r="Q245">
        <v>18</v>
      </c>
      <c r="R245" t="s">
        <v>1071</v>
      </c>
      <c r="S245">
        <v>4</v>
      </c>
      <c r="T245" t="str">
        <f>IF(Healthcare_Data[[#This Row],[Final_Bill]]&gt;=50000,"High",IF(Healthcare_Data[[#This Row],[Final_Bill]]&gt;=20000,"Medium","low"))</f>
        <v>Medium</v>
      </c>
    </row>
    <row r="246" spans="1:20" x14ac:dyDescent="0.3">
      <c r="A246" t="s">
        <v>301</v>
      </c>
      <c r="B246">
        <v>45753</v>
      </c>
      <c r="C246" t="s">
        <v>54</v>
      </c>
      <c r="D246" t="s">
        <v>19</v>
      </c>
      <c r="E246" t="s">
        <v>52</v>
      </c>
      <c r="F246" t="s">
        <v>21</v>
      </c>
      <c r="G246">
        <v>60</v>
      </c>
      <c r="H246" t="s">
        <v>56</v>
      </c>
      <c r="I246" t="s">
        <v>61</v>
      </c>
      <c r="J246" t="s">
        <v>36</v>
      </c>
      <c r="K246">
        <v>10</v>
      </c>
      <c r="L246">
        <v>79094</v>
      </c>
      <c r="M246">
        <v>0</v>
      </c>
      <c r="N246">
        <v>79094</v>
      </c>
      <c r="O246" t="s">
        <v>25</v>
      </c>
      <c r="P246">
        <v>3.5</v>
      </c>
      <c r="Q246">
        <v>72</v>
      </c>
      <c r="R246" t="s">
        <v>1071</v>
      </c>
      <c r="S246">
        <v>4</v>
      </c>
      <c r="T246" t="str">
        <f>IF(Healthcare_Data[[#This Row],[Final_Bill]]&gt;=50000,"High",IF(Healthcare_Data[[#This Row],[Final_Bill]]&gt;=20000,"Medium","low"))</f>
        <v>High</v>
      </c>
    </row>
    <row r="247" spans="1:20" x14ac:dyDescent="0.3">
      <c r="A247" t="s">
        <v>302</v>
      </c>
      <c r="B247">
        <v>45753</v>
      </c>
      <c r="C247" t="s">
        <v>67</v>
      </c>
      <c r="D247" t="s">
        <v>28</v>
      </c>
      <c r="E247" t="s">
        <v>20</v>
      </c>
      <c r="F247" t="s">
        <v>40</v>
      </c>
      <c r="G247">
        <v>57</v>
      </c>
      <c r="H247" t="s">
        <v>22</v>
      </c>
      <c r="I247" t="s">
        <v>30</v>
      </c>
      <c r="J247" t="s">
        <v>24</v>
      </c>
      <c r="K247">
        <v>0</v>
      </c>
      <c r="L247">
        <v>11490</v>
      </c>
      <c r="M247">
        <v>1000</v>
      </c>
      <c r="N247">
        <v>10490</v>
      </c>
      <c r="O247" t="s">
        <v>25</v>
      </c>
      <c r="P247">
        <v>4.7</v>
      </c>
      <c r="Q247">
        <v>97</v>
      </c>
      <c r="R247" t="s">
        <v>1071</v>
      </c>
      <c r="S247">
        <v>4</v>
      </c>
      <c r="T247" t="str">
        <f>IF(Healthcare_Data[[#This Row],[Final_Bill]]&gt;=50000,"High",IF(Healthcare_Data[[#This Row],[Final_Bill]]&gt;=20000,"Medium","low"))</f>
        <v>low</v>
      </c>
    </row>
    <row r="248" spans="1:20" x14ac:dyDescent="0.3">
      <c r="A248" t="s">
        <v>303</v>
      </c>
      <c r="B248">
        <v>45753</v>
      </c>
      <c r="C248" t="s">
        <v>48</v>
      </c>
      <c r="D248" t="s">
        <v>28</v>
      </c>
      <c r="E248" t="s">
        <v>20</v>
      </c>
      <c r="F248" t="s">
        <v>40</v>
      </c>
      <c r="G248">
        <v>29</v>
      </c>
      <c r="H248" t="s">
        <v>41</v>
      </c>
      <c r="I248" t="s">
        <v>42</v>
      </c>
      <c r="J248" t="s">
        <v>31</v>
      </c>
      <c r="K248">
        <v>0</v>
      </c>
      <c r="L248">
        <v>11957</v>
      </c>
      <c r="M248">
        <v>1500</v>
      </c>
      <c r="N248">
        <v>10457</v>
      </c>
      <c r="O248" t="s">
        <v>25</v>
      </c>
      <c r="P248">
        <v>4.7</v>
      </c>
      <c r="Q248">
        <v>108</v>
      </c>
      <c r="R248" t="s">
        <v>1071</v>
      </c>
      <c r="S248">
        <v>4</v>
      </c>
      <c r="T248" t="str">
        <f>IF(Healthcare_Data[[#This Row],[Final_Bill]]&gt;=50000,"High",IF(Healthcare_Data[[#This Row],[Final_Bill]]&gt;=20000,"Medium","low"))</f>
        <v>low</v>
      </c>
    </row>
    <row r="249" spans="1:20" x14ac:dyDescent="0.3">
      <c r="A249" t="s">
        <v>304</v>
      </c>
      <c r="B249">
        <v>45754</v>
      </c>
      <c r="C249" t="s">
        <v>27</v>
      </c>
      <c r="D249" t="s">
        <v>19</v>
      </c>
      <c r="E249" t="s">
        <v>52</v>
      </c>
      <c r="F249" t="s">
        <v>21</v>
      </c>
      <c r="G249">
        <v>52</v>
      </c>
      <c r="H249" t="s">
        <v>22</v>
      </c>
      <c r="I249" t="s">
        <v>63</v>
      </c>
      <c r="J249" t="s">
        <v>24</v>
      </c>
      <c r="K249">
        <v>8</v>
      </c>
      <c r="L249">
        <v>58314</v>
      </c>
      <c r="M249">
        <v>0</v>
      </c>
      <c r="N249">
        <v>58314</v>
      </c>
      <c r="O249" t="s">
        <v>32</v>
      </c>
      <c r="P249">
        <v>2.7</v>
      </c>
      <c r="Q249">
        <v>73</v>
      </c>
      <c r="R249" t="s">
        <v>1071</v>
      </c>
      <c r="S249">
        <v>4</v>
      </c>
      <c r="T249" t="str">
        <f>IF(Healthcare_Data[[#This Row],[Final_Bill]]&gt;=50000,"High",IF(Healthcare_Data[[#This Row],[Final_Bill]]&gt;=20000,"Medium","low"))</f>
        <v>High</v>
      </c>
    </row>
    <row r="250" spans="1:20" x14ac:dyDescent="0.3">
      <c r="A250" t="s">
        <v>305</v>
      </c>
      <c r="B250">
        <v>45754</v>
      </c>
      <c r="C250" t="s">
        <v>44</v>
      </c>
      <c r="D250" t="s">
        <v>39</v>
      </c>
      <c r="E250" t="s">
        <v>20</v>
      </c>
      <c r="F250" t="s">
        <v>40</v>
      </c>
      <c r="G250">
        <v>57</v>
      </c>
      <c r="H250" t="s">
        <v>29</v>
      </c>
      <c r="I250" t="s">
        <v>61</v>
      </c>
      <c r="J250" t="s">
        <v>58</v>
      </c>
      <c r="K250">
        <v>0</v>
      </c>
      <c r="L250">
        <v>4322</v>
      </c>
      <c r="M250">
        <v>1000</v>
      </c>
      <c r="N250">
        <v>3322</v>
      </c>
      <c r="O250" t="s">
        <v>25</v>
      </c>
      <c r="P250">
        <v>3.1</v>
      </c>
      <c r="Q250">
        <v>120</v>
      </c>
      <c r="R250" t="s">
        <v>1071</v>
      </c>
      <c r="S250">
        <v>4</v>
      </c>
      <c r="T250" t="str">
        <f>IF(Healthcare_Data[[#This Row],[Final_Bill]]&gt;=50000,"High",IF(Healthcare_Data[[#This Row],[Final_Bill]]&gt;=20000,"Medium","low"))</f>
        <v>low</v>
      </c>
    </row>
    <row r="251" spans="1:20" x14ac:dyDescent="0.3">
      <c r="A251" t="s">
        <v>306</v>
      </c>
      <c r="B251">
        <v>45755</v>
      </c>
      <c r="C251" t="s">
        <v>44</v>
      </c>
      <c r="D251" t="s">
        <v>34</v>
      </c>
      <c r="E251" t="s">
        <v>20</v>
      </c>
      <c r="F251" t="s">
        <v>40</v>
      </c>
      <c r="G251">
        <v>74</v>
      </c>
      <c r="H251" t="s">
        <v>115</v>
      </c>
      <c r="I251" t="s">
        <v>23</v>
      </c>
      <c r="J251" t="s">
        <v>24</v>
      </c>
      <c r="K251">
        <v>0</v>
      </c>
      <c r="L251">
        <v>13880</v>
      </c>
      <c r="M251">
        <v>1000</v>
      </c>
      <c r="N251">
        <v>12880</v>
      </c>
      <c r="O251" t="s">
        <v>25</v>
      </c>
      <c r="P251">
        <v>4.3</v>
      </c>
      <c r="Q251">
        <v>35</v>
      </c>
      <c r="R251" t="s">
        <v>1071</v>
      </c>
      <c r="S251">
        <v>4</v>
      </c>
      <c r="T251" t="str">
        <f>IF(Healthcare_Data[[#This Row],[Final_Bill]]&gt;=50000,"High",IF(Healthcare_Data[[#This Row],[Final_Bill]]&gt;=20000,"Medium","low"))</f>
        <v>low</v>
      </c>
    </row>
    <row r="252" spans="1:20" x14ac:dyDescent="0.3">
      <c r="A252" t="s">
        <v>307</v>
      </c>
      <c r="B252">
        <v>45755</v>
      </c>
      <c r="C252" t="s">
        <v>48</v>
      </c>
      <c r="D252" t="s">
        <v>39</v>
      </c>
      <c r="E252" t="s">
        <v>52</v>
      </c>
      <c r="F252" t="s">
        <v>40</v>
      </c>
      <c r="G252">
        <v>47</v>
      </c>
      <c r="H252" t="s">
        <v>22</v>
      </c>
      <c r="I252" t="s">
        <v>57</v>
      </c>
      <c r="J252" t="s">
        <v>31</v>
      </c>
      <c r="K252">
        <v>3</v>
      </c>
      <c r="L252">
        <v>78989</v>
      </c>
      <c r="M252">
        <v>1500</v>
      </c>
      <c r="N252">
        <v>77489</v>
      </c>
      <c r="O252" t="s">
        <v>25</v>
      </c>
      <c r="P252">
        <v>3.6</v>
      </c>
      <c r="Q252">
        <v>69</v>
      </c>
      <c r="R252" t="s">
        <v>1071</v>
      </c>
      <c r="S252">
        <v>4</v>
      </c>
      <c r="T252" t="str">
        <f>IF(Healthcare_Data[[#This Row],[Final_Bill]]&gt;=50000,"High",IF(Healthcare_Data[[#This Row],[Final_Bill]]&gt;=20000,"Medium","low"))</f>
        <v>High</v>
      </c>
    </row>
    <row r="253" spans="1:20" x14ac:dyDescent="0.3">
      <c r="A253" t="s">
        <v>308</v>
      </c>
      <c r="B253">
        <v>45755</v>
      </c>
      <c r="C253" t="s">
        <v>18</v>
      </c>
      <c r="D253" t="s">
        <v>34</v>
      </c>
      <c r="E253" t="s">
        <v>20</v>
      </c>
      <c r="F253" t="s">
        <v>40</v>
      </c>
      <c r="G253">
        <v>64</v>
      </c>
      <c r="H253" t="s">
        <v>35</v>
      </c>
      <c r="I253" t="s">
        <v>30</v>
      </c>
      <c r="J253" t="s">
        <v>58</v>
      </c>
      <c r="K253">
        <v>0</v>
      </c>
      <c r="L253">
        <v>16889</v>
      </c>
      <c r="M253">
        <v>1500</v>
      </c>
      <c r="N253">
        <v>15389</v>
      </c>
      <c r="O253" t="s">
        <v>25</v>
      </c>
      <c r="P253">
        <v>3.8</v>
      </c>
      <c r="Q253">
        <v>50</v>
      </c>
      <c r="R253" t="s">
        <v>1071</v>
      </c>
      <c r="S253">
        <v>4</v>
      </c>
      <c r="T253" t="str">
        <f>IF(Healthcare_Data[[#This Row],[Final_Bill]]&gt;=50000,"High",IF(Healthcare_Data[[#This Row],[Final_Bill]]&gt;=20000,"Medium","low"))</f>
        <v>low</v>
      </c>
    </row>
    <row r="254" spans="1:20" x14ac:dyDescent="0.3">
      <c r="A254" t="s">
        <v>309</v>
      </c>
      <c r="B254">
        <v>45756</v>
      </c>
      <c r="C254" t="s">
        <v>18</v>
      </c>
      <c r="D254" t="s">
        <v>39</v>
      </c>
      <c r="E254" t="s">
        <v>20</v>
      </c>
      <c r="F254" t="s">
        <v>21</v>
      </c>
      <c r="G254">
        <v>69</v>
      </c>
      <c r="H254" t="s">
        <v>46</v>
      </c>
      <c r="I254" t="s">
        <v>57</v>
      </c>
      <c r="J254" t="s">
        <v>31</v>
      </c>
      <c r="K254">
        <v>0</v>
      </c>
      <c r="L254">
        <v>8408</v>
      </c>
      <c r="M254">
        <v>0</v>
      </c>
      <c r="N254">
        <v>8408</v>
      </c>
      <c r="O254" t="s">
        <v>32</v>
      </c>
      <c r="P254">
        <v>4.0999999999999996</v>
      </c>
      <c r="Q254">
        <v>111</v>
      </c>
      <c r="R254" t="s">
        <v>1071</v>
      </c>
      <c r="S254">
        <v>4</v>
      </c>
      <c r="T254" t="str">
        <f>IF(Healthcare_Data[[#This Row],[Final_Bill]]&gt;=50000,"High",IF(Healthcare_Data[[#This Row],[Final_Bill]]&gt;=20000,"Medium","low"))</f>
        <v>low</v>
      </c>
    </row>
    <row r="255" spans="1:20" x14ac:dyDescent="0.3">
      <c r="A255" t="s">
        <v>310</v>
      </c>
      <c r="B255">
        <v>45756</v>
      </c>
      <c r="C255" t="s">
        <v>54</v>
      </c>
      <c r="D255" t="s">
        <v>51</v>
      </c>
      <c r="E255" t="s">
        <v>20</v>
      </c>
      <c r="F255" t="s">
        <v>21</v>
      </c>
      <c r="G255">
        <v>76</v>
      </c>
      <c r="H255" t="s">
        <v>46</v>
      </c>
      <c r="I255" t="s">
        <v>63</v>
      </c>
      <c r="J255" t="s">
        <v>31</v>
      </c>
      <c r="K255">
        <v>0</v>
      </c>
      <c r="L255">
        <v>19117</v>
      </c>
      <c r="M255">
        <v>500</v>
      </c>
      <c r="N255">
        <v>18617</v>
      </c>
      <c r="O255" t="s">
        <v>25</v>
      </c>
      <c r="P255">
        <v>3.4</v>
      </c>
      <c r="Q255">
        <v>107</v>
      </c>
      <c r="R255" t="s">
        <v>1071</v>
      </c>
      <c r="S255">
        <v>4</v>
      </c>
      <c r="T255" t="str">
        <f>IF(Healthcare_Data[[#This Row],[Final_Bill]]&gt;=50000,"High",IF(Healthcare_Data[[#This Row],[Final_Bill]]&gt;=20000,"Medium","low"))</f>
        <v>low</v>
      </c>
    </row>
    <row r="256" spans="1:20" x14ac:dyDescent="0.3">
      <c r="A256" t="s">
        <v>311</v>
      </c>
      <c r="B256">
        <v>45756</v>
      </c>
      <c r="C256" t="s">
        <v>50</v>
      </c>
      <c r="D256" t="s">
        <v>28</v>
      </c>
      <c r="E256" t="s">
        <v>52</v>
      </c>
      <c r="F256" t="s">
        <v>40</v>
      </c>
      <c r="G256">
        <v>51</v>
      </c>
      <c r="H256" t="s">
        <v>56</v>
      </c>
      <c r="I256" t="s">
        <v>42</v>
      </c>
      <c r="J256" t="s">
        <v>24</v>
      </c>
      <c r="K256">
        <v>5</v>
      </c>
      <c r="L256">
        <v>77694</v>
      </c>
      <c r="M256">
        <v>500</v>
      </c>
      <c r="N256">
        <v>77194</v>
      </c>
      <c r="O256" t="s">
        <v>25</v>
      </c>
      <c r="P256">
        <v>3.2</v>
      </c>
      <c r="Q256">
        <v>44</v>
      </c>
      <c r="R256" t="s">
        <v>1071</v>
      </c>
      <c r="S256">
        <v>4</v>
      </c>
      <c r="T256" t="str">
        <f>IF(Healthcare_Data[[#This Row],[Final_Bill]]&gt;=50000,"High",IF(Healthcare_Data[[#This Row],[Final_Bill]]&gt;=20000,"Medium","low"))</f>
        <v>High</v>
      </c>
    </row>
    <row r="257" spans="1:20" x14ac:dyDescent="0.3">
      <c r="A257" t="s">
        <v>312</v>
      </c>
      <c r="B257">
        <v>45756</v>
      </c>
      <c r="C257" t="s">
        <v>48</v>
      </c>
      <c r="D257" t="s">
        <v>19</v>
      </c>
      <c r="E257" t="s">
        <v>52</v>
      </c>
      <c r="F257" t="s">
        <v>40</v>
      </c>
      <c r="G257">
        <v>39</v>
      </c>
      <c r="H257" t="s">
        <v>41</v>
      </c>
      <c r="I257" t="s">
        <v>69</v>
      </c>
      <c r="J257" t="s">
        <v>36</v>
      </c>
      <c r="K257">
        <v>14</v>
      </c>
      <c r="L257">
        <v>44732</v>
      </c>
      <c r="M257">
        <v>0</v>
      </c>
      <c r="N257">
        <v>44732</v>
      </c>
      <c r="O257" t="s">
        <v>25</v>
      </c>
      <c r="P257">
        <v>4.2</v>
      </c>
      <c r="Q257">
        <v>67</v>
      </c>
      <c r="R257" t="s">
        <v>1071</v>
      </c>
      <c r="S257">
        <v>4</v>
      </c>
      <c r="T257" t="str">
        <f>IF(Healthcare_Data[[#This Row],[Final_Bill]]&gt;=50000,"High",IF(Healthcare_Data[[#This Row],[Final_Bill]]&gt;=20000,"Medium","low"))</f>
        <v>Medium</v>
      </c>
    </row>
    <row r="258" spans="1:20" x14ac:dyDescent="0.3">
      <c r="A258" t="s">
        <v>313</v>
      </c>
      <c r="B258">
        <v>45756</v>
      </c>
      <c r="C258" t="s">
        <v>67</v>
      </c>
      <c r="D258" t="s">
        <v>28</v>
      </c>
      <c r="E258" t="s">
        <v>20</v>
      </c>
      <c r="F258" t="s">
        <v>21</v>
      </c>
      <c r="G258">
        <v>23</v>
      </c>
      <c r="H258" t="s">
        <v>29</v>
      </c>
      <c r="I258" t="s">
        <v>63</v>
      </c>
      <c r="J258" t="s">
        <v>24</v>
      </c>
      <c r="K258">
        <v>0</v>
      </c>
      <c r="L258">
        <v>8183</v>
      </c>
      <c r="M258">
        <v>2000</v>
      </c>
      <c r="N258">
        <v>6183</v>
      </c>
      <c r="O258" t="s">
        <v>25</v>
      </c>
      <c r="P258">
        <v>4.3</v>
      </c>
      <c r="Q258">
        <v>38</v>
      </c>
      <c r="R258" t="s">
        <v>1071</v>
      </c>
      <c r="S258">
        <v>4</v>
      </c>
      <c r="T258" t="str">
        <f>IF(Healthcare_Data[[#This Row],[Final_Bill]]&gt;=50000,"High",IF(Healthcare_Data[[#This Row],[Final_Bill]]&gt;=20000,"Medium","low"))</f>
        <v>low</v>
      </c>
    </row>
    <row r="259" spans="1:20" x14ac:dyDescent="0.3">
      <c r="A259" t="s">
        <v>314</v>
      </c>
      <c r="B259">
        <v>45756</v>
      </c>
      <c r="C259" t="s">
        <v>67</v>
      </c>
      <c r="D259" t="s">
        <v>28</v>
      </c>
      <c r="E259" t="s">
        <v>54</v>
      </c>
      <c r="F259" t="s">
        <v>40</v>
      </c>
      <c r="G259">
        <v>18</v>
      </c>
      <c r="H259" t="s">
        <v>35</v>
      </c>
      <c r="I259" t="s">
        <v>61</v>
      </c>
      <c r="J259" t="s">
        <v>24</v>
      </c>
      <c r="K259">
        <v>0</v>
      </c>
      <c r="L259">
        <v>43524</v>
      </c>
      <c r="M259">
        <v>0</v>
      </c>
      <c r="N259">
        <v>43524</v>
      </c>
      <c r="O259" t="s">
        <v>25</v>
      </c>
      <c r="P259">
        <v>3.3</v>
      </c>
      <c r="Q259">
        <v>96</v>
      </c>
      <c r="R259" t="s">
        <v>1071</v>
      </c>
      <c r="S259">
        <v>4</v>
      </c>
      <c r="T259" t="str">
        <f>IF(Healthcare_Data[[#This Row],[Final_Bill]]&gt;=50000,"High",IF(Healthcare_Data[[#This Row],[Final_Bill]]&gt;=20000,"Medium","low"))</f>
        <v>Medium</v>
      </c>
    </row>
    <row r="260" spans="1:20" x14ac:dyDescent="0.3">
      <c r="A260" t="s">
        <v>315</v>
      </c>
      <c r="B260">
        <v>45756</v>
      </c>
      <c r="C260" t="s">
        <v>67</v>
      </c>
      <c r="D260" t="s">
        <v>39</v>
      </c>
      <c r="E260" t="s">
        <v>20</v>
      </c>
      <c r="F260" t="s">
        <v>40</v>
      </c>
      <c r="G260">
        <v>65</v>
      </c>
      <c r="H260" t="s">
        <v>29</v>
      </c>
      <c r="I260" t="s">
        <v>61</v>
      </c>
      <c r="J260" t="s">
        <v>24</v>
      </c>
      <c r="K260">
        <v>0</v>
      </c>
      <c r="L260">
        <v>6654</v>
      </c>
      <c r="M260">
        <v>1000</v>
      </c>
      <c r="N260">
        <v>5654</v>
      </c>
      <c r="O260" t="s">
        <v>25</v>
      </c>
      <c r="P260">
        <v>3</v>
      </c>
      <c r="Q260">
        <v>111</v>
      </c>
      <c r="R260" t="s">
        <v>1071</v>
      </c>
      <c r="S260">
        <v>4</v>
      </c>
      <c r="T260" t="str">
        <f>IF(Healthcare_Data[[#This Row],[Final_Bill]]&gt;=50000,"High",IF(Healthcare_Data[[#This Row],[Final_Bill]]&gt;=20000,"Medium","low"))</f>
        <v>low</v>
      </c>
    </row>
    <row r="261" spans="1:20" x14ac:dyDescent="0.3">
      <c r="A261" t="s">
        <v>316</v>
      </c>
      <c r="B261">
        <v>45756</v>
      </c>
      <c r="C261" t="s">
        <v>48</v>
      </c>
      <c r="D261" t="s">
        <v>28</v>
      </c>
      <c r="E261" t="s">
        <v>20</v>
      </c>
      <c r="F261" t="s">
        <v>21</v>
      </c>
      <c r="G261">
        <v>21</v>
      </c>
      <c r="H261" t="s">
        <v>46</v>
      </c>
      <c r="I261" t="s">
        <v>23</v>
      </c>
      <c r="J261" t="s">
        <v>58</v>
      </c>
      <c r="K261">
        <v>0</v>
      </c>
      <c r="L261">
        <v>7111</v>
      </c>
      <c r="M261">
        <v>0</v>
      </c>
      <c r="N261">
        <v>7111</v>
      </c>
      <c r="O261" t="s">
        <v>25</v>
      </c>
      <c r="P261">
        <v>3.4</v>
      </c>
      <c r="Q261">
        <v>65</v>
      </c>
      <c r="R261" t="s">
        <v>1071</v>
      </c>
      <c r="S261">
        <v>4</v>
      </c>
      <c r="T261" t="str">
        <f>IF(Healthcare_Data[[#This Row],[Final_Bill]]&gt;=50000,"High",IF(Healthcare_Data[[#This Row],[Final_Bill]]&gt;=20000,"Medium","low"))</f>
        <v>low</v>
      </c>
    </row>
    <row r="262" spans="1:20" x14ac:dyDescent="0.3">
      <c r="A262" t="s">
        <v>317</v>
      </c>
      <c r="B262">
        <v>45756</v>
      </c>
      <c r="C262" t="s">
        <v>48</v>
      </c>
      <c r="D262" t="s">
        <v>39</v>
      </c>
      <c r="E262" t="s">
        <v>20</v>
      </c>
      <c r="F262" t="s">
        <v>21</v>
      </c>
      <c r="G262">
        <v>62</v>
      </c>
      <c r="H262" t="s">
        <v>35</v>
      </c>
      <c r="I262" t="s">
        <v>23</v>
      </c>
      <c r="J262" t="s">
        <v>24</v>
      </c>
      <c r="K262">
        <v>0</v>
      </c>
      <c r="L262">
        <v>5353</v>
      </c>
      <c r="M262">
        <v>0</v>
      </c>
      <c r="N262">
        <v>5353</v>
      </c>
      <c r="O262" t="s">
        <v>25</v>
      </c>
      <c r="P262">
        <v>4.5999999999999996</v>
      </c>
      <c r="Q262">
        <v>36</v>
      </c>
      <c r="R262" t="s">
        <v>1071</v>
      </c>
      <c r="S262">
        <v>4</v>
      </c>
      <c r="T262" t="str">
        <f>IF(Healthcare_Data[[#This Row],[Final_Bill]]&gt;=50000,"High",IF(Healthcare_Data[[#This Row],[Final_Bill]]&gt;=20000,"Medium","low"))</f>
        <v>low</v>
      </c>
    </row>
    <row r="263" spans="1:20" x14ac:dyDescent="0.3">
      <c r="A263" t="s">
        <v>318</v>
      </c>
      <c r="B263">
        <v>45757</v>
      </c>
      <c r="C263" t="s">
        <v>48</v>
      </c>
      <c r="D263" t="s">
        <v>34</v>
      </c>
      <c r="E263" t="s">
        <v>20</v>
      </c>
      <c r="F263" t="s">
        <v>40</v>
      </c>
      <c r="G263">
        <v>26</v>
      </c>
      <c r="H263" t="s">
        <v>65</v>
      </c>
      <c r="I263" t="s">
        <v>69</v>
      </c>
      <c r="J263" t="s">
        <v>36</v>
      </c>
      <c r="K263">
        <v>0</v>
      </c>
      <c r="L263">
        <v>5943</v>
      </c>
      <c r="M263">
        <v>0</v>
      </c>
      <c r="N263">
        <v>5943</v>
      </c>
      <c r="O263" t="s">
        <v>25</v>
      </c>
      <c r="P263">
        <v>4.3</v>
      </c>
      <c r="Q263">
        <v>57</v>
      </c>
      <c r="R263" t="s">
        <v>1071</v>
      </c>
      <c r="S263">
        <v>4</v>
      </c>
      <c r="T263" t="str">
        <f>IF(Healthcare_Data[[#This Row],[Final_Bill]]&gt;=50000,"High",IF(Healthcare_Data[[#This Row],[Final_Bill]]&gt;=20000,"Medium","low"))</f>
        <v>low</v>
      </c>
    </row>
    <row r="264" spans="1:20" x14ac:dyDescent="0.3">
      <c r="A264" t="s">
        <v>319</v>
      </c>
      <c r="B264">
        <v>45757</v>
      </c>
      <c r="C264" t="s">
        <v>38</v>
      </c>
      <c r="D264" t="s">
        <v>39</v>
      </c>
      <c r="E264" t="s">
        <v>20</v>
      </c>
      <c r="F264" t="s">
        <v>40</v>
      </c>
      <c r="G264">
        <v>75</v>
      </c>
      <c r="H264" t="s">
        <v>46</v>
      </c>
      <c r="I264" t="s">
        <v>61</v>
      </c>
      <c r="J264" t="s">
        <v>24</v>
      </c>
      <c r="K264">
        <v>0</v>
      </c>
      <c r="L264">
        <v>3774</v>
      </c>
      <c r="M264">
        <v>1000</v>
      </c>
      <c r="N264">
        <v>2774</v>
      </c>
      <c r="O264" t="s">
        <v>32</v>
      </c>
      <c r="P264">
        <v>4.7</v>
      </c>
      <c r="Q264">
        <v>100</v>
      </c>
      <c r="R264" t="s">
        <v>1071</v>
      </c>
      <c r="S264">
        <v>4</v>
      </c>
      <c r="T264" t="str">
        <f>IF(Healthcare_Data[[#This Row],[Final_Bill]]&gt;=50000,"High",IF(Healthcare_Data[[#This Row],[Final_Bill]]&gt;=20000,"Medium","low"))</f>
        <v>low</v>
      </c>
    </row>
    <row r="265" spans="1:20" x14ac:dyDescent="0.3">
      <c r="A265" t="s">
        <v>320</v>
      </c>
      <c r="B265">
        <v>45757</v>
      </c>
      <c r="C265" t="s">
        <v>67</v>
      </c>
      <c r="D265" t="s">
        <v>19</v>
      </c>
      <c r="E265" t="s">
        <v>20</v>
      </c>
      <c r="F265" t="s">
        <v>40</v>
      </c>
      <c r="G265">
        <v>40</v>
      </c>
      <c r="H265" t="s">
        <v>35</v>
      </c>
      <c r="I265" t="s">
        <v>63</v>
      </c>
      <c r="J265" t="s">
        <v>58</v>
      </c>
      <c r="K265">
        <v>0</v>
      </c>
      <c r="L265">
        <v>19310</v>
      </c>
      <c r="M265">
        <v>0</v>
      </c>
      <c r="N265">
        <v>19310</v>
      </c>
      <c r="O265" t="s">
        <v>32</v>
      </c>
      <c r="P265">
        <v>2.8</v>
      </c>
      <c r="Q265">
        <v>108</v>
      </c>
      <c r="R265" t="s">
        <v>1071</v>
      </c>
      <c r="S265">
        <v>4</v>
      </c>
      <c r="T265" t="str">
        <f>IF(Healthcare_Data[[#This Row],[Final_Bill]]&gt;=50000,"High",IF(Healthcare_Data[[#This Row],[Final_Bill]]&gt;=20000,"Medium","low"))</f>
        <v>low</v>
      </c>
    </row>
    <row r="266" spans="1:20" x14ac:dyDescent="0.3">
      <c r="A266" t="s">
        <v>321</v>
      </c>
      <c r="B266">
        <v>45757</v>
      </c>
      <c r="C266" t="s">
        <v>54</v>
      </c>
      <c r="D266" t="s">
        <v>19</v>
      </c>
      <c r="E266" t="s">
        <v>20</v>
      </c>
      <c r="F266" t="s">
        <v>40</v>
      </c>
      <c r="G266">
        <v>72</v>
      </c>
      <c r="H266" t="s">
        <v>115</v>
      </c>
      <c r="I266" t="s">
        <v>42</v>
      </c>
      <c r="J266" t="s">
        <v>24</v>
      </c>
      <c r="K266">
        <v>0</v>
      </c>
      <c r="L266">
        <v>10771</v>
      </c>
      <c r="M266">
        <v>1500</v>
      </c>
      <c r="N266">
        <v>9271</v>
      </c>
      <c r="O266" t="s">
        <v>25</v>
      </c>
      <c r="P266">
        <v>3.6</v>
      </c>
      <c r="Q266">
        <v>25</v>
      </c>
      <c r="R266" t="s">
        <v>1071</v>
      </c>
      <c r="S266">
        <v>4</v>
      </c>
      <c r="T266" t="str">
        <f>IF(Healthcare_Data[[#This Row],[Final_Bill]]&gt;=50000,"High",IF(Healthcare_Data[[#This Row],[Final_Bill]]&gt;=20000,"Medium","low"))</f>
        <v>low</v>
      </c>
    </row>
    <row r="267" spans="1:20" x14ac:dyDescent="0.3">
      <c r="A267" t="s">
        <v>322</v>
      </c>
      <c r="B267">
        <v>45758</v>
      </c>
      <c r="C267" t="s">
        <v>67</v>
      </c>
      <c r="D267" t="s">
        <v>51</v>
      </c>
      <c r="E267" t="s">
        <v>52</v>
      </c>
      <c r="F267" t="s">
        <v>40</v>
      </c>
      <c r="G267">
        <v>72</v>
      </c>
      <c r="H267" t="s">
        <v>35</v>
      </c>
      <c r="I267" t="s">
        <v>30</v>
      </c>
      <c r="J267" t="s">
        <v>24</v>
      </c>
      <c r="K267">
        <v>12</v>
      </c>
      <c r="L267">
        <v>15329</v>
      </c>
      <c r="M267">
        <v>500</v>
      </c>
      <c r="N267">
        <v>14829</v>
      </c>
      <c r="O267" t="s">
        <v>25</v>
      </c>
      <c r="P267">
        <v>4.3</v>
      </c>
      <c r="Q267">
        <v>58</v>
      </c>
      <c r="R267" t="s">
        <v>1071</v>
      </c>
      <c r="S267">
        <v>4</v>
      </c>
      <c r="T267" t="str">
        <f>IF(Healthcare_Data[[#This Row],[Final_Bill]]&gt;=50000,"High",IF(Healthcare_Data[[#This Row],[Final_Bill]]&gt;=20000,"Medium","low"))</f>
        <v>low</v>
      </c>
    </row>
    <row r="268" spans="1:20" x14ac:dyDescent="0.3">
      <c r="A268" t="s">
        <v>323</v>
      </c>
      <c r="B268">
        <v>45758</v>
      </c>
      <c r="C268" t="s">
        <v>27</v>
      </c>
      <c r="D268" t="s">
        <v>19</v>
      </c>
      <c r="E268" t="s">
        <v>20</v>
      </c>
      <c r="F268" t="s">
        <v>40</v>
      </c>
      <c r="G268">
        <v>56</v>
      </c>
      <c r="H268" t="s">
        <v>56</v>
      </c>
      <c r="I268" t="s">
        <v>57</v>
      </c>
      <c r="J268" t="s">
        <v>58</v>
      </c>
      <c r="K268">
        <v>0</v>
      </c>
      <c r="L268">
        <v>4075</v>
      </c>
      <c r="M268">
        <v>500</v>
      </c>
      <c r="N268">
        <v>3575</v>
      </c>
      <c r="O268" t="s">
        <v>59</v>
      </c>
      <c r="P268">
        <v>2.7</v>
      </c>
      <c r="Q268">
        <v>101</v>
      </c>
      <c r="R268" t="s">
        <v>1071</v>
      </c>
      <c r="S268">
        <v>4</v>
      </c>
      <c r="T268" t="str">
        <f>IF(Healthcare_Data[[#This Row],[Final_Bill]]&gt;=50000,"High",IF(Healthcare_Data[[#This Row],[Final_Bill]]&gt;=20000,"Medium","low"))</f>
        <v>low</v>
      </c>
    </row>
    <row r="269" spans="1:20" x14ac:dyDescent="0.3">
      <c r="A269" t="s">
        <v>324</v>
      </c>
      <c r="B269">
        <v>45758</v>
      </c>
      <c r="C269" t="s">
        <v>67</v>
      </c>
      <c r="D269" t="s">
        <v>34</v>
      </c>
      <c r="E269" t="s">
        <v>20</v>
      </c>
      <c r="F269" t="s">
        <v>40</v>
      </c>
      <c r="G269">
        <v>21</v>
      </c>
      <c r="H269" t="s">
        <v>115</v>
      </c>
      <c r="I269" t="s">
        <v>42</v>
      </c>
      <c r="J269" t="s">
        <v>36</v>
      </c>
      <c r="K269">
        <v>0</v>
      </c>
      <c r="L269">
        <v>10276</v>
      </c>
      <c r="M269">
        <v>0</v>
      </c>
      <c r="N269">
        <v>10276</v>
      </c>
      <c r="O269" t="s">
        <v>25</v>
      </c>
      <c r="P269">
        <v>4.3</v>
      </c>
      <c r="Q269">
        <v>37</v>
      </c>
      <c r="R269" t="s">
        <v>1071</v>
      </c>
      <c r="S269">
        <v>4</v>
      </c>
      <c r="T269" t="str">
        <f>IF(Healthcare_Data[[#This Row],[Final_Bill]]&gt;=50000,"High",IF(Healthcare_Data[[#This Row],[Final_Bill]]&gt;=20000,"Medium","low"))</f>
        <v>low</v>
      </c>
    </row>
    <row r="270" spans="1:20" x14ac:dyDescent="0.3">
      <c r="A270" t="s">
        <v>325</v>
      </c>
      <c r="B270">
        <v>45758</v>
      </c>
      <c r="C270" t="s">
        <v>50</v>
      </c>
      <c r="D270" t="s">
        <v>39</v>
      </c>
      <c r="E270" t="s">
        <v>54</v>
      </c>
      <c r="F270" t="s">
        <v>21</v>
      </c>
      <c r="G270">
        <v>72</v>
      </c>
      <c r="H270" t="s">
        <v>29</v>
      </c>
      <c r="I270" t="s">
        <v>72</v>
      </c>
      <c r="J270" t="s">
        <v>24</v>
      </c>
      <c r="K270">
        <v>0</v>
      </c>
      <c r="L270">
        <v>12944</v>
      </c>
      <c r="M270">
        <v>0</v>
      </c>
      <c r="N270">
        <v>12944</v>
      </c>
      <c r="O270" t="s">
        <v>32</v>
      </c>
      <c r="P270">
        <v>4.5999999999999996</v>
      </c>
      <c r="Q270">
        <v>111</v>
      </c>
      <c r="R270" t="s">
        <v>1071</v>
      </c>
      <c r="S270">
        <v>4</v>
      </c>
      <c r="T270" t="str">
        <f>IF(Healthcare_Data[[#This Row],[Final_Bill]]&gt;=50000,"High",IF(Healthcare_Data[[#This Row],[Final_Bill]]&gt;=20000,"Medium","low"))</f>
        <v>low</v>
      </c>
    </row>
    <row r="271" spans="1:20" x14ac:dyDescent="0.3">
      <c r="A271" t="s">
        <v>326</v>
      </c>
      <c r="B271">
        <v>45758</v>
      </c>
      <c r="C271" t="s">
        <v>48</v>
      </c>
      <c r="D271" t="s">
        <v>34</v>
      </c>
      <c r="E271" t="s">
        <v>20</v>
      </c>
      <c r="F271" t="s">
        <v>21</v>
      </c>
      <c r="G271">
        <v>19</v>
      </c>
      <c r="H271" t="s">
        <v>115</v>
      </c>
      <c r="I271" t="s">
        <v>30</v>
      </c>
      <c r="J271" t="s">
        <v>1057</v>
      </c>
      <c r="K271">
        <v>0</v>
      </c>
      <c r="L271">
        <v>12768</v>
      </c>
      <c r="M271">
        <v>0</v>
      </c>
      <c r="N271">
        <v>12768</v>
      </c>
      <c r="O271" t="s">
        <v>25</v>
      </c>
      <c r="P271">
        <v>4.2</v>
      </c>
      <c r="Q271">
        <v>101</v>
      </c>
      <c r="R271" t="s">
        <v>1071</v>
      </c>
      <c r="S271">
        <v>4</v>
      </c>
      <c r="T271" t="str">
        <f>IF(Healthcare_Data[[#This Row],[Final_Bill]]&gt;=50000,"High",IF(Healthcare_Data[[#This Row],[Final_Bill]]&gt;=20000,"Medium","low"))</f>
        <v>low</v>
      </c>
    </row>
    <row r="272" spans="1:20" x14ac:dyDescent="0.3">
      <c r="A272" t="s">
        <v>327</v>
      </c>
      <c r="B272">
        <v>45760</v>
      </c>
      <c r="C272" t="s">
        <v>48</v>
      </c>
      <c r="D272" t="s">
        <v>19</v>
      </c>
      <c r="E272" t="s">
        <v>20</v>
      </c>
      <c r="F272" t="s">
        <v>21</v>
      </c>
      <c r="G272">
        <v>21</v>
      </c>
      <c r="H272" t="s">
        <v>46</v>
      </c>
      <c r="I272" t="s">
        <v>61</v>
      </c>
      <c r="J272" t="s">
        <v>31</v>
      </c>
      <c r="K272">
        <v>0</v>
      </c>
      <c r="L272">
        <v>11502</v>
      </c>
      <c r="M272">
        <v>1500</v>
      </c>
      <c r="N272">
        <v>10002</v>
      </c>
      <c r="O272" t="s">
        <v>59</v>
      </c>
      <c r="P272">
        <v>4</v>
      </c>
      <c r="Q272">
        <v>30</v>
      </c>
      <c r="R272" t="s">
        <v>1071</v>
      </c>
      <c r="S272">
        <v>4</v>
      </c>
      <c r="T272" t="str">
        <f>IF(Healthcare_Data[[#This Row],[Final_Bill]]&gt;=50000,"High",IF(Healthcare_Data[[#This Row],[Final_Bill]]&gt;=20000,"Medium","low"))</f>
        <v>low</v>
      </c>
    </row>
    <row r="273" spans="1:20" x14ac:dyDescent="0.3">
      <c r="A273" t="s">
        <v>328</v>
      </c>
      <c r="B273">
        <v>45760</v>
      </c>
      <c r="C273" t="s">
        <v>67</v>
      </c>
      <c r="D273" t="s">
        <v>28</v>
      </c>
      <c r="E273" t="s">
        <v>54</v>
      </c>
      <c r="F273" t="s">
        <v>21</v>
      </c>
      <c r="G273">
        <v>51</v>
      </c>
      <c r="H273" t="s">
        <v>65</v>
      </c>
      <c r="I273" t="s">
        <v>42</v>
      </c>
      <c r="J273" t="s">
        <v>24</v>
      </c>
      <c r="K273">
        <v>0</v>
      </c>
      <c r="L273">
        <v>17372</v>
      </c>
      <c r="M273">
        <v>500</v>
      </c>
      <c r="N273">
        <v>16872</v>
      </c>
      <c r="O273" t="s">
        <v>25</v>
      </c>
      <c r="P273">
        <v>3.2</v>
      </c>
      <c r="Q273">
        <v>103</v>
      </c>
      <c r="R273" t="s">
        <v>1071</v>
      </c>
      <c r="S273">
        <v>4</v>
      </c>
      <c r="T273" t="str">
        <f>IF(Healthcare_Data[[#This Row],[Final_Bill]]&gt;=50000,"High",IF(Healthcare_Data[[#This Row],[Final_Bill]]&gt;=20000,"Medium","low"))</f>
        <v>low</v>
      </c>
    </row>
    <row r="274" spans="1:20" x14ac:dyDescent="0.3">
      <c r="A274" t="s">
        <v>329</v>
      </c>
      <c r="B274">
        <v>45760</v>
      </c>
      <c r="C274" t="s">
        <v>67</v>
      </c>
      <c r="D274" t="s">
        <v>28</v>
      </c>
      <c r="E274" t="s">
        <v>20</v>
      </c>
      <c r="F274" t="s">
        <v>40</v>
      </c>
      <c r="G274">
        <v>64</v>
      </c>
      <c r="H274" t="s">
        <v>35</v>
      </c>
      <c r="I274" t="s">
        <v>72</v>
      </c>
      <c r="J274" t="s">
        <v>31</v>
      </c>
      <c r="K274">
        <v>0</v>
      </c>
      <c r="L274">
        <v>10604</v>
      </c>
      <c r="M274">
        <v>0</v>
      </c>
      <c r="N274">
        <v>10604</v>
      </c>
      <c r="O274" t="s">
        <v>32</v>
      </c>
      <c r="P274">
        <v>3.5</v>
      </c>
      <c r="Q274">
        <v>69</v>
      </c>
      <c r="R274" t="s">
        <v>1071</v>
      </c>
      <c r="S274">
        <v>4</v>
      </c>
      <c r="T274" t="str">
        <f>IF(Healthcare_Data[[#This Row],[Final_Bill]]&gt;=50000,"High",IF(Healthcare_Data[[#This Row],[Final_Bill]]&gt;=20000,"Medium","low"))</f>
        <v>low</v>
      </c>
    </row>
    <row r="275" spans="1:20" x14ac:dyDescent="0.3">
      <c r="A275" t="s">
        <v>330</v>
      </c>
      <c r="B275">
        <v>45760</v>
      </c>
      <c r="C275" t="s">
        <v>50</v>
      </c>
      <c r="D275" t="s">
        <v>34</v>
      </c>
      <c r="E275" t="s">
        <v>20</v>
      </c>
      <c r="F275" t="s">
        <v>40</v>
      </c>
      <c r="G275">
        <v>63</v>
      </c>
      <c r="H275" t="s">
        <v>41</v>
      </c>
      <c r="I275" t="s">
        <v>57</v>
      </c>
      <c r="J275" t="s">
        <v>24</v>
      </c>
      <c r="K275">
        <v>0</v>
      </c>
      <c r="L275">
        <v>10657</v>
      </c>
      <c r="M275">
        <v>1000</v>
      </c>
      <c r="N275">
        <v>9657</v>
      </c>
      <c r="O275" t="s">
        <v>32</v>
      </c>
      <c r="P275">
        <v>3.9</v>
      </c>
      <c r="Q275">
        <v>78</v>
      </c>
      <c r="R275" t="s">
        <v>1071</v>
      </c>
      <c r="S275">
        <v>4</v>
      </c>
      <c r="T275" t="str">
        <f>IF(Healthcare_Data[[#This Row],[Final_Bill]]&gt;=50000,"High",IF(Healthcare_Data[[#This Row],[Final_Bill]]&gt;=20000,"Medium","low"))</f>
        <v>low</v>
      </c>
    </row>
    <row r="276" spans="1:20" x14ac:dyDescent="0.3">
      <c r="A276" t="s">
        <v>331</v>
      </c>
      <c r="B276">
        <v>45761</v>
      </c>
      <c r="C276" t="s">
        <v>27</v>
      </c>
      <c r="D276" t="s">
        <v>51</v>
      </c>
      <c r="E276" t="s">
        <v>20</v>
      </c>
      <c r="F276" t="s">
        <v>21</v>
      </c>
      <c r="G276">
        <v>48</v>
      </c>
      <c r="H276" t="s">
        <v>22</v>
      </c>
      <c r="I276" t="s">
        <v>69</v>
      </c>
      <c r="J276" t="s">
        <v>24</v>
      </c>
      <c r="K276">
        <v>0</v>
      </c>
      <c r="L276">
        <v>12186</v>
      </c>
      <c r="M276">
        <v>0</v>
      </c>
      <c r="N276">
        <v>12186</v>
      </c>
      <c r="O276" t="s">
        <v>25</v>
      </c>
      <c r="P276">
        <v>4.5</v>
      </c>
      <c r="Q276">
        <v>106</v>
      </c>
      <c r="R276" t="s">
        <v>1071</v>
      </c>
      <c r="S276">
        <v>4</v>
      </c>
      <c r="T276" t="str">
        <f>IF(Healthcare_Data[[#This Row],[Final_Bill]]&gt;=50000,"High",IF(Healthcare_Data[[#This Row],[Final_Bill]]&gt;=20000,"Medium","low"))</f>
        <v>low</v>
      </c>
    </row>
    <row r="277" spans="1:20" x14ac:dyDescent="0.3">
      <c r="A277" t="s">
        <v>332</v>
      </c>
      <c r="B277">
        <v>45761</v>
      </c>
      <c r="C277" t="s">
        <v>54</v>
      </c>
      <c r="D277" t="s">
        <v>28</v>
      </c>
      <c r="E277" t="s">
        <v>54</v>
      </c>
      <c r="F277" t="s">
        <v>40</v>
      </c>
      <c r="G277">
        <v>25</v>
      </c>
      <c r="H277" t="s">
        <v>29</v>
      </c>
      <c r="I277" t="s">
        <v>23</v>
      </c>
      <c r="J277" t="s">
        <v>31</v>
      </c>
      <c r="K277">
        <v>0</v>
      </c>
      <c r="L277">
        <v>38984</v>
      </c>
      <c r="M277">
        <v>500</v>
      </c>
      <c r="N277">
        <v>38484</v>
      </c>
      <c r="O277" t="s">
        <v>25</v>
      </c>
      <c r="P277" t="s">
        <v>1057</v>
      </c>
      <c r="Q277">
        <v>73</v>
      </c>
      <c r="R277" t="s">
        <v>1071</v>
      </c>
      <c r="S277">
        <v>4</v>
      </c>
      <c r="T277" t="str">
        <f>IF(Healthcare_Data[[#This Row],[Final_Bill]]&gt;=50000,"High",IF(Healthcare_Data[[#This Row],[Final_Bill]]&gt;=20000,"Medium","low"))</f>
        <v>Medium</v>
      </c>
    </row>
    <row r="278" spans="1:20" x14ac:dyDescent="0.3">
      <c r="A278" t="s">
        <v>333</v>
      </c>
      <c r="B278">
        <v>45762</v>
      </c>
      <c r="C278" t="s">
        <v>38</v>
      </c>
      <c r="D278" t="s">
        <v>19</v>
      </c>
      <c r="E278" t="s">
        <v>20</v>
      </c>
      <c r="F278" t="s">
        <v>21</v>
      </c>
      <c r="G278">
        <v>32</v>
      </c>
      <c r="H278" t="s">
        <v>29</v>
      </c>
      <c r="I278" t="s">
        <v>42</v>
      </c>
      <c r="J278" t="s">
        <v>24</v>
      </c>
      <c r="K278">
        <v>0</v>
      </c>
      <c r="L278">
        <v>18958</v>
      </c>
      <c r="M278">
        <v>0</v>
      </c>
      <c r="N278">
        <v>18958</v>
      </c>
      <c r="O278" t="s">
        <v>25</v>
      </c>
      <c r="P278">
        <v>4.8</v>
      </c>
      <c r="Q278">
        <v>107</v>
      </c>
      <c r="R278" t="s">
        <v>1071</v>
      </c>
      <c r="S278">
        <v>4</v>
      </c>
      <c r="T278" t="str">
        <f>IF(Healthcare_Data[[#This Row],[Final_Bill]]&gt;=50000,"High",IF(Healthcare_Data[[#This Row],[Final_Bill]]&gt;=20000,"Medium","low"))</f>
        <v>low</v>
      </c>
    </row>
    <row r="279" spans="1:20" x14ac:dyDescent="0.3">
      <c r="A279" t="s">
        <v>334</v>
      </c>
      <c r="B279">
        <v>45762</v>
      </c>
      <c r="C279" t="s">
        <v>44</v>
      </c>
      <c r="D279" t="s">
        <v>39</v>
      </c>
      <c r="E279" t="s">
        <v>52</v>
      </c>
      <c r="F279" t="s">
        <v>21</v>
      </c>
      <c r="G279">
        <v>79</v>
      </c>
      <c r="H279" t="s">
        <v>22</v>
      </c>
      <c r="I279" t="s">
        <v>63</v>
      </c>
      <c r="J279" t="s">
        <v>24</v>
      </c>
      <c r="K279">
        <v>9</v>
      </c>
      <c r="L279">
        <v>37174</v>
      </c>
      <c r="M279">
        <v>0</v>
      </c>
      <c r="N279">
        <v>37174</v>
      </c>
      <c r="O279" t="s">
        <v>25</v>
      </c>
      <c r="P279">
        <v>4.3</v>
      </c>
      <c r="Q279">
        <v>42</v>
      </c>
      <c r="R279" t="s">
        <v>1071</v>
      </c>
      <c r="S279">
        <v>4</v>
      </c>
      <c r="T279" t="str">
        <f>IF(Healthcare_Data[[#This Row],[Final_Bill]]&gt;=50000,"High",IF(Healthcare_Data[[#This Row],[Final_Bill]]&gt;=20000,"Medium","low"))</f>
        <v>Medium</v>
      </c>
    </row>
    <row r="280" spans="1:20" x14ac:dyDescent="0.3">
      <c r="A280" t="s">
        <v>335</v>
      </c>
      <c r="B280">
        <v>45763</v>
      </c>
      <c r="C280" t="s">
        <v>44</v>
      </c>
      <c r="D280" t="s">
        <v>51</v>
      </c>
      <c r="E280" t="s">
        <v>52</v>
      </c>
      <c r="F280" t="s">
        <v>40</v>
      </c>
      <c r="G280">
        <v>79</v>
      </c>
      <c r="H280" t="s">
        <v>56</v>
      </c>
      <c r="I280" t="s">
        <v>30</v>
      </c>
      <c r="J280" t="s">
        <v>24</v>
      </c>
      <c r="K280">
        <v>10</v>
      </c>
      <c r="L280">
        <v>63624</v>
      </c>
      <c r="M280">
        <v>500</v>
      </c>
      <c r="N280">
        <v>63124</v>
      </c>
      <c r="O280" t="s">
        <v>32</v>
      </c>
      <c r="P280">
        <v>4.9000000000000004</v>
      </c>
      <c r="Q280">
        <v>34</v>
      </c>
      <c r="R280" t="s">
        <v>1071</v>
      </c>
      <c r="S280">
        <v>4</v>
      </c>
      <c r="T280" t="str">
        <f>IF(Healthcare_Data[[#This Row],[Final_Bill]]&gt;=50000,"High",IF(Healthcare_Data[[#This Row],[Final_Bill]]&gt;=20000,"Medium","low"))</f>
        <v>High</v>
      </c>
    </row>
    <row r="281" spans="1:20" x14ac:dyDescent="0.3">
      <c r="A281" t="s">
        <v>336</v>
      </c>
      <c r="B281">
        <v>45763</v>
      </c>
      <c r="C281" t="s">
        <v>44</v>
      </c>
      <c r="D281" t="s">
        <v>19</v>
      </c>
      <c r="E281" t="s">
        <v>20</v>
      </c>
      <c r="F281" t="s">
        <v>40</v>
      </c>
      <c r="G281">
        <v>58</v>
      </c>
      <c r="H281" t="s">
        <v>56</v>
      </c>
      <c r="I281" t="s">
        <v>57</v>
      </c>
      <c r="J281" t="s">
        <v>58</v>
      </c>
      <c r="K281">
        <v>0</v>
      </c>
      <c r="L281">
        <v>6070</v>
      </c>
      <c r="M281">
        <v>500</v>
      </c>
      <c r="N281">
        <v>5570</v>
      </c>
      <c r="O281" t="s">
        <v>25</v>
      </c>
      <c r="P281">
        <v>3.9</v>
      </c>
      <c r="Q281">
        <v>16</v>
      </c>
      <c r="R281" t="s">
        <v>1071</v>
      </c>
      <c r="S281">
        <v>4</v>
      </c>
      <c r="T281" t="str">
        <f>IF(Healthcare_Data[[#This Row],[Final_Bill]]&gt;=50000,"High",IF(Healthcare_Data[[#This Row],[Final_Bill]]&gt;=20000,"Medium","low"))</f>
        <v>low</v>
      </c>
    </row>
    <row r="282" spans="1:20" x14ac:dyDescent="0.3">
      <c r="A282" t="s">
        <v>337</v>
      </c>
      <c r="B282">
        <v>45763</v>
      </c>
      <c r="C282" t="s">
        <v>27</v>
      </c>
      <c r="D282" t="s">
        <v>34</v>
      </c>
      <c r="E282" t="s">
        <v>20</v>
      </c>
      <c r="F282" t="s">
        <v>40</v>
      </c>
      <c r="G282">
        <v>49</v>
      </c>
      <c r="H282" t="s">
        <v>46</v>
      </c>
      <c r="I282" t="s">
        <v>72</v>
      </c>
      <c r="J282" t="s">
        <v>24</v>
      </c>
      <c r="K282">
        <v>0</v>
      </c>
      <c r="L282">
        <v>9717</v>
      </c>
      <c r="M282">
        <v>2000</v>
      </c>
      <c r="N282">
        <v>7717</v>
      </c>
      <c r="O282" t="s">
        <v>59</v>
      </c>
      <c r="P282">
        <v>4.2</v>
      </c>
      <c r="Q282">
        <v>13</v>
      </c>
      <c r="R282" t="s">
        <v>1071</v>
      </c>
      <c r="S282">
        <v>4</v>
      </c>
      <c r="T282" t="str">
        <f>IF(Healthcare_Data[[#This Row],[Final_Bill]]&gt;=50000,"High",IF(Healthcare_Data[[#This Row],[Final_Bill]]&gt;=20000,"Medium","low"))</f>
        <v>low</v>
      </c>
    </row>
    <row r="283" spans="1:20" x14ac:dyDescent="0.3">
      <c r="A283" t="s">
        <v>338</v>
      </c>
      <c r="B283">
        <v>45764</v>
      </c>
      <c r="C283" t="s">
        <v>18</v>
      </c>
      <c r="D283" t="s">
        <v>19</v>
      </c>
      <c r="E283" t="s">
        <v>52</v>
      </c>
      <c r="F283" t="s">
        <v>40</v>
      </c>
      <c r="G283">
        <v>40</v>
      </c>
      <c r="H283" t="s">
        <v>56</v>
      </c>
      <c r="I283" t="s">
        <v>57</v>
      </c>
      <c r="J283" t="s">
        <v>24</v>
      </c>
      <c r="K283">
        <v>7</v>
      </c>
      <c r="L283">
        <v>66690</v>
      </c>
      <c r="M283">
        <v>0</v>
      </c>
      <c r="N283">
        <v>66690</v>
      </c>
      <c r="O283" t="s">
        <v>25</v>
      </c>
      <c r="P283">
        <v>3.7</v>
      </c>
      <c r="Q283">
        <v>9</v>
      </c>
      <c r="R283" t="s">
        <v>1071</v>
      </c>
      <c r="S283">
        <v>4</v>
      </c>
      <c r="T283" t="str">
        <f>IF(Healthcare_Data[[#This Row],[Final_Bill]]&gt;=50000,"High",IF(Healthcare_Data[[#This Row],[Final_Bill]]&gt;=20000,"Medium","low"))</f>
        <v>High</v>
      </c>
    </row>
    <row r="284" spans="1:20" x14ac:dyDescent="0.3">
      <c r="A284" t="s">
        <v>339</v>
      </c>
      <c r="B284">
        <v>45764</v>
      </c>
      <c r="C284" t="s">
        <v>44</v>
      </c>
      <c r="D284" t="s">
        <v>51</v>
      </c>
      <c r="E284" t="s">
        <v>20</v>
      </c>
      <c r="F284" t="s">
        <v>40</v>
      </c>
      <c r="G284">
        <v>24</v>
      </c>
      <c r="H284" t="s">
        <v>35</v>
      </c>
      <c r="I284" t="s">
        <v>57</v>
      </c>
      <c r="J284" t="s">
        <v>24</v>
      </c>
      <c r="K284">
        <v>0</v>
      </c>
      <c r="L284">
        <v>3787</v>
      </c>
      <c r="M284">
        <v>0</v>
      </c>
      <c r="N284">
        <v>3787</v>
      </c>
      <c r="O284" t="s">
        <v>32</v>
      </c>
      <c r="P284">
        <v>3.9</v>
      </c>
      <c r="Q284">
        <v>30</v>
      </c>
      <c r="R284" t="s">
        <v>1071</v>
      </c>
      <c r="S284">
        <v>4</v>
      </c>
      <c r="T284" t="str">
        <f>IF(Healthcare_Data[[#This Row],[Final_Bill]]&gt;=50000,"High",IF(Healthcare_Data[[#This Row],[Final_Bill]]&gt;=20000,"Medium","low"))</f>
        <v>low</v>
      </c>
    </row>
    <row r="285" spans="1:20" x14ac:dyDescent="0.3">
      <c r="A285" t="s">
        <v>340</v>
      </c>
      <c r="B285">
        <v>45765</v>
      </c>
      <c r="C285" t="s">
        <v>50</v>
      </c>
      <c r="D285" t="s">
        <v>19</v>
      </c>
      <c r="E285" t="s">
        <v>20</v>
      </c>
      <c r="F285" t="s">
        <v>21</v>
      </c>
      <c r="G285">
        <v>80</v>
      </c>
      <c r="H285" t="s">
        <v>115</v>
      </c>
      <c r="I285" t="s">
        <v>69</v>
      </c>
      <c r="J285" t="s">
        <v>24</v>
      </c>
      <c r="K285">
        <v>0</v>
      </c>
      <c r="L285">
        <v>13028</v>
      </c>
      <c r="M285">
        <v>500</v>
      </c>
      <c r="N285">
        <v>12528</v>
      </c>
      <c r="O285" t="s">
        <v>25</v>
      </c>
      <c r="P285">
        <v>4.7</v>
      </c>
      <c r="Q285">
        <v>66</v>
      </c>
      <c r="R285" t="s">
        <v>1071</v>
      </c>
      <c r="S285">
        <v>4</v>
      </c>
      <c r="T285" t="str">
        <f>IF(Healthcare_Data[[#This Row],[Final_Bill]]&gt;=50000,"High",IF(Healthcare_Data[[#This Row],[Final_Bill]]&gt;=20000,"Medium","low"))</f>
        <v>low</v>
      </c>
    </row>
    <row r="286" spans="1:20" x14ac:dyDescent="0.3">
      <c r="A286" t="s">
        <v>341</v>
      </c>
      <c r="B286">
        <v>45765</v>
      </c>
      <c r="C286" t="s">
        <v>38</v>
      </c>
      <c r="D286" t="s">
        <v>51</v>
      </c>
      <c r="E286" t="s">
        <v>20</v>
      </c>
      <c r="F286" t="s">
        <v>21</v>
      </c>
      <c r="G286">
        <v>68</v>
      </c>
      <c r="H286" t="s">
        <v>56</v>
      </c>
      <c r="I286" t="s">
        <v>63</v>
      </c>
      <c r="J286" t="s">
        <v>24</v>
      </c>
      <c r="K286">
        <v>0</v>
      </c>
      <c r="L286">
        <v>18545</v>
      </c>
      <c r="M286">
        <v>0</v>
      </c>
      <c r="N286">
        <v>18545</v>
      </c>
      <c r="O286" t="s">
        <v>25</v>
      </c>
      <c r="P286">
        <v>3.4</v>
      </c>
      <c r="Q286">
        <v>42</v>
      </c>
      <c r="R286" t="s">
        <v>1071</v>
      </c>
      <c r="S286">
        <v>4</v>
      </c>
      <c r="T286" t="str">
        <f>IF(Healthcare_Data[[#This Row],[Final_Bill]]&gt;=50000,"High",IF(Healthcare_Data[[#This Row],[Final_Bill]]&gt;=20000,"Medium","low"))</f>
        <v>low</v>
      </c>
    </row>
    <row r="287" spans="1:20" x14ac:dyDescent="0.3">
      <c r="A287" t="s">
        <v>342</v>
      </c>
      <c r="B287">
        <v>45766</v>
      </c>
      <c r="C287" t="s">
        <v>48</v>
      </c>
      <c r="D287" t="s">
        <v>51</v>
      </c>
      <c r="E287" t="s">
        <v>52</v>
      </c>
      <c r="F287" t="s">
        <v>21</v>
      </c>
      <c r="G287">
        <v>19</v>
      </c>
      <c r="H287" t="s">
        <v>56</v>
      </c>
      <c r="I287" t="s">
        <v>23</v>
      </c>
      <c r="J287" t="s">
        <v>24</v>
      </c>
      <c r="K287">
        <v>4</v>
      </c>
      <c r="L287">
        <v>61514</v>
      </c>
      <c r="M287">
        <v>0</v>
      </c>
      <c r="N287">
        <v>61514</v>
      </c>
      <c r="O287" t="s">
        <v>25</v>
      </c>
      <c r="P287">
        <v>3.2</v>
      </c>
      <c r="Q287">
        <v>115</v>
      </c>
      <c r="R287" t="s">
        <v>1071</v>
      </c>
      <c r="S287">
        <v>4</v>
      </c>
      <c r="T287" t="str">
        <f>IF(Healthcare_Data[[#This Row],[Final_Bill]]&gt;=50000,"High",IF(Healthcare_Data[[#This Row],[Final_Bill]]&gt;=20000,"Medium","low"))</f>
        <v>High</v>
      </c>
    </row>
    <row r="288" spans="1:20" x14ac:dyDescent="0.3">
      <c r="A288" t="s">
        <v>343</v>
      </c>
      <c r="B288">
        <v>45766</v>
      </c>
      <c r="C288" t="s">
        <v>48</v>
      </c>
      <c r="D288" t="s">
        <v>28</v>
      </c>
      <c r="E288" t="s">
        <v>52</v>
      </c>
      <c r="F288" t="s">
        <v>21</v>
      </c>
      <c r="G288">
        <v>23</v>
      </c>
      <c r="H288" t="s">
        <v>56</v>
      </c>
      <c r="I288" t="s">
        <v>69</v>
      </c>
      <c r="J288" t="s">
        <v>58</v>
      </c>
      <c r="K288">
        <v>11</v>
      </c>
      <c r="L288">
        <v>28844</v>
      </c>
      <c r="M288">
        <v>0</v>
      </c>
      <c r="N288">
        <v>28844</v>
      </c>
      <c r="O288" t="s">
        <v>25</v>
      </c>
      <c r="P288">
        <v>4.7</v>
      </c>
      <c r="Q288">
        <v>23</v>
      </c>
      <c r="R288" t="s">
        <v>1071</v>
      </c>
      <c r="S288">
        <v>4</v>
      </c>
      <c r="T288" t="str">
        <f>IF(Healthcare_Data[[#This Row],[Final_Bill]]&gt;=50000,"High",IF(Healthcare_Data[[#This Row],[Final_Bill]]&gt;=20000,"Medium","low"))</f>
        <v>Medium</v>
      </c>
    </row>
    <row r="289" spans="1:20" x14ac:dyDescent="0.3">
      <c r="A289" t="s">
        <v>344</v>
      </c>
      <c r="B289">
        <v>45768</v>
      </c>
      <c r="C289" t="s">
        <v>50</v>
      </c>
      <c r="D289" t="s">
        <v>51</v>
      </c>
      <c r="E289" t="s">
        <v>52</v>
      </c>
      <c r="F289" t="s">
        <v>40</v>
      </c>
      <c r="G289">
        <v>61</v>
      </c>
      <c r="H289" t="s">
        <v>41</v>
      </c>
      <c r="I289" t="s">
        <v>63</v>
      </c>
      <c r="J289" t="s">
        <v>24</v>
      </c>
      <c r="K289">
        <v>6</v>
      </c>
      <c r="L289">
        <v>30522</v>
      </c>
      <c r="M289">
        <v>0</v>
      </c>
      <c r="N289">
        <v>30522</v>
      </c>
      <c r="O289" t="s">
        <v>25</v>
      </c>
      <c r="P289">
        <v>2.7</v>
      </c>
      <c r="Q289">
        <v>81</v>
      </c>
      <c r="R289" t="s">
        <v>1071</v>
      </c>
      <c r="S289">
        <v>4</v>
      </c>
      <c r="T289" t="str">
        <f>IF(Healthcare_Data[[#This Row],[Final_Bill]]&gt;=50000,"High",IF(Healthcare_Data[[#This Row],[Final_Bill]]&gt;=20000,"Medium","low"))</f>
        <v>Medium</v>
      </c>
    </row>
    <row r="290" spans="1:20" x14ac:dyDescent="0.3">
      <c r="A290" t="s">
        <v>345</v>
      </c>
      <c r="B290">
        <v>45768</v>
      </c>
      <c r="C290" t="s">
        <v>44</v>
      </c>
      <c r="D290" t="s">
        <v>39</v>
      </c>
      <c r="E290" t="s">
        <v>54</v>
      </c>
      <c r="F290" t="s">
        <v>21</v>
      </c>
      <c r="G290">
        <v>60</v>
      </c>
      <c r="H290" t="s">
        <v>115</v>
      </c>
      <c r="I290" t="s">
        <v>69</v>
      </c>
      <c r="J290" t="s">
        <v>31</v>
      </c>
      <c r="K290">
        <v>0</v>
      </c>
      <c r="L290">
        <v>41024</v>
      </c>
      <c r="M290">
        <v>0</v>
      </c>
      <c r="N290">
        <v>41024</v>
      </c>
      <c r="O290" t="s">
        <v>25</v>
      </c>
      <c r="P290">
        <v>2.6</v>
      </c>
      <c r="Q290">
        <v>40</v>
      </c>
      <c r="R290" t="s">
        <v>1071</v>
      </c>
      <c r="S290">
        <v>4</v>
      </c>
      <c r="T290" t="str">
        <f>IF(Healthcare_Data[[#This Row],[Final_Bill]]&gt;=50000,"High",IF(Healthcare_Data[[#This Row],[Final_Bill]]&gt;=20000,"Medium","low"))</f>
        <v>Medium</v>
      </c>
    </row>
    <row r="291" spans="1:20" x14ac:dyDescent="0.3">
      <c r="A291" t="s">
        <v>346</v>
      </c>
      <c r="B291">
        <v>45768</v>
      </c>
      <c r="C291" t="s">
        <v>44</v>
      </c>
      <c r="D291" t="s">
        <v>19</v>
      </c>
      <c r="E291" t="s">
        <v>54</v>
      </c>
      <c r="F291" t="s">
        <v>21</v>
      </c>
      <c r="G291">
        <v>64</v>
      </c>
      <c r="H291" t="s">
        <v>115</v>
      </c>
      <c r="I291" t="s">
        <v>69</v>
      </c>
      <c r="J291" t="s">
        <v>24</v>
      </c>
      <c r="K291">
        <v>0</v>
      </c>
      <c r="L291">
        <v>33034</v>
      </c>
      <c r="M291">
        <v>2000</v>
      </c>
      <c r="N291">
        <v>31034</v>
      </c>
      <c r="O291" t="s">
        <v>25</v>
      </c>
      <c r="P291">
        <v>3.8</v>
      </c>
      <c r="Q291">
        <v>73</v>
      </c>
      <c r="R291" t="s">
        <v>1071</v>
      </c>
      <c r="S291">
        <v>4</v>
      </c>
      <c r="T291" t="str">
        <f>IF(Healthcare_Data[[#This Row],[Final_Bill]]&gt;=50000,"High",IF(Healthcare_Data[[#This Row],[Final_Bill]]&gt;=20000,"Medium","low"))</f>
        <v>Medium</v>
      </c>
    </row>
    <row r="292" spans="1:20" x14ac:dyDescent="0.3">
      <c r="A292" t="s">
        <v>347</v>
      </c>
      <c r="B292">
        <v>45768</v>
      </c>
      <c r="C292" t="s">
        <v>54</v>
      </c>
      <c r="D292" t="s">
        <v>34</v>
      </c>
      <c r="E292" t="s">
        <v>20</v>
      </c>
      <c r="F292" t="s">
        <v>21</v>
      </c>
      <c r="G292">
        <v>28</v>
      </c>
      <c r="H292" t="s">
        <v>65</v>
      </c>
      <c r="I292" t="s">
        <v>57</v>
      </c>
      <c r="J292" t="s">
        <v>36</v>
      </c>
      <c r="K292">
        <v>0</v>
      </c>
      <c r="L292">
        <v>4052</v>
      </c>
      <c r="M292">
        <v>500</v>
      </c>
      <c r="N292">
        <v>3552</v>
      </c>
      <c r="O292" t="s">
        <v>25</v>
      </c>
      <c r="P292">
        <v>2.8</v>
      </c>
      <c r="Q292">
        <v>100</v>
      </c>
      <c r="R292" t="s">
        <v>1071</v>
      </c>
      <c r="S292">
        <v>4</v>
      </c>
      <c r="T292" t="str">
        <f>IF(Healthcare_Data[[#This Row],[Final_Bill]]&gt;=50000,"High",IF(Healthcare_Data[[#This Row],[Final_Bill]]&gt;=20000,"Medium","low"))</f>
        <v>low</v>
      </c>
    </row>
    <row r="293" spans="1:20" x14ac:dyDescent="0.3">
      <c r="A293" t="s">
        <v>348</v>
      </c>
      <c r="B293">
        <v>45768</v>
      </c>
      <c r="C293" t="s">
        <v>27</v>
      </c>
      <c r="D293" t="s">
        <v>39</v>
      </c>
      <c r="E293" t="s">
        <v>20</v>
      </c>
      <c r="F293" t="s">
        <v>21</v>
      </c>
      <c r="G293">
        <v>65</v>
      </c>
      <c r="H293" t="s">
        <v>46</v>
      </c>
      <c r="I293" t="s">
        <v>30</v>
      </c>
      <c r="J293" t="s">
        <v>24</v>
      </c>
      <c r="K293">
        <v>0</v>
      </c>
      <c r="L293">
        <v>2065</v>
      </c>
      <c r="M293">
        <v>1000</v>
      </c>
      <c r="N293">
        <v>1065</v>
      </c>
      <c r="O293" t="s">
        <v>59</v>
      </c>
      <c r="P293">
        <v>4.5</v>
      </c>
      <c r="Q293">
        <v>87</v>
      </c>
      <c r="R293" t="s">
        <v>1071</v>
      </c>
      <c r="S293">
        <v>4</v>
      </c>
      <c r="T293" t="str">
        <f>IF(Healthcare_Data[[#This Row],[Final_Bill]]&gt;=50000,"High",IF(Healthcare_Data[[#This Row],[Final_Bill]]&gt;=20000,"Medium","low"))</f>
        <v>low</v>
      </c>
    </row>
    <row r="294" spans="1:20" x14ac:dyDescent="0.3">
      <c r="A294" t="s">
        <v>349</v>
      </c>
      <c r="B294">
        <v>45769</v>
      </c>
      <c r="C294" t="s">
        <v>54</v>
      </c>
      <c r="D294" t="s">
        <v>51</v>
      </c>
      <c r="E294" t="s">
        <v>20</v>
      </c>
      <c r="F294" t="s">
        <v>40</v>
      </c>
      <c r="G294">
        <v>64</v>
      </c>
      <c r="H294" t="s">
        <v>22</v>
      </c>
      <c r="I294" t="s">
        <v>69</v>
      </c>
      <c r="J294" t="s">
        <v>31</v>
      </c>
      <c r="K294">
        <v>0</v>
      </c>
      <c r="L294">
        <v>9472</v>
      </c>
      <c r="M294">
        <v>0</v>
      </c>
      <c r="N294">
        <v>9472</v>
      </c>
      <c r="O294" t="s">
        <v>59</v>
      </c>
      <c r="P294">
        <v>4.9000000000000004</v>
      </c>
      <c r="Q294">
        <v>8</v>
      </c>
      <c r="R294" t="s">
        <v>1071</v>
      </c>
      <c r="S294">
        <v>4</v>
      </c>
      <c r="T294" t="str">
        <f>IF(Healthcare_Data[[#This Row],[Final_Bill]]&gt;=50000,"High",IF(Healthcare_Data[[#This Row],[Final_Bill]]&gt;=20000,"Medium","low"))</f>
        <v>low</v>
      </c>
    </row>
    <row r="295" spans="1:20" x14ac:dyDescent="0.3">
      <c r="A295" t="s">
        <v>350</v>
      </c>
      <c r="B295">
        <v>45769</v>
      </c>
      <c r="C295" t="s">
        <v>50</v>
      </c>
      <c r="D295" t="s">
        <v>34</v>
      </c>
      <c r="E295" t="s">
        <v>54</v>
      </c>
      <c r="F295" t="s">
        <v>21</v>
      </c>
      <c r="G295">
        <v>55</v>
      </c>
      <c r="H295" t="s">
        <v>22</v>
      </c>
      <c r="I295" t="s">
        <v>1057</v>
      </c>
      <c r="J295" t="s">
        <v>36</v>
      </c>
      <c r="K295">
        <v>0</v>
      </c>
      <c r="L295">
        <v>23524</v>
      </c>
      <c r="M295">
        <v>500</v>
      </c>
      <c r="N295">
        <v>23024</v>
      </c>
      <c r="O295" t="s">
        <v>25</v>
      </c>
      <c r="P295">
        <v>4.5999999999999996</v>
      </c>
      <c r="Q295">
        <v>91</v>
      </c>
      <c r="R295" t="s">
        <v>1071</v>
      </c>
      <c r="S295">
        <v>4</v>
      </c>
      <c r="T295" t="str">
        <f>IF(Healthcare_Data[[#This Row],[Final_Bill]]&gt;=50000,"High",IF(Healthcare_Data[[#This Row],[Final_Bill]]&gt;=20000,"Medium","low"))</f>
        <v>Medium</v>
      </c>
    </row>
    <row r="296" spans="1:20" x14ac:dyDescent="0.3">
      <c r="A296" t="s">
        <v>351</v>
      </c>
      <c r="B296">
        <v>45769</v>
      </c>
      <c r="C296" t="s">
        <v>48</v>
      </c>
      <c r="D296" t="s">
        <v>39</v>
      </c>
      <c r="E296" t="s">
        <v>20</v>
      </c>
      <c r="F296" t="s">
        <v>21</v>
      </c>
      <c r="G296">
        <v>72</v>
      </c>
      <c r="H296" t="s">
        <v>35</v>
      </c>
      <c r="I296" t="s">
        <v>69</v>
      </c>
      <c r="J296" t="s">
        <v>36</v>
      </c>
      <c r="K296">
        <v>0</v>
      </c>
      <c r="L296">
        <v>12530</v>
      </c>
      <c r="M296">
        <v>2000</v>
      </c>
      <c r="N296">
        <v>10530</v>
      </c>
      <c r="O296" t="s">
        <v>25</v>
      </c>
      <c r="P296">
        <v>3.3</v>
      </c>
      <c r="Q296">
        <v>46</v>
      </c>
      <c r="R296" t="s">
        <v>1071</v>
      </c>
      <c r="S296">
        <v>4</v>
      </c>
      <c r="T296" t="str">
        <f>IF(Healthcare_Data[[#This Row],[Final_Bill]]&gt;=50000,"High",IF(Healthcare_Data[[#This Row],[Final_Bill]]&gt;=20000,"Medium","low"))</f>
        <v>low</v>
      </c>
    </row>
    <row r="297" spans="1:20" x14ac:dyDescent="0.3">
      <c r="A297" t="s">
        <v>352</v>
      </c>
      <c r="B297">
        <v>45769</v>
      </c>
      <c r="C297" t="s">
        <v>50</v>
      </c>
      <c r="D297" t="s">
        <v>19</v>
      </c>
      <c r="E297" t="s">
        <v>54</v>
      </c>
      <c r="F297" t="s">
        <v>21</v>
      </c>
      <c r="G297">
        <v>59</v>
      </c>
      <c r="H297" t="s">
        <v>35</v>
      </c>
      <c r="I297" t="s">
        <v>42</v>
      </c>
      <c r="J297" t="s">
        <v>24</v>
      </c>
      <c r="K297">
        <v>0</v>
      </c>
      <c r="L297">
        <v>16077</v>
      </c>
      <c r="M297">
        <v>0</v>
      </c>
      <c r="N297">
        <v>16077</v>
      </c>
      <c r="O297" t="s">
        <v>59</v>
      </c>
      <c r="P297">
        <v>3.8</v>
      </c>
      <c r="Q297">
        <v>21</v>
      </c>
      <c r="R297" t="s">
        <v>1071</v>
      </c>
      <c r="S297">
        <v>4</v>
      </c>
      <c r="T297" t="str">
        <f>IF(Healthcare_Data[[#This Row],[Final_Bill]]&gt;=50000,"High",IF(Healthcare_Data[[#This Row],[Final_Bill]]&gt;=20000,"Medium","low"))</f>
        <v>low</v>
      </c>
    </row>
    <row r="298" spans="1:20" x14ac:dyDescent="0.3">
      <c r="A298" t="s">
        <v>353</v>
      </c>
      <c r="B298">
        <v>45770</v>
      </c>
      <c r="C298" t="s">
        <v>48</v>
      </c>
      <c r="D298" t="s">
        <v>51</v>
      </c>
      <c r="E298" t="s">
        <v>20</v>
      </c>
      <c r="F298" t="s">
        <v>40</v>
      </c>
      <c r="G298">
        <v>25</v>
      </c>
      <c r="H298" t="s">
        <v>29</v>
      </c>
      <c r="I298" t="s">
        <v>69</v>
      </c>
      <c r="J298" t="s">
        <v>24</v>
      </c>
      <c r="K298">
        <v>0</v>
      </c>
      <c r="L298">
        <v>14214</v>
      </c>
      <c r="M298">
        <v>0</v>
      </c>
      <c r="N298">
        <v>14214</v>
      </c>
      <c r="O298" t="s">
        <v>25</v>
      </c>
      <c r="P298">
        <v>3.2</v>
      </c>
      <c r="Q298">
        <v>56</v>
      </c>
      <c r="R298" t="s">
        <v>1071</v>
      </c>
      <c r="S298">
        <v>4</v>
      </c>
      <c r="T298" t="str">
        <f>IF(Healthcare_Data[[#This Row],[Final_Bill]]&gt;=50000,"High",IF(Healthcare_Data[[#This Row],[Final_Bill]]&gt;=20000,"Medium","low"))</f>
        <v>low</v>
      </c>
    </row>
    <row r="299" spans="1:20" x14ac:dyDescent="0.3">
      <c r="A299" t="s">
        <v>354</v>
      </c>
      <c r="B299">
        <v>45770</v>
      </c>
      <c r="C299" t="s">
        <v>18</v>
      </c>
      <c r="D299" t="s">
        <v>51</v>
      </c>
      <c r="E299" t="s">
        <v>20</v>
      </c>
      <c r="F299" t="s">
        <v>21</v>
      </c>
      <c r="G299">
        <v>42</v>
      </c>
      <c r="H299" t="s">
        <v>41</v>
      </c>
      <c r="I299" t="s">
        <v>57</v>
      </c>
      <c r="J299" t="s">
        <v>31</v>
      </c>
      <c r="K299">
        <v>0</v>
      </c>
      <c r="L299">
        <v>4565</v>
      </c>
      <c r="M299">
        <v>0</v>
      </c>
      <c r="N299">
        <v>4565</v>
      </c>
      <c r="O299" t="s">
        <v>25</v>
      </c>
      <c r="P299">
        <v>3</v>
      </c>
      <c r="Q299">
        <v>105</v>
      </c>
      <c r="R299" t="s">
        <v>1071</v>
      </c>
      <c r="S299">
        <v>4</v>
      </c>
      <c r="T299" t="str">
        <f>IF(Healthcare_Data[[#This Row],[Final_Bill]]&gt;=50000,"High",IF(Healthcare_Data[[#This Row],[Final_Bill]]&gt;=20000,"Medium","low"))</f>
        <v>low</v>
      </c>
    </row>
    <row r="300" spans="1:20" x14ac:dyDescent="0.3">
      <c r="A300" t="s">
        <v>355</v>
      </c>
      <c r="B300">
        <v>45770</v>
      </c>
      <c r="C300" t="s">
        <v>18</v>
      </c>
      <c r="D300" t="s">
        <v>34</v>
      </c>
      <c r="E300" t="s">
        <v>20</v>
      </c>
      <c r="F300" t="s">
        <v>40</v>
      </c>
      <c r="G300">
        <v>77</v>
      </c>
      <c r="H300" t="s">
        <v>35</v>
      </c>
      <c r="I300" t="s">
        <v>23</v>
      </c>
      <c r="J300" t="s">
        <v>24</v>
      </c>
      <c r="K300">
        <v>0</v>
      </c>
      <c r="L300">
        <v>15056</v>
      </c>
      <c r="M300">
        <v>0</v>
      </c>
      <c r="N300">
        <v>15056</v>
      </c>
      <c r="O300" t="s">
        <v>59</v>
      </c>
      <c r="P300">
        <v>2.7</v>
      </c>
      <c r="Q300">
        <v>95</v>
      </c>
      <c r="R300" t="s">
        <v>1071</v>
      </c>
      <c r="S300">
        <v>4</v>
      </c>
      <c r="T300" t="str">
        <f>IF(Healthcare_Data[[#This Row],[Final_Bill]]&gt;=50000,"High",IF(Healthcare_Data[[#This Row],[Final_Bill]]&gt;=20000,"Medium","low"))</f>
        <v>low</v>
      </c>
    </row>
    <row r="301" spans="1:20" x14ac:dyDescent="0.3">
      <c r="A301" t="s">
        <v>356</v>
      </c>
      <c r="B301">
        <v>45770</v>
      </c>
      <c r="C301" t="s">
        <v>67</v>
      </c>
      <c r="D301" t="s">
        <v>19</v>
      </c>
      <c r="E301" t="s">
        <v>20</v>
      </c>
      <c r="F301" t="s">
        <v>21</v>
      </c>
      <c r="G301">
        <v>63</v>
      </c>
      <c r="H301" t="s">
        <v>22</v>
      </c>
      <c r="I301" t="s">
        <v>72</v>
      </c>
      <c r="J301" t="s">
        <v>24</v>
      </c>
      <c r="K301">
        <v>0</v>
      </c>
      <c r="L301">
        <v>4439</v>
      </c>
      <c r="M301">
        <v>500</v>
      </c>
      <c r="N301">
        <v>3939</v>
      </c>
      <c r="O301" t="s">
        <v>25</v>
      </c>
      <c r="P301">
        <v>4.5</v>
      </c>
      <c r="Q301">
        <v>7</v>
      </c>
      <c r="R301" t="s">
        <v>1071</v>
      </c>
      <c r="S301">
        <v>4</v>
      </c>
      <c r="T301" t="str">
        <f>IF(Healthcare_Data[[#This Row],[Final_Bill]]&gt;=50000,"High",IF(Healthcare_Data[[#This Row],[Final_Bill]]&gt;=20000,"Medium","low"))</f>
        <v>low</v>
      </c>
    </row>
    <row r="302" spans="1:20" x14ac:dyDescent="0.3">
      <c r="A302" t="s">
        <v>357</v>
      </c>
      <c r="B302">
        <v>45770</v>
      </c>
      <c r="C302" t="s">
        <v>27</v>
      </c>
      <c r="D302" t="s">
        <v>34</v>
      </c>
      <c r="E302" t="s">
        <v>20</v>
      </c>
      <c r="F302" t="s">
        <v>40</v>
      </c>
      <c r="G302">
        <v>49</v>
      </c>
      <c r="H302" t="s">
        <v>35</v>
      </c>
      <c r="I302" t="s">
        <v>23</v>
      </c>
      <c r="J302" t="s">
        <v>36</v>
      </c>
      <c r="K302">
        <v>0</v>
      </c>
      <c r="L302">
        <v>7241</v>
      </c>
      <c r="M302">
        <v>1000</v>
      </c>
      <c r="N302">
        <v>6241</v>
      </c>
      <c r="O302" t="s">
        <v>32</v>
      </c>
      <c r="P302">
        <v>2.7</v>
      </c>
      <c r="Q302">
        <v>109</v>
      </c>
      <c r="R302" t="s">
        <v>1071</v>
      </c>
      <c r="S302">
        <v>4</v>
      </c>
      <c r="T302" t="str">
        <f>IF(Healthcare_Data[[#This Row],[Final_Bill]]&gt;=50000,"High",IF(Healthcare_Data[[#This Row],[Final_Bill]]&gt;=20000,"Medium","low"))</f>
        <v>low</v>
      </c>
    </row>
    <row r="303" spans="1:20" x14ac:dyDescent="0.3">
      <c r="A303" t="s">
        <v>358</v>
      </c>
      <c r="B303">
        <v>45770</v>
      </c>
      <c r="C303" t="s">
        <v>50</v>
      </c>
      <c r="D303" t="s">
        <v>19</v>
      </c>
      <c r="E303" t="s">
        <v>20</v>
      </c>
      <c r="F303" t="s">
        <v>40</v>
      </c>
      <c r="G303">
        <v>53</v>
      </c>
      <c r="H303" t="s">
        <v>22</v>
      </c>
      <c r="I303" t="s">
        <v>69</v>
      </c>
      <c r="J303" t="s">
        <v>36</v>
      </c>
      <c r="K303">
        <v>0</v>
      </c>
      <c r="L303">
        <v>16641</v>
      </c>
      <c r="M303">
        <v>1500</v>
      </c>
      <c r="N303">
        <v>15141</v>
      </c>
      <c r="O303" t="s">
        <v>25</v>
      </c>
      <c r="P303">
        <v>4</v>
      </c>
      <c r="Q303">
        <v>120</v>
      </c>
      <c r="R303" t="s">
        <v>1071</v>
      </c>
      <c r="S303">
        <v>4</v>
      </c>
      <c r="T303" t="str">
        <f>IF(Healthcare_Data[[#This Row],[Final_Bill]]&gt;=50000,"High",IF(Healthcare_Data[[#This Row],[Final_Bill]]&gt;=20000,"Medium","low"))</f>
        <v>low</v>
      </c>
    </row>
    <row r="304" spans="1:20" x14ac:dyDescent="0.3">
      <c r="A304" t="s">
        <v>359</v>
      </c>
      <c r="B304">
        <v>45770</v>
      </c>
      <c r="C304" t="s">
        <v>18</v>
      </c>
      <c r="D304" t="s">
        <v>19</v>
      </c>
      <c r="E304" t="s">
        <v>20</v>
      </c>
      <c r="F304" t="s">
        <v>21</v>
      </c>
      <c r="G304">
        <v>43</v>
      </c>
      <c r="H304" t="s">
        <v>65</v>
      </c>
      <c r="I304" t="s">
        <v>61</v>
      </c>
      <c r="J304" t="s">
        <v>24</v>
      </c>
      <c r="K304">
        <v>0</v>
      </c>
      <c r="L304">
        <v>14926</v>
      </c>
      <c r="M304">
        <v>0</v>
      </c>
      <c r="N304">
        <v>14926</v>
      </c>
      <c r="O304" t="s">
        <v>25</v>
      </c>
      <c r="P304">
        <v>4.3</v>
      </c>
      <c r="Q304">
        <v>114</v>
      </c>
      <c r="R304" t="s">
        <v>1071</v>
      </c>
      <c r="S304">
        <v>4</v>
      </c>
      <c r="T304" t="str">
        <f>IF(Healthcare_Data[[#This Row],[Final_Bill]]&gt;=50000,"High",IF(Healthcare_Data[[#This Row],[Final_Bill]]&gt;=20000,"Medium","low"))</f>
        <v>low</v>
      </c>
    </row>
    <row r="305" spans="1:20" x14ac:dyDescent="0.3">
      <c r="A305" t="s">
        <v>360</v>
      </c>
      <c r="B305">
        <v>45771</v>
      </c>
      <c r="C305" t="s">
        <v>27</v>
      </c>
      <c r="D305" t="s">
        <v>51</v>
      </c>
      <c r="E305" t="s">
        <v>52</v>
      </c>
      <c r="F305" t="s">
        <v>40</v>
      </c>
      <c r="G305">
        <v>63</v>
      </c>
      <c r="H305" t="s">
        <v>65</v>
      </c>
      <c r="I305" t="s">
        <v>23</v>
      </c>
      <c r="J305" t="s">
        <v>58</v>
      </c>
      <c r="K305">
        <v>1</v>
      </c>
      <c r="L305">
        <v>35054</v>
      </c>
      <c r="M305">
        <v>0</v>
      </c>
      <c r="N305">
        <v>35054</v>
      </c>
      <c r="O305" t="s">
        <v>25</v>
      </c>
      <c r="P305">
        <v>3.1</v>
      </c>
      <c r="Q305">
        <v>103</v>
      </c>
      <c r="R305" t="s">
        <v>1071</v>
      </c>
      <c r="S305">
        <v>4</v>
      </c>
      <c r="T305" t="str">
        <f>IF(Healthcare_Data[[#This Row],[Final_Bill]]&gt;=50000,"High",IF(Healthcare_Data[[#This Row],[Final_Bill]]&gt;=20000,"Medium","low"))</f>
        <v>Medium</v>
      </c>
    </row>
    <row r="306" spans="1:20" x14ac:dyDescent="0.3">
      <c r="A306" t="s">
        <v>361</v>
      </c>
      <c r="B306">
        <v>45771</v>
      </c>
      <c r="C306" t="s">
        <v>27</v>
      </c>
      <c r="D306" t="s">
        <v>51</v>
      </c>
      <c r="E306" t="s">
        <v>52</v>
      </c>
      <c r="F306" t="s">
        <v>21</v>
      </c>
      <c r="G306">
        <v>57</v>
      </c>
      <c r="H306" t="s">
        <v>56</v>
      </c>
      <c r="I306" t="s">
        <v>61</v>
      </c>
      <c r="J306" t="s">
        <v>24</v>
      </c>
      <c r="K306">
        <v>6</v>
      </c>
      <c r="L306">
        <v>18983</v>
      </c>
      <c r="M306">
        <v>0</v>
      </c>
      <c r="N306">
        <v>18983</v>
      </c>
      <c r="O306" t="s">
        <v>25</v>
      </c>
      <c r="P306">
        <v>3</v>
      </c>
      <c r="Q306">
        <v>37</v>
      </c>
      <c r="R306" t="s">
        <v>1071</v>
      </c>
      <c r="S306">
        <v>4</v>
      </c>
      <c r="T306" t="str">
        <f>IF(Healthcare_Data[[#This Row],[Final_Bill]]&gt;=50000,"High",IF(Healthcare_Data[[#This Row],[Final_Bill]]&gt;=20000,"Medium","low"))</f>
        <v>low</v>
      </c>
    </row>
    <row r="307" spans="1:20" x14ac:dyDescent="0.3">
      <c r="A307" t="s">
        <v>362</v>
      </c>
      <c r="B307">
        <v>45772</v>
      </c>
      <c r="C307" t="s">
        <v>18</v>
      </c>
      <c r="D307" t="s">
        <v>28</v>
      </c>
      <c r="E307" t="s">
        <v>52</v>
      </c>
      <c r="F307" t="s">
        <v>40</v>
      </c>
      <c r="G307">
        <v>78</v>
      </c>
      <c r="H307" t="s">
        <v>65</v>
      </c>
      <c r="I307" t="s">
        <v>30</v>
      </c>
      <c r="J307" t="s">
        <v>24</v>
      </c>
      <c r="K307">
        <v>8</v>
      </c>
      <c r="L307">
        <v>56476</v>
      </c>
      <c r="M307">
        <v>0</v>
      </c>
      <c r="N307">
        <v>56476</v>
      </c>
      <c r="O307" t="s">
        <v>25</v>
      </c>
      <c r="P307">
        <v>4.4000000000000004</v>
      </c>
      <c r="Q307">
        <v>23</v>
      </c>
      <c r="R307" t="s">
        <v>1071</v>
      </c>
      <c r="S307">
        <v>4</v>
      </c>
      <c r="T307" t="str">
        <f>IF(Healthcare_Data[[#This Row],[Final_Bill]]&gt;=50000,"High",IF(Healthcare_Data[[#This Row],[Final_Bill]]&gt;=20000,"Medium","low"))</f>
        <v>High</v>
      </c>
    </row>
    <row r="308" spans="1:20" x14ac:dyDescent="0.3">
      <c r="A308" t="s">
        <v>363</v>
      </c>
      <c r="B308">
        <v>45773</v>
      </c>
      <c r="C308" t="s">
        <v>48</v>
      </c>
      <c r="D308" t="s">
        <v>19</v>
      </c>
      <c r="E308" t="s">
        <v>20</v>
      </c>
      <c r="F308" t="s">
        <v>40</v>
      </c>
      <c r="G308">
        <v>26</v>
      </c>
      <c r="H308" t="s">
        <v>35</v>
      </c>
      <c r="I308" t="s">
        <v>23</v>
      </c>
      <c r="J308" t="s">
        <v>31</v>
      </c>
      <c r="K308">
        <v>0</v>
      </c>
      <c r="L308">
        <v>8429</v>
      </c>
      <c r="M308">
        <v>0</v>
      </c>
      <c r="N308">
        <v>8429</v>
      </c>
      <c r="O308" t="s">
        <v>25</v>
      </c>
      <c r="P308">
        <v>2.9</v>
      </c>
      <c r="Q308">
        <v>86</v>
      </c>
      <c r="R308" t="s">
        <v>1071</v>
      </c>
      <c r="S308">
        <v>4</v>
      </c>
      <c r="T308" t="str">
        <f>IF(Healthcare_Data[[#This Row],[Final_Bill]]&gt;=50000,"High",IF(Healthcare_Data[[#This Row],[Final_Bill]]&gt;=20000,"Medium","low"))</f>
        <v>low</v>
      </c>
    </row>
    <row r="309" spans="1:20" x14ac:dyDescent="0.3">
      <c r="A309" t="s">
        <v>364</v>
      </c>
      <c r="B309">
        <v>45773</v>
      </c>
      <c r="C309" t="s">
        <v>38</v>
      </c>
      <c r="D309" t="s">
        <v>39</v>
      </c>
      <c r="E309" t="s">
        <v>20</v>
      </c>
      <c r="F309" t="s">
        <v>40</v>
      </c>
      <c r="G309">
        <v>62</v>
      </c>
      <c r="H309" t="s">
        <v>35</v>
      </c>
      <c r="I309" t="s">
        <v>72</v>
      </c>
      <c r="J309" t="s">
        <v>58</v>
      </c>
      <c r="K309">
        <v>0</v>
      </c>
      <c r="L309">
        <v>11672</v>
      </c>
      <c r="M309">
        <v>0</v>
      </c>
      <c r="N309">
        <v>11672</v>
      </c>
      <c r="O309" t="s">
        <v>25</v>
      </c>
      <c r="P309">
        <v>3.6</v>
      </c>
      <c r="Q309">
        <v>91</v>
      </c>
      <c r="R309" t="s">
        <v>1071</v>
      </c>
      <c r="S309">
        <v>4</v>
      </c>
      <c r="T309" t="str">
        <f>IF(Healthcare_Data[[#This Row],[Final_Bill]]&gt;=50000,"High",IF(Healthcare_Data[[#This Row],[Final_Bill]]&gt;=20000,"Medium","low"))</f>
        <v>low</v>
      </c>
    </row>
    <row r="310" spans="1:20" x14ac:dyDescent="0.3">
      <c r="A310" t="s">
        <v>365</v>
      </c>
      <c r="B310">
        <v>45773</v>
      </c>
      <c r="C310" t="s">
        <v>48</v>
      </c>
      <c r="D310" t="s">
        <v>19</v>
      </c>
      <c r="E310" t="s">
        <v>20</v>
      </c>
      <c r="F310" t="s">
        <v>21</v>
      </c>
      <c r="G310">
        <v>72</v>
      </c>
      <c r="H310" t="s">
        <v>29</v>
      </c>
      <c r="I310" t="s">
        <v>42</v>
      </c>
      <c r="J310" t="s">
        <v>31</v>
      </c>
      <c r="K310">
        <v>0</v>
      </c>
      <c r="L310">
        <v>10936</v>
      </c>
      <c r="M310">
        <v>2000</v>
      </c>
      <c r="N310">
        <v>8936</v>
      </c>
      <c r="O310" t="s">
        <v>25</v>
      </c>
      <c r="P310">
        <v>3.1</v>
      </c>
      <c r="Q310">
        <v>92</v>
      </c>
      <c r="R310" t="s">
        <v>1071</v>
      </c>
      <c r="S310">
        <v>4</v>
      </c>
      <c r="T310" t="str">
        <f>IF(Healthcare_Data[[#This Row],[Final_Bill]]&gt;=50000,"High",IF(Healthcare_Data[[#This Row],[Final_Bill]]&gt;=20000,"Medium","low"))</f>
        <v>low</v>
      </c>
    </row>
    <row r="311" spans="1:20" x14ac:dyDescent="0.3">
      <c r="A311" t="s">
        <v>366</v>
      </c>
      <c r="B311">
        <v>45774</v>
      </c>
      <c r="C311" t="s">
        <v>38</v>
      </c>
      <c r="D311" t="s">
        <v>28</v>
      </c>
      <c r="E311" t="s">
        <v>20</v>
      </c>
      <c r="F311" t="s">
        <v>21</v>
      </c>
      <c r="G311">
        <v>65</v>
      </c>
      <c r="H311" t="s">
        <v>65</v>
      </c>
      <c r="I311" t="s">
        <v>42</v>
      </c>
      <c r="J311" t="s">
        <v>31</v>
      </c>
      <c r="K311">
        <v>0</v>
      </c>
      <c r="L311">
        <v>11203</v>
      </c>
      <c r="M311">
        <v>0</v>
      </c>
      <c r="N311">
        <v>11203</v>
      </c>
      <c r="O311" t="s">
        <v>32</v>
      </c>
      <c r="P311">
        <v>3.1</v>
      </c>
      <c r="Q311">
        <v>61</v>
      </c>
      <c r="R311" t="s">
        <v>1071</v>
      </c>
      <c r="S311">
        <v>4</v>
      </c>
      <c r="T311" t="str">
        <f>IF(Healthcare_Data[[#This Row],[Final_Bill]]&gt;=50000,"High",IF(Healthcare_Data[[#This Row],[Final_Bill]]&gt;=20000,"Medium","low"))</f>
        <v>low</v>
      </c>
    </row>
    <row r="312" spans="1:20" x14ac:dyDescent="0.3">
      <c r="A312" t="s">
        <v>367</v>
      </c>
      <c r="B312">
        <v>45774</v>
      </c>
      <c r="C312" t="s">
        <v>54</v>
      </c>
      <c r="D312" t="s">
        <v>19</v>
      </c>
      <c r="E312" t="s">
        <v>20</v>
      </c>
      <c r="F312" t="s">
        <v>40</v>
      </c>
      <c r="G312">
        <v>73</v>
      </c>
      <c r="H312" t="s">
        <v>115</v>
      </c>
      <c r="I312" t="s">
        <v>72</v>
      </c>
      <c r="J312" t="s">
        <v>31</v>
      </c>
      <c r="K312">
        <v>0</v>
      </c>
      <c r="L312">
        <v>17616</v>
      </c>
      <c r="M312">
        <v>0</v>
      </c>
      <c r="N312">
        <v>17616</v>
      </c>
      <c r="O312" t="s">
        <v>25</v>
      </c>
      <c r="P312">
        <v>4.2</v>
      </c>
      <c r="Q312">
        <v>43</v>
      </c>
      <c r="R312" t="s">
        <v>1071</v>
      </c>
      <c r="S312">
        <v>4</v>
      </c>
      <c r="T312" t="str">
        <f>IF(Healthcare_Data[[#This Row],[Final_Bill]]&gt;=50000,"High",IF(Healthcare_Data[[#This Row],[Final_Bill]]&gt;=20000,"Medium","low"))</f>
        <v>low</v>
      </c>
    </row>
    <row r="313" spans="1:20" x14ac:dyDescent="0.3">
      <c r="A313" t="s">
        <v>368</v>
      </c>
      <c r="B313">
        <v>45775</v>
      </c>
      <c r="C313" t="s">
        <v>18</v>
      </c>
      <c r="D313" t="s">
        <v>19</v>
      </c>
      <c r="E313" t="s">
        <v>20</v>
      </c>
      <c r="F313" t="s">
        <v>40</v>
      </c>
      <c r="G313">
        <v>68</v>
      </c>
      <c r="H313" t="s">
        <v>46</v>
      </c>
      <c r="I313" t="s">
        <v>42</v>
      </c>
      <c r="J313" t="s">
        <v>24</v>
      </c>
      <c r="K313">
        <v>0</v>
      </c>
      <c r="L313">
        <v>17994</v>
      </c>
      <c r="M313">
        <v>0</v>
      </c>
      <c r="N313">
        <v>17994</v>
      </c>
      <c r="O313" t="s">
        <v>25</v>
      </c>
      <c r="P313">
        <v>2.6</v>
      </c>
      <c r="Q313">
        <v>34</v>
      </c>
      <c r="R313" t="s">
        <v>1071</v>
      </c>
      <c r="S313">
        <v>4</v>
      </c>
      <c r="T313" t="str">
        <f>IF(Healthcare_Data[[#This Row],[Final_Bill]]&gt;=50000,"High",IF(Healthcare_Data[[#This Row],[Final_Bill]]&gt;=20000,"Medium","low"))</f>
        <v>low</v>
      </c>
    </row>
    <row r="314" spans="1:20" x14ac:dyDescent="0.3">
      <c r="A314" t="s">
        <v>369</v>
      </c>
      <c r="B314">
        <v>45775</v>
      </c>
      <c r="C314" t="s">
        <v>48</v>
      </c>
      <c r="D314" t="s">
        <v>34</v>
      </c>
      <c r="E314" t="s">
        <v>52</v>
      </c>
      <c r="F314" t="s">
        <v>21</v>
      </c>
      <c r="G314">
        <v>77</v>
      </c>
      <c r="H314" t="s">
        <v>115</v>
      </c>
      <c r="I314" t="s">
        <v>72</v>
      </c>
      <c r="J314" t="s">
        <v>31</v>
      </c>
      <c r="K314">
        <v>2</v>
      </c>
      <c r="L314">
        <v>59512</v>
      </c>
      <c r="M314">
        <v>1000</v>
      </c>
      <c r="N314">
        <v>58512</v>
      </c>
      <c r="O314" t="s">
        <v>25</v>
      </c>
      <c r="P314">
        <v>3.1</v>
      </c>
      <c r="Q314">
        <v>117</v>
      </c>
      <c r="R314" t="s">
        <v>1071</v>
      </c>
      <c r="S314">
        <v>4</v>
      </c>
      <c r="T314" t="str">
        <f>IF(Healthcare_Data[[#This Row],[Final_Bill]]&gt;=50000,"High",IF(Healthcare_Data[[#This Row],[Final_Bill]]&gt;=20000,"Medium","low"))</f>
        <v>High</v>
      </c>
    </row>
    <row r="315" spans="1:20" x14ac:dyDescent="0.3">
      <c r="A315" t="s">
        <v>370</v>
      </c>
      <c r="B315">
        <v>45775</v>
      </c>
      <c r="C315" t="s">
        <v>38</v>
      </c>
      <c r="D315" t="s">
        <v>51</v>
      </c>
      <c r="E315" t="s">
        <v>20</v>
      </c>
      <c r="F315" t="s">
        <v>40</v>
      </c>
      <c r="G315">
        <v>64</v>
      </c>
      <c r="H315" t="s">
        <v>22</v>
      </c>
      <c r="I315" t="s">
        <v>30</v>
      </c>
      <c r="J315" t="s">
        <v>36</v>
      </c>
      <c r="K315">
        <v>0</v>
      </c>
      <c r="L315">
        <v>6653</v>
      </c>
      <c r="M315">
        <v>500</v>
      </c>
      <c r="N315">
        <v>6153</v>
      </c>
      <c r="O315" t="s">
        <v>25</v>
      </c>
      <c r="P315">
        <v>3.9</v>
      </c>
      <c r="Q315">
        <v>109</v>
      </c>
      <c r="R315" t="s">
        <v>1071</v>
      </c>
      <c r="S315">
        <v>4</v>
      </c>
      <c r="T315" t="str">
        <f>IF(Healthcare_Data[[#This Row],[Final_Bill]]&gt;=50000,"High",IF(Healthcare_Data[[#This Row],[Final_Bill]]&gt;=20000,"Medium","low"))</f>
        <v>low</v>
      </c>
    </row>
    <row r="316" spans="1:20" x14ac:dyDescent="0.3">
      <c r="A316" t="s">
        <v>371</v>
      </c>
      <c r="B316">
        <v>45775</v>
      </c>
      <c r="C316" t="s">
        <v>54</v>
      </c>
      <c r="D316" t="s">
        <v>39</v>
      </c>
      <c r="E316" t="s">
        <v>20</v>
      </c>
      <c r="F316" t="s">
        <v>40</v>
      </c>
      <c r="G316">
        <v>41</v>
      </c>
      <c r="H316" t="s">
        <v>65</v>
      </c>
      <c r="I316" t="s">
        <v>23</v>
      </c>
      <c r="J316" t="s">
        <v>24</v>
      </c>
      <c r="K316">
        <v>0</v>
      </c>
      <c r="L316">
        <v>17544</v>
      </c>
      <c r="M316">
        <v>1500</v>
      </c>
      <c r="N316">
        <v>16044</v>
      </c>
      <c r="O316" t="s">
        <v>59</v>
      </c>
      <c r="P316">
        <v>3.1</v>
      </c>
      <c r="Q316">
        <v>81</v>
      </c>
      <c r="R316" t="s">
        <v>1071</v>
      </c>
      <c r="S316">
        <v>4</v>
      </c>
      <c r="T316" t="str">
        <f>IF(Healthcare_Data[[#This Row],[Final_Bill]]&gt;=50000,"High",IF(Healthcare_Data[[#This Row],[Final_Bill]]&gt;=20000,"Medium","low"))</f>
        <v>low</v>
      </c>
    </row>
    <row r="317" spans="1:20" x14ac:dyDescent="0.3">
      <c r="A317" t="s">
        <v>372</v>
      </c>
      <c r="B317">
        <v>45776</v>
      </c>
      <c r="C317" t="s">
        <v>67</v>
      </c>
      <c r="D317" t="s">
        <v>34</v>
      </c>
      <c r="E317" t="s">
        <v>54</v>
      </c>
      <c r="F317" t="s">
        <v>21</v>
      </c>
      <c r="G317">
        <v>19</v>
      </c>
      <c r="H317" t="s">
        <v>29</v>
      </c>
      <c r="I317" t="s">
        <v>69</v>
      </c>
      <c r="J317" t="s">
        <v>24</v>
      </c>
      <c r="K317">
        <v>0</v>
      </c>
      <c r="L317">
        <v>34148</v>
      </c>
      <c r="M317">
        <v>0</v>
      </c>
      <c r="N317">
        <v>34148</v>
      </c>
      <c r="O317" t="s">
        <v>25</v>
      </c>
      <c r="P317">
        <v>4.8</v>
      </c>
      <c r="Q317">
        <v>97</v>
      </c>
      <c r="R317" t="s">
        <v>1071</v>
      </c>
      <c r="S317">
        <v>4</v>
      </c>
      <c r="T317" t="str">
        <f>IF(Healthcare_Data[[#This Row],[Final_Bill]]&gt;=50000,"High",IF(Healthcare_Data[[#This Row],[Final_Bill]]&gt;=20000,"Medium","low"))</f>
        <v>Medium</v>
      </c>
    </row>
    <row r="318" spans="1:20" x14ac:dyDescent="0.3">
      <c r="A318" t="s">
        <v>373</v>
      </c>
      <c r="B318">
        <v>45776</v>
      </c>
      <c r="C318" t="s">
        <v>38</v>
      </c>
      <c r="D318" t="s">
        <v>39</v>
      </c>
      <c r="E318" t="s">
        <v>20</v>
      </c>
      <c r="F318" t="s">
        <v>21</v>
      </c>
      <c r="G318">
        <v>78</v>
      </c>
      <c r="H318" t="s">
        <v>29</v>
      </c>
      <c r="I318" t="s">
        <v>42</v>
      </c>
      <c r="J318" t="s">
        <v>58</v>
      </c>
      <c r="K318">
        <v>0</v>
      </c>
      <c r="L318">
        <v>7658</v>
      </c>
      <c r="M318">
        <v>0</v>
      </c>
      <c r="N318">
        <v>7658</v>
      </c>
      <c r="O318" t="s">
        <v>25</v>
      </c>
      <c r="P318">
        <v>3.8</v>
      </c>
      <c r="Q318">
        <v>85</v>
      </c>
      <c r="R318" t="s">
        <v>1071</v>
      </c>
      <c r="S318">
        <v>4</v>
      </c>
      <c r="T318" t="str">
        <f>IF(Healthcare_Data[[#This Row],[Final_Bill]]&gt;=50000,"High",IF(Healthcare_Data[[#This Row],[Final_Bill]]&gt;=20000,"Medium","low"))</f>
        <v>low</v>
      </c>
    </row>
    <row r="319" spans="1:20" x14ac:dyDescent="0.3">
      <c r="A319" t="s">
        <v>374</v>
      </c>
      <c r="B319">
        <v>45777</v>
      </c>
      <c r="C319" t="s">
        <v>44</v>
      </c>
      <c r="D319" t="s">
        <v>34</v>
      </c>
      <c r="E319" t="s">
        <v>52</v>
      </c>
      <c r="F319" t="s">
        <v>21</v>
      </c>
      <c r="G319">
        <v>67</v>
      </c>
      <c r="H319" t="s">
        <v>65</v>
      </c>
      <c r="I319" t="s">
        <v>23</v>
      </c>
      <c r="J319" t="s">
        <v>24</v>
      </c>
      <c r="K319">
        <v>8</v>
      </c>
      <c r="L319">
        <v>42657</v>
      </c>
      <c r="M319">
        <v>1500</v>
      </c>
      <c r="N319">
        <v>41157</v>
      </c>
      <c r="O319" t="s">
        <v>25</v>
      </c>
      <c r="P319">
        <v>4.7</v>
      </c>
      <c r="Q319">
        <v>65</v>
      </c>
      <c r="R319" t="s">
        <v>1071</v>
      </c>
      <c r="S319">
        <v>4</v>
      </c>
      <c r="T319" t="str">
        <f>IF(Healthcare_Data[[#This Row],[Final_Bill]]&gt;=50000,"High",IF(Healthcare_Data[[#This Row],[Final_Bill]]&gt;=20000,"Medium","low"))</f>
        <v>Medium</v>
      </c>
    </row>
    <row r="320" spans="1:20" x14ac:dyDescent="0.3">
      <c r="A320" t="s">
        <v>375</v>
      </c>
      <c r="B320">
        <v>45777</v>
      </c>
      <c r="C320" t="s">
        <v>38</v>
      </c>
      <c r="D320" t="s">
        <v>28</v>
      </c>
      <c r="E320" t="s">
        <v>52</v>
      </c>
      <c r="F320" t="s">
        <v>21</v>
      </c>
      <c r="G320">
        <v>63</v>
      </c>
      <c r="H320" t="s">
        <v>22</v>
      </c>
      <c r="I320" t="s">
        <v>61</v>
      </c>
      <c r="J320" t="s">
        <v>24</v>
      </c>
      <c r="K320">
        <v>7</v>
      </c>
      <c r="L320">
        <v>26441</v>
      </c>
      <c r="M320">
        <v>1000</v>
      </c>
      <c r="N320">
        <v>25441</v>
      </c>
      <c r="O320" t="s">
        <v>59</v>
      </c>
      <c r="P320" t="s">
        <v>1057</v>
      </c>
      <c r="Q320">
        <v>11</v>
      </c>
      <c r="R320" t="s">
        <v>1071</v>
      </c>
      <c r="S320">
        <v>4</v>
      </c>
      <c r="T320" t="str">
        <f>IF(Healthcare_Data[[#This Row],[Final_Bill]]&gt;=50000,"High",IF(Healthcare_Data[[#This Row],[Final_Bill]]&gt;=20000,"Medium","low"))</f>
        <v>Medium</v>
      </c>
    </row>
    <row r="321" spans="1:20" x14ac:dyDescent="0.3">
      <c r="A321" t="s">
        <v>376</v>
      </c>
      <c r="B321">
        <v>45778</v>
      </c>
      <c r="C321" t="s">
        <v>27</v>
      </c>
      <c r="D321" t="s">
        <v>34</v>
      </c>
      <c r="E321" t="s">
        <v>20</v>
      </c>
      <c r="F321" t="s">
        <v>21</v>
      </c>
      <c r="G321">
        <v>33</v>
      </c>
      <c r="H321" t="s">
        <v>115</v>
      </c>
      <c r="I321" t="s">
        <v>23</v>
      </c>
      <c r="J321" t="s">
        <v>31</v>
      </c>
      <c r="K321">
        <v>0</v>
      </c>
      <c r="L321">
        <v>9433</v>
      </c>
      <c r="M321">
        <v>1000</v>
      </c>
      <c r="N321">
        <v>8433</v>
      </c>
      <c r="O321" t="s">
        <v>25</v>
      </c>
      <c r="P321">
        <v>2.7</v>
      </c>
      <c r="Q321">
        <v>59</v>
      </c>
      <c r="R321" t="s">
        <v>1072</v>
      </c>
      <c r="S321">
        <v>5</v>
      </c>
      <c r="T321" t="str">
        <f>IF(Healthcare_Data[[#This Row],[Final_Bill]]&gt;=50000,"High",IF(Healthcare_Data[[#This Row],[Final_Bill]]&gt;=20000,"Medium","low"))</f>
        <v>low</v>
      </c>
    </row>
    <row r="322" spans="1:20" x14ac:dyDescent="0.3">
      <c r="A322" t="s">
        <v>377</v>
      </c>
      <c r="B322">
        <v>45778</v>
      </c>
      <c r="C322" t="s">
        <v>48</v>
      </c>
      <c r="D322" t="s">
        <v>39</v>
      </c>
      <c r="E322" t="s">
        <v>52</v>
      </c>
      <c r="F322" t="s">
        <v>40</v>
      </c>
      <c r="G322">
        <v>78</v>
      </c>
      <c r="H322" t="s">
        <v>41</v>
      </c>
      <c r="I322" t="s">
        <v>63</v>
      </c>
      <c r="J322" t="s">
        <v>36</v>
      </c>
      <c r="K322">
        <v>7</v>
      </c>
      <c r="L322">
        <v>55392</v>
      </c>
      <c r="M322">
        <v>2000</v>
      </c>
      <c r="N322">
        <v>53392</v>
      </c>
      <c r="O322" t="s">
        <v>25</v>
      </c>
      <c r="P322">
        <v>2.9</v>
      </c>
      <c r="Q322">
        <v>88</v>
      </c>
      <c r="R322" t="s">
        <v>1072</v>
      </c>
      <c r="S322">
        <v>5</v>
      </c>
      <c r="T322" t="str">
        <f>IF(Healthcare_Data[[#This Row],[Final_Bill]]&gt;=50000,"High",IF(Healthcare_Data[[#This Row],[Final_Bill]]&gt;=20000,"Medium","low"))</f>
        <v>High</v>
      </c>
    </row>
    <row r="323" spans="1:20" x14ac:dyDescent="0.3">
      <c r="A323" t="s">
        <v>378</v>
      </c>
      <c r="B323">
        <v>45779</v>
      </c>
      <c r="C323" t="s">
        <v>50</v>
      </c>
      <c r="D323" t="s">
        <v>28</v>
      </c>
      <c r="E323" t="s">
        <v>52</v>
      </c>
      <c r="F323" t="s">
        <v>40</v>
      </c>
      <c r="G323">
        <v>47</v>
      </c>
      <c r="H323" t="s">
        <v>22</v>
      </c>
      <c r="I323" t="s">
        <v>61</v>
      </c>
      <c r="J323" t="s">
        <v>36</v>
      </c>
      <c r="K323">
        <v>3</v>
      </c>
      <c r="L323">
        <v>70107</v>
      </c>
      <c r="M323">
        <v>0</v>
      </c>
      <c r="N323">
        <v>70107</v>
      </c>
      <c r="O323" t="s">
        <v>25</v>
      </c>
      <c r="P323">
        <v>2.7</v>
      </c>
      <c r="Q323">
        <v>32</v>
      </c>
      <c r="R323" t="s">
        <v>1072</v>
      </c>
      <c r="S323">
        <v>5</v>
      </c>
      <c r="T323" t="str">
        <f>IF(Healthcare_Data[[#This Row],[Final_Bill]]&gt;=50000,"High",IF(Healthcare_Data[[#This Row],[Final_Bill]]&gt;=20000,"Medium","low"))</f>
        <v>High</v>
      </c>
    </row>
    <row r="324" spans="1:20" x14ac:dyDescent="0.3">
      <c r="A324" t="s">
        <v>379</v>
      </c>
      <c r="B324">
        <v>45779</v>
      </c>
      <c r="C324" t="s">
        <v>27</v>
      </c>
      <c r="D324" t="s">
        <v>19</v>
      </c>
      <c r="E324" t="s">
        <v>54</v>
      </c>
      <c r="F324" t="s">
        <v>21</v>
      </c>
      <c r="G324">
        <v>65</v>
      </c>
      <c r="H324" t="s">
        <v>115</v>
      </c>
      <c r="I324" t="s">
        <v>69</v>
      </c>
      <c r="J324" t="s">
        <v>36</v>
      </c>
      <c r="K324">
        <v>0</v>
      </c>
      <c r="L324">
        <v>13387</v>
      </c>
      <c r="M324">
        <v>2000</v>
      </c>
      <c r="N324">
        <v>11387</v>
      </c>
      <c r="O324" t="s">
        <v>32</v>
      </c>
      <c r="P324">
        <v>4.4000000000000004</v>
      </c>
      <c r="Q324">
        <v>120</v>
      </c>
      <c r="R324" t="s">
        <v>1072</v>
      </c>
      <c r="S324">
        <v>5</v>
      </c>
      <c r="T324" t="str">
        <f>IF(Healthcare_Data[[#This Row],[Final_Bill]]&gt;=50000,"High",IF(Healthcare_Data[[#This Row],[Final_Bill]]&gt;=20000,"Medium","low"))</f>
        <v>low</v>
      </c>
    </row>
    <row r="325" spans="1:20" x14ac:dyDescent="0.3">
      <c r="A325" t="s">
        <v>380</v>
      </c>
      <c r="B325">
        <v>45779</v>
      </c>
      <c r="C325" t="s">
        <v>18</v>
      </c>
      <c r="D325" t="s">
        <v>51</v>
      </c>
      <c r="E325" t="s">
        <v>52</v>
      </c>
      <c r="F325" t="s">
        <v>21</v>
      </c>
      <c r="G325">
        <v>23</v>
      </c>
      <c r="H325" t="s">
        <v>29</v>
      </c>
      <c r="I325" t="s">
        <v>30</v>
      </c>
      <c r="J325" t="s">
        <v>58</v>
      </c>
      <c r="K325">
        <v>8</v>
      </c>
      <c r="L325">
        <v>52001</v>
      </c>
      <c r="M325">
        <v>2000</v>
      </c>
      <c r="N325">
        <v>50001</v>
      </c>
      <c r="O325" t="s">
        <v>59</v>
      </c>
      <c r="P325">
        <v>3.8</v>
      </c>
      <c r="Q325">
        <v>11</v>
      </c>
      <c r="R325" t="s">
        <v>1072</v>
      </c>
      <c r="S325">
        <v>5</v>
      </c>
      <c r="T325" t="str">
        <f>IF(Healthcare_Data[[#This Row],[Final_Bill]]&gt;=50000,"High",IF(Healthcare_Data[[#This Row],[Final_Bill]]&gt;=20000,"Medium","low"))</f>
        <v>High</v>
      </c>
    </row>
    <row r="326" spans="1:20" x14ac:dyDescent="0.3">
      <c r="A326" t="s">
        <v>381</v>
      </c>
      <c r="B326">
        <v>45779</v>
      </c>
      <c r="C326" t="s">
        <v>27</v>
      </c>
      <c r="D326" t="s">
        <v>28</v>
      </c>
      <c r="E326" t="s">
        <v>20</v>
      </c>
      <c r="F326" t="s">
        <v>40</v>
      </c>
      <c r="G326">
        <v>73</v>
      </c>
      <c r="H326" t="s">
        <v>115</v>
      </c>
      <c r="I326" t="s">
        <v>63</v>
      </c>
      <c r="J326" t="s">
        <v>31</v>
      </c>
      <c r="K326">
        <v>0</v>
      </c>
      <c r="L326">
        <v>1996</v>
      </c>
      <c r="M326">
        <v>500</v>
      </c>
      <c r="N326">
        <v>1496</v>
      </c>
      <c r="O326" t="s">
        <v>25</v>
      </c>
      <c r="P326">
        <v>4.5</v>
      </c>
      <c r="Q326">
        <v>50</v>
      </c>
      <c r="R326" t="s">
        <v>1072</v>
      </c>
      <c r="S326">
        <v>5</v>
      </c>
      <c r="T326" t="str">
        <f>IF(Healthcare_Data[[#This Row],[Final_Bill]]&gt;=50000,"High",IF(Healthcare_Data[[#This Row],[Final_Bill]]&gt;=20000,"Medium","low"))</f>
        <v>low</v>
      </c>
    </row>
    <row r="327" spans="1:20" x14ac:dyDescent="0.3">
      <c r="A327" t="s">
        <v>382</v>
      </c>
      <c r="B327">
        <v>45779</v>
      </c>
      <c r="C327" t="s">
        <v>67</v>
      </c>
      <c r="D327" t="s">
        <v>34</v>
      </c>
      <c r="E327" t="s">
        <v>54</v>
      </c>
      <c r="F327" t="s">
        <v>21</v>
      </c>
      <c r="G327">
        <v>37</v>
      </c>
      <c r="H327" t="s">
        <v>115</v>
      </c>
      <c r="I327" t="s">
        <v>63</v>
      </c>
      <c r="J327" t="s">
        <v>24</v>
      </c>
      <c r="K327">
        <v>0</v>
      </c>
      <c r="L327">
        <v>41257</v>
      </c>
      <c r="M327">
        <v>1000</v>
      </c>
      <c r="N327">
        <v>40257</v>
      </c>
      <c r="O327" t="s">
        <v>25</v>
      </c>
      <c r="P327">
        <v>5</v>
      </c>
      <c r="Q327">
        <v>110</v>
      </c>
      <c r="R327" t="s">
        <v>1072</v>
      </c>
      <c r="S327">
        <v>5</v>
      </c>
      <c r="T327" t="str">
        <f>IF(Healthcare_Data[[#This Row],[Final_Bill]]&gt;=50000,"High",IF(Healthcare_Data[[#This Row],[Final_Bill]]&gt;=20000,"Medium","low"))</f>
        <v>Medium</v>
      </c>
    </row>
    <row r="328" spans="1:20" x14ac:dyDescent="0.3">
      <c r="A328" t="s">
        <v>383</v>
      </c>
      <c r="B328">
        <v>45779</v>
      </c>
      <c r="C328" t="s">
        <v>67</v>
      </c>
      <c r="D328" t="s">
        <v>28</v>
      </c>
      <c r="E328" t="s">
        <v>20</v>
      </c>
      <c r="F328" t="s">
        <v>21</v>
      </c>
      <c r="G328">
        <v>75</v>
      </c>
      <c r="H328" t="s">
        <v>29</v>
      </c>
      <c r="I328" t="s">
        <v>72</v>
      </c>
      <c r="J328" t="s">
        <v>24</v>
      </c>
      <c r="K328">
        <v>0</v>
      </c>
      <c r="L328">
        <v>12216</v>
      </c>
      <c r="M328">
        <v>0</v>
      </c>
      <c r="N328">
        <v>12216</v>
      </c>
      <c r="O328" t="s">
        <v>25</v>
      </c>
      <c r="P328">
        <v>3.9</v>
      </c>
      <c r="Q328">
        <v>84</v>
      </c>
      <c r="R328" t="s">
        <v>1072</v>
      </c>
      <c r="S328">
        <v>5</v>
      </c>
      <c r="T328" t="str">
        <f>IF(Healthcare_Data[[#This Row],[Final_Bill]]&gt;=50000,"High",IF(Healthcare_Data[[#This Row],[Final_Bill]]&gt;=20000,"Medium","low"))</f>
        <v>low</v>
      </c>
    </row>
    <row r="329" spans="1:20" x14ac:dyDescent="0.3">
      <c r="A329" t="s">
        <v>384</v>
      </c>
      <c r="B329">
        <v>45780</v>
      </c>
      <c r="C329" t="s">
        <v>44</v>
      </c>
      <c r="D329" t="s">
        <v>39</v>
      </c>
      <c r="E329" t="s">
        <v>52</v>
      </c>
      <c r="F329" t="s">
        <v>21</v>
      </c>
      <c r="G329">
        <v>55</v>
      </c>
      <c r="H329" t="s">
        <v>29</v>
      </c>
      <c r="I329" t="s">
        <v>61</v>
      </c>
      <c r="J329" t="s">
        <v>31</v>
      </c>
      <c r="K329">
        <v>6</v>
      </c>
      <c r="L329">
        <v>17576</v>
      </c>
      <c r="M329">
        <v>1000</v>
      </c>
      <c r="N329">
        <v>16576</v>
      </c>
      <c r="O329" t="s">
        <v>32</v>
      </c>
      <c r="P329">
        <v>3.1</v>
      </c>
      <c r="Q329">
        <v>9</v>
      </c>
      <c r="R329" t="s">
        <v>1072</v>
      </c>
      <c r="S329">
        <v>5</v>
      </c>
      <c r="T329" t="str">
        <f>IF(Healthcare_Data[[#This Row],[Final_Bill]]&gt;=50000,"High",IF(Healthcare_Data[[#This Row],[Final_Bill]]&gt;=20000,"Medium","low"))</f>
        <v>low</v>
      </c>
    </row>
    <row r="330" spans="1:20" x14ac:dyDescent="0.3">
      <c r="A330" t="s">
        <v>385</v>
      </c>
      <c r="B330">
        <v>45781</v>
      </c>
      <c r="C330" t="s">
        <v>27</v>
      </c>
      <c r="D330" t="s">
        <v>51</v>
      </c>
      <c r="E330" t="s">
        <v>20</v>
      </c>
      <c r="F330" t="s">
        <v>40</v>
      </c>
      <c r="G330">
        <v>20</v>
      </c>
      <c r="H330" t="s">
        <v>35</v>
      </c>
      <c r="I330" t="s">
        <v>30</v>
      </c>
      <c r="J330" t="s">
        <v>58</v>
      </c>
      <c r="K330">
        <v>0</v>
      </c>
      <c r="L330">
        <v>8544</v>
      </c>
      <c r="M330">
        <v>0</v>
      </c>
      <c r="N330">
        <v>8544</v>
      </c>
      <c r="O330" t="s">
        <v>32</v>
      </c>
      <c r="P330">
        <v>3.1</v>
      </c>
      <c r="Q330">
        <v>31</v>
      </c>
      <c r="R330" t="s">
        <v>1072</v>
      </c>
      <c r="S330">
        <v>5</v>
      </c>
      <c r="T330" t="str">
        <f>IF(Healthcare_Data[[#This Row],[Final_Bill]]&gt;=50000,"High",IF(Healthcare_Data[[#This Row],[Final_Bill]]&gt;=20000,"Medium","low"))</f>
        <v>low</v>
      </c>
    </row>
    <row r="331" spans="1:20" x14ac:dyDescent="0.3">
      <c r="A331" t="s">
        <v>386</v>
      </c>
      <c r="B331">
        <v>45781</v>
      </c>
      <c r="C331" t="s">
        <v>18</v>
      </c>
      <c r="D331" t="s">
        <v>51</v>
      </c>
      <c r="E331" t="s">
        <v>20</v>
      </c>
      <c r="F331" t="s">
        <v>21</v>
      </c>
      <c r="G331">
        <v>34</v>
      </c>
      <c r="H331" t="s">
        <v>56</v>
      </c>
      <c r="I331" t="s">
        <v>23</v>
      </c>
      <c r="J331" t="s">
        <v>24</v>
      </c>
      <c r="K331">
        <v>0</v>
      </c>
      <c r="L331">
        <v>14388</v>
      </c>
      <c r="M331">
        <v>1000</v>
      </c>
      <c r="N331">
        <v>13388</v>
      </c>
      <c r="O331" t="s">
        <v>25</v>
      </c>
      <c r="P331">
        <v>4.5999999999999996</v>
      </c>
      <c r="Q331">
        <v>47</v>
      </c>
      <c r="R331" t="s">
        <v>1072</v>
      </c>
      <c r="S331">
        <v>5</v>
      </c>
      <c r="T331" t="str">
        <f>IF(Healthcare_Data[[#This Row],[Final_Bill]]&gt;=50000,"High",IF(Healthcare_Data[[#This Row],[Final_Bill]]&gt;=20000,"Medium","low"))</f>
        <v>low</v>
      </c>
    </row>
    <row r="332" spans="1:20" x14ac:dyDescent="0.3">
      <c r="A332" t="s">
        <v>387</v>
      </c>
      <c r="B332">
        <v>45782</v>
      </c>
      <c r="C332" t="s">
        <v>54</v>
      </c>
      <c r="D332" t="s">
        <v>34</v>
      </c>
      <c r="E332" t="s">
        <v>52</v>
      </c>
      <c r="F332" t="s">
        <v>40</v>
      </c>
      <c r="G332">
        <v>57</v>
      </c>
      <c r="H332" t="s">
        <v>29</v>
      </c>
      <c r="I332" t="s">
        <v>61</v>
      </c>
      <c r="J332" t="s">
        <v>58</v>
      </c>
      <c r="K332">
        <v>3</v>
      </c>
      <c r="L332">
        <v>71516</v>
      </c>
      <c r="M332">
        <v>0</v>
      </c>
      <c r="N332">
        <v>71516</v>
      </c>
      <c r="O332" t="s">
        <v>25</v>
      </c>
      <c r="P332">
        <v>4.5999999999999996</v>
      </c>
      <c r="Q332">
        <v>71</v>
      </c>
      <c r="R332" t="s">
        <v>1072</v>
      </c>
      <c r="S332">
        <v>5</v>
      </c>
      <c r="T332" t="str">
        <f>IF(Healthcare_Data[[#This Row],[Final_Bill]]&gt;=50000,"High",IF(Healthcare_Data[[#This Row],[Final_Bill]]&gt;=20000,"Medium","low"))</f>
        <v>High</v>
      </c>
    </row>
    <row r="333" spans="1:20" x14ac:dyDescent="0.3">
      <c r="A333" t="s">
        <v>388</v>
      </c>
      <c r="B333">
        <v>45783</v>
      </c>
      <c r="C333" t="s">
        <v>50</v>
      </c>
      <c r="D333" t="s">
        <v>51</v>
      </c>
      <c r="E333" t="s">
        <v>20</v>
      </c>
      <c r="F333" t="s">
        <v>40</v>
      </c>
      <c r="G333">
        <v>79</v>
      </c>
      <c r="H333" t="s">
        <v>35</v>
      </c>
      <c r="I333" t="s">
        <v>23</v>
      </c>
      <c r="J333" t="s">
        <v>58</v>
      </c>
      <c r="K333">
        <v>0</v>
      </c>
      <c r="L333">
        <v>14703</v>
      </c>
      <c r="M333">
        <v>0</v>
      </c>
      <c r="N333">
        <v>14703</v>
      </c>
      <c r="O333" t="s">
        <v>25</v>
      </c>
      <c r="P333">
        <v>5</v>
      </c>
      <c r="Q333">
        <v>23</v>
      </c>
      <c r="R333" t="s">
        <v>1072</v>
      </c>
      <c r="S333">
        <v>5</v>
      </c>
      <c r="T333" t="str">
        <f>IF(Healthcare_Data[[#This Row],[Final_Bill]]&gt;=50000,"High",IF(Healthcare_Data[[#This Row],[Final_Bill]]&gt;=20000,"Medium","low"))</f>
        <v>low</v>
      </c>
    </row>
    <row r="334" spans="1:20" x14ac:dyDescent="0.3">
      <c r="A334" t="s">
        <v>389</v>
      </c>
      <c r="B334">
        <v>45783</v>
      </c>
      <c r="C334" t="s">
        <v>27</v>
      </c>
      <c r="D334" t="s">
        <v>34</v>
      </c>
      <c r="E334" t="s">
        <v>52</v>
      </c>
      <c r="F334" t="s">
        <v>40</v>
      </c>
      <c r="G334">
        <v>28</v>
      </c>
      <c r="H334" t="s">
        <v>35</v>
      </c>
      <c r="I334" t="s">
        <v>42</v>
      </c>
      <c r="J334" t="s">
        <v>24</v>
      </c>
      <c r="K334">
        <v>12</v>
      </c>
      <c r="L334">
        <v>36676</v>
      </c>
      <c r="M334">
        <v>0</v>
      </c>
      <c r="N334">
        <v>36676</v>
      </c>
      <c r="O334" t="s">
        <v>25</v>
      </c>
      <c r="P334">
        <v>2.9</v>
      </c>
      <c r="Q334">
        <v>48</v>
      </c>
      <c r="R334" t="s">
        <v>1072</v>
      </c>
      <c r="S334">
        <v>5</v>
      </c>
      <c r="T334" t="str">
        <f>IF(Healthcare_Data[[#This Row],[Final_Bill]]&gt;=50000,"High",IF(Healthcare_Data[[#This Row],[Final_Bill]]&gt;=20000,"Medium","low"))</f>
        <v>Medium</v>
      </c>
    </row>
    <row r="335" spans="1:20" x14ac:dyDescent="0.3">
      <c r="A335" t="s">
        <v>390</v>
      </c>
      <c r="B335">
        <v>45783</v>
      </c>
      <c r="C335" t="s">
        <v>50</v>
      </c>
      <c r="D335" t="s">
        <v>28</v>
      </c>
      <c r="E335" t="s">
        <v>52</v>
      </c>
      <c r="F335" t="s">
        <v>21</v>
      </c>
      <c r="G335">
        <v>25</v>
      </c>
      <c r="H335" t="s">
        <v>22</v>
      </c>
      <c r="I335" t="s">
        <v>30</v>
      </c>
      <c r="J335" t="s">
        <v>31</v>
      </c>
      <c r="K335">
        <v>9</v>
      </c>
      <c r="L335">
        <v>48021</v>
      </c>
      <c r="M335">
        <v>2000</v>
      </c>
      <c r="N335">
        <v>46021</v>
      </c>
      <c r="O335" t="s">
        <v>25</v>
      </c>
      <c r="P335">
        <v>4.0999999999999996</v>
      </c>
      <c r="Q335">
        <v>77</v>
      </c>
      <c r="R335" t="s">
        <v>1072</v>
      </c>
      <c r="S335">
        <v>5</v>
      </c>
      <c r="T335" t="str">
        <f>IF(Healthcare_Data[[#This Row],[Final_Bill]]&gt;=50000,"High",IF(Healthcare_Data[[#This Row],[Final_Bill]]&gt;=20000,"Medium","low"))</f>
        <v>Medium</v>
      </c>
    </row>
    <row r="336" spans="1:20" x14ac:dyDescent="0.3">
      <c r="A336" t="s">
        <v>391</v>
      </c>
      <c r="B336">
        <v>45783</v>
      </c>
      <c r="C336" t="s">
        <v>54</v>
      </c>
      <c r="D336" t="s">
        <v>34</v>
      </c>
      <c r="E336" t="s">
        <v>20</v>
      </c>
      <c r="F336" t="s">
        <v>21</v>
      </c>
      <c r="G336">
        <v>47</v>
      </c>
      <c r="H336" t="s">
        <v>41</v>
      </c>
      <c r="I336" t="s">
        <v>63</v>
      </c>
      <c r="J336" t="s">
        <v>24</v>
      </c>
      <c r="K336">
        <v>0</v>
      </c>
      <c r="L336">
        <v>14196</v>
      </c>
      <c r="M336">
        <v>500</v>
      </c>
      <c r="N336">
        <v>13696</v>
      </c>
      <c r="O336" t="s">
        <v>25</v>
      </c>
      <c r="P336">
        <v>3.7</v>
      </c>
      <c r="Q336">
        <v>86</v>
      </c>
      <c r="R336" t="s">
        <v>1072</v>
      </c>
      <c r="S336">
        <v>5</v>
      </c>
      <c r="T336" t="str">
        <f>IF(Healthcare_Data[[#This Row],[Final_Bill]]&gt;=50000,"High",IF(Healthcare_Data[[#This Row],[Final_Bill]]&gt;=20000,"Medium","low"))</f>
        <v>low</v>
      </c>
    </row>
    <row r="337" spans="1:20" x14ac:dyDescent="0.3">
      <c r="A337" t="s">
        <v>392</v>
      </c>
      <c r="B337">
        <v>45783</v>
      </c>
      <c r="C337" t="s">
        <v>44</v>
      </c>
      <c r="D337" t="s">
        <v>19</v>
      </c>
      <c r="E337" t="s">
        <v>52</v>
      </c>
      <c r="F337" t="s">
        <v>40</v>
      </c>
      <c r="G337">
        <v>55</v>
      </c>
      <c r="H337" t="s">
        <v>29</v>
      </c>
      <c r="I337" t="s">
        <v>72</v>
      </c>
      <c r="J337" t="s">
        <v>36</v>
      </c>
      <c r="K337">
        <v>1</v>
      </c>
      <c r="L337">
        <v>78657</v>
      </c>
      <c r="M337">
        <v>0</v>
      </c>
      <c r="N337">
        <v>78657</v>
      </c>
      <c r="O337" t="s">
        <v>32</v>
      </c>
      <c r="P337">
        <v>2.9</v>
      </c>
      <c r="Q337">
        <v>57</v>
      </c>
      <c r="R337" t="s">
        <v>1072</v>
      </c>
      <c r="S337">
        <v>5</v>
      </c>
      <c r="T337" t="str">
        <f>IF(Healthcare_Data[[#This Row],[Final_Bill]]&gt;=50000,"High",IF(Healthcare_Data[[#This Row],[Final_Bill]]&gt;=20000,"Medium","low"))</f>
        <v>High</v>
      </c>
    </row>
    <row r="338" spans="1:20" x14ac:dyDescent="0.3">
      <c r="A338" t="s">
        <v>393</v>
      </c>
      <c r="B338">
        <v>45783</v>
      </c>
      <c r="C338" t="s">
        <v>18</v>
      </c>
      <c r="D338" t="s">
        <v>19</v>
      </c>
      <c r="E338" t="s">
        <v>20</v>
      </c>
      <c r="F338" t="s">
        <v>40</v>
      </c>
      <c r="G338">
        <v>80</v>
      </c>
      <c r="H338" t="s">
        <v>22</v>
      </c>
      <c r="I338" t="s">
        <v>57</v>
      </c>
      <c r="J338" t="s">
        <v>24</v>
      </c>
      <c r="K338">
        <v>0</v>
      </c>
      <c r="L338">
        <v>2449</v>
      </c>
      <c r="M338">
        <v>2000</v>
      </c>
      <c r="N338">
        <v>449</v>
      </c>
      <c r="O338" t="s">
        <v>25</v>
      </c>
      <c r="P338">
        <v>3.8</v>
      </c>
      <c r="Q338">
        <v>55</v>
      </c>
      <c r="R338" t="s">
        <v>1072</v>
      </c>
      <c r="S338">
        <v>5</v>
      </c>
      <c r="T338" t="str">
        <f>IF(Healthcare_Data[[#This Row],[Final_Bill]]&gt;=50000,"High",IF(Healthcare_Data[[#This Row],[Final_Bill]]&gt;=20000,"Medium","low"))</f>
        <v>low</v>
      </c>
    </row>
    <row r="339" spans="1:20" x14ac:dyDescent="0.3">
      <c r="A339" t="s">
        <v>394</v>
      </c>
      <c r="B339">
        <v>45784</v>
      </c>
      <c r="C339" t="s">
        <v>18</v>
      </c>
      <c r="D339" t="s">
        <v>39</v>
      </c>
      <c r="E339" t="s">
        <v>54</v>
      </c>
      <c r="F339" t="s">
        <v>21</v>
      </c>
      <c r="G339">
        <v>28</v>
      </c>
      <c r="H339" t="s">
        <v>56</v>
      </c>
      <c r="I339" t="s">
        <v>61</v>
      </c>
      <c r="J339" t="s">
        <v>36</v>
      </c>
      <c r="K339">
        <v>0</v>
      </c>
      <c r="L339">
        <v>15086</v>
      </c>
      <c r="M339">
        <v>500</v>
      </c>
      <c r="N339">
        <v>14586</v>
      </c>
      <c r="O339" t="s">
        <v>25</v>
      </c>
      <c r="P339">
        <v>3.3</v>
      </c>
      <c r="Q339">
        <v>19</v>
      </c>
      <c r="R339" t="s">
        <v>1072</v>
      </c>
      <c r="S339">
        <v>5</v>
      </c>
      <c r="T339" t="str">
        <f>IF(Healthcare_Data[[#This Row],[Final_Bill]]&gt;=50000,"High",IF(Healthcare_Data[[#This Row],[Final_Bill]]&gt;=20000,"Medium","low"))</f>
        <v>low</v>
      </c>
    </row>
    <row r="340" spans="1:20" x14ac:dyDescent="0.3">
      <c r="A340" t="s">
        <v>395</v>
      </c>
      <c r="B340">
        <v>45784</v>
      </c>
      <c r="C340" t="s">
        <v>18</v>
      </c>
      <c r="D340" t="s">
        <v>51</v>
      </c>
      <c r="E340" t="s">
        <v>20</v>
      </c>
      <c r="F340" t="s">
        <v>40</v>
      </c>
      <c r="G340">
        <v>18</v>
      </c>
      <c r="H340" t="s">
        <v>22</v>
      </c>
      <c r="I340" t="s">
        <v>30</v>
      </c>
      <c r="J340" t="s">
        <v>58</v>
      </c>
      <c r="K340">
        <v>0</v>
      </c>
      <c r="L340">
        <v>6296</v>
      </c>
      <c r="M340">
        <v>2000</v>
      </c>
      <c r="N340">
        <v>4296</v>
      </c>
      <c r="O340" t="s">
        <v>25</v>
      </c>
      <c r="P340">
        <v>3.6</v>
      </c>
      <c r="Q340">
        <v>103</v>
      </c>
      <c r="R340" t="s">
        <v>1072</v>
      </c>
      <c r="S340">
        <v>5</v>
      </c>
      <c r="T340" t="str">
        <f>IF(Healthcare_Data[[#This Row],[Final_Bill]]&gt;=50000,"High",IF(Healthcare_Data[[#This Row],[Final_Bill]]&gt;=20000,"Medium","low"))</f>
        <v>low</v>
      </c>
    </row>
    <row r="341" spans="1:20" x14ac:dyDescent="0.3">
      <c r="A341" t="s">
        <v>396</v>
      </c>
      <c r="B341">
        <v>45784</v>
      </c>
      <c r="C341" t="s">
        <v>18</v>
      </c>
      <c r="D341" t="s">
        <v>19</v>
      </c>
      <c r="E341" t="s">
        <v>54</v>
      </c>
      <c r="F341" t="s">
        <v>21</v>
      </c>
      <c r="G341">
        <v>75</v>
      </c>
      <c r="H341" t="s">
        <v>56</v>
      </c>
      <c r="I341" t="s">
        <v>69</v>
      </c>
      <c r="J341" t="s">
        <v>24</v>
      </c>
      <c r="K341">
        <v>0</v>
      </c>
      <c r="L341">
        <v>19678</v>
      </c>
      <c r="M341">
        <v>0</v>
      </c>
      <c r="N341">
        <v>19678</v>
      </c>
      <c r="O341" t="s">
        <v>25</v>
      </c>
      <c r="P341">
        <v>4.0999999999999996</v>
      </c>
      <c r="Q341">
        <v>65</v>
      </c>
      <c r="R341" t="s">
        <v>1072</v>
      </c>
      <c r="S341">
        <v>5</v>
      </c>
      <c r="T341" t="str">
        <f>IF(Healthcare_Data[[#This Row],[Final_Bill]]&gt;=50000,"High",IF(Healthcare_Data[[#This Row],[Final_Bill]]&gt;=20000,"Medium","low"))</f>
        <v>low</v>
      </c>
    </row>
    <row r="342" spans="1:20" x14ac:dyDescent="0.3">
      <c r="A342" t="s">
        <v>397</v>
      </c>
      <c r="B342">
        <v>45785</v>
      </c>
      <c r="C342" t="s">
        <v>18</v>
      </c>
      <c r="D342" t="s">
        <v>51</v>
      </c>
      <c r="E342" t="s">
        <v>20</v>
      </c>
      <c r="F342" t="s">
        <v>40</v>
      </c>
      <c r="G342">
        <v>31</v>
      </c>
      <c r="H342" t="s">
        <v>46</v>
      </c>
      <c r="I342" t="s">
        <v>69</v>
      </c>
      <c r="J342" t="s">
        <v>36</v>
      </c>
      <c r="K342">
        <v>0</v>
      </c>
      <c r="L342">
        <v>7328</v>
      </c>
      <c r="M342">
        <v>500</v>
      </c>
      <c r="N342">
        <v>6828</v>
      </c>
      <c r="O342" t="s">
        <v>25</v>
      </c>
      <c r="P342">
        <v>3.3</v>
      </c>
      <c r="Q342">
        <v>7</v>
      </c>
      <c r="R342" t="s">
        <v>1072</v>
      </c>
      <c r="S342">
        <v>5</v>
      </c>
      <c r="T342" t="str">
        <f>IF(Healthcare_Data[[#This Row],[Final_Bill]]&gt;=50000,"High",IF(Healthcare_Data[[#This Row],[Final_Bill]]&gt;=20000,"Medium","low"))</f>
        <v>low</v>
      </c>
    </row>
    <row r="343" spans="1:20" x14ac:dyDescent="0.3">
      <c r="A343" t="s">
        <v>398</v>
      </c>
      <c r="B343">
        <v>45785</v>
      </c>
      <c r="C343" t="s">
        <v>54</v>
      </c>
      <c r="D343" t="s">
        <v>39</v>
      </c>
      <c r="E343" t="s">
        <v>20</v>
      </c>
      <c r="F343" t="s">
        <v>40</v>
      </c>
      <c r="G343">
        <v>58</v>
      </c>
      <c r="H343" t="s">
        <v>35</v>
      </c>
      <c r="I343" t="s">
        <v>42</v>
      </c>
      <c r="J343" t="s">
        <v>31</v>
      </c>
      <c r="K343">
        <v>0</v>
      </c>
      <c r="L343">
        <v>12822</v>
      </c>
      <c r="M343">
        <v>1000</v>
      </c>
      <c r="N343">
        <v>11822</v>
      </c>
      <c r="O343" t="s">
        <v>25</v>
      </c>
      <c r="P343">
        <v>3.6</v>
      </c>
      <c r="Q343">
        <v>53</v>
      </c>
      <c r="R343" t="s">
        <v>1072</v>
      </c>
      <c r="S343">
        <v>5</v>
      </c>
      <c r="T343" t="str">
        <f>IF(Healthcare_Data[[#This Row],[Final_Bill]]&gt;=50000,"High",IF(Healthcare_Data[[#This Row],[Final_Bill]]&gt;=20000,"Medium","low"))</f>
        <v>low</v>
      </c>
    </row>
    <row r="344" spans="1:20" x14ac:dyDescent="0.3">
      <c r="A344" t="s">
        <v>399</v>
      </c>
      <c r="B344">
        <v>45785</v>
      </c>
      <c r="C344" t="s">
        <v>50</v>
      </c>
      <c r="D344" t="s">
        <v>34</v>
      </c>
      <c r="E344" t="s">
        <v>52</v>
      </c>
      <c r="F344" t="s">
        <v>21</v>
      </c>
      <c r="G344">
        <v>56</v>
      </c>
      <c r="H344" t="s">
        <v>35</v>
      </c>
      <c r="I344" t="s">
        <v>63</v>
      </c>
      <c r="J344" t="s">
        <v>58</v>
      </c>
      <c r="K344">
        <v>7</v>
      </c>
      <c r="L344">
        <v>73375</v>
      </c>
      <c r="M344">
        <v>1000</v>
      </c>
      <c r="N344">
        <v>72375</v>
      </c>
      <c r="O344" t="s">
        <v>25</v>
      </c>
      <c r="P344">
        <v>4.2</v>
      </c>
      <c r="Q344">
        <v>26</v>
      </c>
      <c r="R344" t="s">
        <v>1072</v>
      </c>
      <c r="S344">
        <v>5</v>
      </c>
      <c r="T344" t="str">
        <f>IF(Healthcare_Data[[#This Row],[Final_Bill]]&gt;=50000,"High",IF(Healthcare_Data[[#This Row],[Final_Bill]]&gt;=20000,"Medium","low"))</f>
        <v>High</v>
      </c>
    </row>
    <row r="345" spans="1:20" x14ac:dyDescent="0.3">
      <c r="A345" t="s">
        <v>400</v>
      </c>
      <c r="B345">
        <v>45785</v>
      </c>
      <c r="C345" t="s">
        <v>48</v>
      </c>
      <c r="D345" t="s">
        <v>34</v>
      </c>
      <c r="E345" t="s">
        <v>52</v>
      </c>
      <c r="F345" t="s">
        <v>21</v>
      </c>
      <c r="G345">
        <v>77</v>
      </c>
      <c r="H345" t="s">
        <v>29</v>
      </c>
      <c r="I345" t="s">
        <v>57</v>
      </c>
      <c r="J345" t="s">
        <v>24</v>
      </c>
      <c r="K345">
        <v>11</v>
      </c>
      <c r="L345">
        <v>50656</v>
      </c>
      <c r="M345">
        <v>1500</v>
      </c>
      <c r="N345">
        <v>49156</v>
      </c>
      <c r="O345" t="s">
        <v>25</v>
      </c>
      <c r="P345">
        <v>3.1</v>
      </c>
      <c r="Q345">
        <v>46</v>
      </c>
      <c r="R345" t="s">
        <v>1072</v>
      </c>
      <c r="S345">
        <v>5</v>
      </c>
      <c r="T345" t="str">
        <f>IF(Healthcare_Data[[#This Row],[Final_Bill]]&gt;=50000,"High",IF(Healthcare_Data[[#This Row],[Final_Bill]]&gt;=20000,"Medium","low"))</f>
        <v>Medium</v>
      </c>
    </row>
    <row r="346" spans="1:20" x14ac:dyDescent="0.3">
      <c r="A346" t="s">
        <v>401</v>
      </c>
      <c r="B346">
        <v>45786</v>
      </c>
      <c r="C346" t="s">
        <v>48</v>
      </c>
      <c r="D346" t="s">
        <v>39</v>
      </c>
      <c r="E346" t="s">
        <v>52</v>
      </c>
      <c r="F346" t="s">
        <v>40</v>
      </c>
      <c r="G346">
        <v>75</v>
      </c>
      <c r="H346" t="s">
        <v>41</v>
      </c>
      <c r="I346" t="s">
        <v>23</v>
      </c>
      <c r="J346" t="s">
        <v>58</v>
      </c>
      <c r="K346">
        <v>12</v>
      </c>
      <c r="L346">
        <v>25207</v>
      </c>
      <c r="M346">
        <v>1000</v>
      </c>
      <c r="N346">
        <v>24207</v>
      </c>
      <c r="O346" t="s">
        <v>25</v>
      </c>
      <c r="P346">
        <v>3.7</v>
      </c>
      <c r="Q346">
        <v>117</v>
      </c>
      <c r="R346" t="s">
        <v>1072</v>
      </c>
      <c r="S346">
        <v>5</v>
      </c>
      <c r="T346" t="str">
        <f>IF(Healthcare_Data[[#This Row],[Final_Bill]]&gt;=50000,"High",IF(Healthcare_Data[[#This Row],[Final_Bill]]&gt;=20000,"Medium","low"))</f>
        <v>Medium</v>
      </c>
    </row>
    <row r="347" spans="1:20" x14ac:dyDescent="0.3">
      <c r="A347" t="s">
        <v>402</v>
      </c>
      <c r="B347">
        <v>45786</v>
      </c>
      <c r="C347" t="s">
        <v>27</v>
      </c>
      <c r="D347" t="s">
        <v>28</v>
      </c>
      <c r="E347" t="s">
        <v>20</v>
      </c>
      <c r="F347" t="s">
        <v>40</v>
      </c>
      <c r="G347">
        <v>80</v>
      </c>
      <c r="H347" t="s">
        <v>46</v>
      </c>
      <c r="I347" t="s">
        <v>69</v>
      </c>
      <c r="J347" t="s">
        <v>31</v>
      </c>
      <c r="K347">
        <v>0</v>
      </c>
      <c r="L347">
        <v>11982</v>
      </c>
      <c r="M347">
        <v>0</v>
      </c>
      <c r="N347">
        <v>11982</v>
      </c>
      <c r="O347" t="s">
        <v>32</v>
      </c>
      <c r="P347">
        <v>4</v>
      </c>
      <c r="Q347">
        <v>8</v>
      </c>
      <c r="R347" t="s">
        <v>1072</v>
      </c>
      <c r="S347">
        <v>5</v>
      </c>
      <c r="T347" t="str">
        <f>IF(Healthcare_Data[[#This Row],[Final_Bill]]&gt;=50000,"High",IF(Healthcare_Data[[#This Row],[Final_Bill]]&gt;=20000,"Medium","low"))</f>
        <v>low</v>
      </c>
    </row>
    <row r="348" spans="1:20" x14ac:dyDescent="0.3">
      <c r="A348" t="s">
        <v>403</v>
      </c>
      <c r="B348">
        <v>45786</v>
      </c>
      <c r="C348" t="s">
        <v>50</v>
      </c>
      <c r="D348" t="s">
        <v>34</v>
      </c>
      <c r="E348" t="s">
        <v>54</v>
      </c>
      <c r="F348" t="s">
        <v>21</v>
      </c>
      <c r="G348">
        <v>59</v>
      </c>
      <c r="H348" t="s">
        <v>35</v>
      </c>
      <c r="I348" t="s">
        <v>57</v>
      </c>
      <c r="J348" t="s">
        <v>24</v>
      </c>
      <c r="K348">
        <v>0</v>
      </c>
      <c r="L348">
        <v>13122</v>
      </c>
      <c r="M348">
        <v>1000</v>
      </c>
      <c r="N348">
        <v>12122</v>
      </c>
      <c r="O348" t="s">
        <v>25</v>
      </c>
      <c r="P348">
        <v>2.6</v>
      </c>
      <c r="Q348">
        <v>27</v>
      </c>
      <c r="R348" t="s">
        <v>1072</v>
      </c>
      <c r="S348">
        <v>5</v>
      </c>
      <c r="T348" t="str">
        <f>IF(Healthcare_Data[[#This Row],[Final_Bill]]&gt;=50000,"High",IF(Healthcare_Data[[#This Row],[Final_Bill]]&gt;=20000,"Medium","low"))</f>
        <v>low</v>
      </c>
    </row>
    <row r="349" spans="1:20" x14ac:dyDescent="0.3">
      <c r="A349" t="s">
        <v>404</v>
      </c>
      <c r="B349">
        <v>45787</v>
      </c>
      <c r="C349" t="s">
        <v>54</v>
      </c>
      <c r="D349" t="s">
        <v>51</v>
      </c>
      <c r="E349" t="s">
        <v>52</v>
      </c>
      <c r="F349" t="s">
        <v>21</v>
      </c>
      <c r="G349">
        <v>55</v>
      </c>
      <c r="H349" t="s">
        <v>41</v>
      </c>
      <c r="I349" t="s">
        <v>57</v>
      </c>
      <c r="J349" t="s">
        <v>58</v>
      </c>
      <c r="K349">
        <v>4</v>
      </c>
      <c r="L349">
        <v>50283</v>
      </c>
      <c r="M349">
        <v>0</v>
      </c>
      <c r="N349">
        <v>50283</v>
      </c>
      <c r="O349" t="s">
        <v>59</v>
      </c>
      <c r="P349">
        <v>4.7</v>
      </c>
      <c r="Q349">
        <v>63</v>
      </c>
      <c r="R349" t="s">
        <v>1072</v>
      </c>
      <c r="S349">
        <v>5</v>
      </c>
      <c r="T349" t="str">
        <f>IF(Healthcare_Data[[#This Row],[Final_Bill]]&gt;=50000,"High",IF(Healthcare_Data[[#This Row],[Final_Bill]]&gt;=20000,"Medium","low"))</f>
        <v>High</v>
      </c>
    </row>
    <row r="350" spans="1:20" x14ac:dyDescent="0.3">
      <c r="A350" t="s">
        <v>405</v>
      </c>
      <c r="B350">
        <v>45787</v>
      </c>
      <c r="C350" t="s">
        <v>44</v>
      </c>
      <c r="D350" t="s">
        <v>34</v>
      </c>
      <c r="E350" t="s">
        <v>52</v>
      </c>
      <c r="F350" t="s">
        <v>40</v>
      </c>
      <c r="G350">
        <v>20</v>
      </c>
      <c r="H350" t="s">
        <v>46</v>
      </c>
      <c r="I350" t="s">
        <v>57</v>
      </c>
      <c r="J350" t="s">
        <v>24</v>
      </c>
      <c r="K350">
        <v>5</v>
      </c>
      <c r="L350">
        <v>32376</v>
      </c>
      <c r="M350">
        <v>500</v>
      </c>
      <c r="N350">
        <v>31876</v>
      </c>
      <c r="O350" t="s">
        <v>25</v>
      </c>
      <c r="P350">
        <v>4.4000000000000004</v>
      </c>
      <c r="Q350">
        <v>52</v>
      </c>
      <c r="R350" t="s">
        <v>1072</v>
      </c>
      <c r="S350">
        <v>5</v>
      </c>
      <c r="T350" t="str">
        <f>IF(Healthcare_Data[[#This Row],[Final_Bill]]&gt;=50000,"High",IF(Healthcare_Data[[#This Row],[Final_Bill]]&gt;=20000,"Medium","low"))</f>
        <v>Medium</v>
      </c>
    </row>
    <row r="351" spans="1:20" x14ac:dyDescent="0.3">
      <c r="A351" t="s">
        <v>406</v>
      </c>
      <c r="B351">
        <v>45788</v>
      </c>
      <c r="C351" t="s">
        <v>67</v>
      </c>
      <c r="D351" t="s">
        <v>34</v>
      </c>
      <c r="E351" t="s">
        <v>52</v>
      </c>
      <c r="F351" t="s">
        <v>21</v>
      </c>
      <c r="G351">
        <v>41</v>
      </c>
      <c r="H351" t="s">
        <v>115</v>
      </c>
      <c r="I351" t="s">
        <v>61</v>
      </c>
      <c r="J351" t="s">
        <v>36</v>
      </c>
      <c r="K351">
        <v>4</v>
      </c>
      <c r="L351">
        <v>24399</v>
      </c>
      <c r="M351">
        <v>500</v>
      </c>
      <c r="N351">
        <v>23899</v>
      </c>
      <c r="O351" t="s">
        <v>25</v>
      </c>
      <c r="P351">
        <v>4.7</v>
      </c>
      <c r="Q351">
        <v>31</v>
      </c>
      <c r="R351" t="s">
        <v>1072</v>
      </c>
      <c r="S351">
        <v>5</v>
      </c>
      <c r="T351" t="str">
        <f>IF(Healthcare_Data[[#This Row],[Final_Bill]]&gt;=50000,"High",IF(Healthcare_Data[[#This Row],[Final_Bill]]&gt;=20000,"Medium","low"))</f>
        <v>Medium</v>
      </c>
    </row>
    <row r="352" spans="1:20" x14ac:dyDescent="0.3">
      <c r="A352" t="s">
        <v>407</v>
      </c>
      <c r="B352">
        <v>45788</v>
      </c>
      <c r="C352" t="s">
        <v>38</v>
      </c>
      <c r="D352" t="s">
        <v>34</v>
      </c>
      <c r="E352" t="s">
        <v>20</v>
      </c>
      <c r="F352" t="s">
        <v>21</v>
      </c>
      <c r="G352">
        <v>26</v>
      </c>
      <c r="H352" t="s">
        <v>41</v>
      </c>
      <c r="I352" t="s">
        <v>63</v>
      </c>
      <c r="J352" t="s">
        <v>31</v>
      </c>
      <c r="K352">
        <v>0</v>
      </c>
      <c r="L352">
        <v>4223</v>
      </c>
      <c r="M352">
        <v>1000</v>
      </c>
      <c r="N352">
        <v>3223</v>
      </c>
      <c r="O352" t="s">
        <v>25</v>
      </c>
      <c r="P352">
        <v>4.9000000000000004</v>
      </c>
      <c r="Q352">
        <v>36</v>
      </c>
      <c r="R352" t="s">
        <v>1072</v>
      </c>
      <c r="S352">
        <v>5</v>
      </c>
      <c r="T352" t="str">
        <f>IF(Healthcare_Data[[#This Row],[Final_Bill]]&gt;=50000,"High",IF(Healthcare_Data[[#This Row],[Final_Bill]]&gt;=20000,"Medium","low"))</f>
        <v>low</v>
      </c>
    </row>
    <row r="353" spans="1:20" x14ac:dyDescent="0.3">
      <c r="A353" t="s">
        <v>408</v>
      </c>
      <c r="B353">
        <v>45788</v>
      </c>
      <c r="C353" t="s">
        <v>48</v>
      </c>
      <c r="D353" t="s">
        <v>19</v>
      </c>
      <c r="E353" t="s">
        <v>54</v>
      </c>
      <c r="F353" t="s">
        <v>21</v>
      </c>
      <c r="G353">
        <v>47</v>
      </c>
      <c r="H353" t="s">
        <v>65</v>
      </c>
      <c r="I353" t="s">
        <v>63</v>
      </c>
      <c r="J353" t="s">
        <v>24</v>
      </c>
      <c r="K353">
        <v>0</v>
      </c>
      <c r="L353">
        <v>22691</v>
      </c>
      <c r="M353">
        <v>500</v>
      </c>
      <c r="N353">
        <v>22191</v>
      </c>
      <c r="O353" t="s">
        <v>25</v>
      </c>
      <c r="P353">
        <v>4.3</v>
      </c>
      <c r="Q353">
        <v>44</v>
      </c>
      <c r="R353" t="s">
        <v>1072</v>
      </c>
      <c r="S353">
        <v>5</v>
      </c>
      <c r="T353" t="str">
        <f>IF(Healthcare_Data[[#This Row],[Final_Bill]]&gt;=50000,"High",IF(Healthcare_Data[[#This Row],[Final_Bill]]&gt;=20000,"Medium","low"))</f>
        <v>Medium</v>
      </c>
    </row>
    <row r="354" spans="1:20" x14ac:dyDescent="0.3">
      <c r="A354" t="s">
        <v>409</v>
      </c>
      <c r="B354">
        <v>45788</v>
      </c>
      <c r="C354" t="s">
        <v>27</v>
      </c>
      <c r="D354" t="s">
        <v>39</v>
      </c>
      <c r="E354" t="s">
        <v>20</v>
      </c>
      <c r="F354" t="s">
        <v>21</v>
      </c>
      <c r="G354">
        <v>48</v>
      </c>
      <c r="H354" t="s">
        <v>56</v>
      </c>
      <c r="I354" t="s">
        <v>63</v>
      </c>
      <c r="J354" t="s">
        <v>58</v>
      </c>
      <c r="K354">
        <v>0</v>
      </c>
      <c r="L354">
        <v>2555</v>
      </c>
      <c r="M354">
        <v>1000</v>
      </c>
      <c r="N354">
        <v>1555</v>
      </c>
      <c r="O354" t="s">
        <v>59</v>
      </c>
      <c r="P354">
        <v>4.2</v>
      </c>
      <c r="Q354">
        <v>14</v>
      </c>
      <c r="R354" t="s">
        <v>1072</v>
      </c>
      <c r="S354">
        <v>5</v>
      </c>
      <c r="T354" t="str">
        <f>IF(Healthcare_Data[[#This Row],[Final_Bill]]&gt;=50000,"High",IF(Healthcare_Data[[#This Row],[Final_Bill]]&gt;=20000,"Medium","low"))</f>
        <v>low</v>
      </c>
    </row>
    <row r="355" spans="1:20" x14ac:dyDescent="0.3">
      <c r="A355" t="s">
        <v>410</v>
      </c>
      <c r="B355">
        <v>45789</v>
      </c>
      <c r="C355" t="s">
        <v>48</v>
      </c>
      <c r="D355" t="s">
        <v>34</v>
      </c>
      <c r="E355" t="s">
        <v>54</v>
      </c>
      <c r="F355" t="s">
        <v>40</v>
      </c>
      <c r="G355">
        <v>54</v>
      </c>
      <c r="H355" t="s">
        <v>35</v>
      </c>
      <c r="I355" t="s">
        <v>63</v>
      </c>
      <c r="J355" t="s">
        <v>58</v>
      </c>
      <c r="K355">
        <v>0</v>
      </c>
      <c r="L355">
        <v>20388</v>
      </c>
      <c r="M355">
        <v>2000</v>
      </c>
      <c r="N355">
        <v>18388</v>
      </c>
      <c r="O355" t="s">
        <v>25</v>
      </c>
      <c r="P355">
        <v>3.9</v>
      </c>
      <c r="Q355">
        <v>63</v>
      </c>
      <c r="R355" t="s">
        <v>1072</v>
      </c>
      <c r="S355">
        <v>5</v>
      </c>
      <c r="T355" t="str">
        <f>IF(Healthcare_Data[[#This Row],[Final_Bill]]&gt;=50000,"High",IF(Healthcare_Data[[#This Row],[Final_Bill]]&gt;=20000,"Medium","low"))</f>
        <v>low</v>
      </c>
    </row>
    <row r="356" spans="1:20" x14ac:dyDescent="0.3">
      <c r="A356" t="s">
        <v>411</v>
      </c>
      <c r="B356">
        <v>45790</v>
      </c>
      <c r="C356" t="s">
        <v>50</v>
      </c>
      <c r="D356" t="s">
        <v>51</v>
      </c>
      <c r="E356" t="s">
        <v>52</v>
      </c>
      <c r="F356" t="s">
        <v>40</v>
      </c>
      <c r="G356">
        <v>32</v>
      </c>
      <c r="H356" t="s">
        <v>65</v>
      </c>
      <c r="I356" t="s">
        <v>42</v>
      </c>
      <c r="J356" t="s">
        <v>31</v>
      </c>
      <c r="K356">
        <v>2</v>
      </c>
      <c r="L356">
        <v>38869</v>
      </c>
      <c r="M356">
        <v>1000</v>
      </c>
      <c r="N356">
        <v>37869</v>
      </c>
      <c r="O356" t="s">
        <v>25</v>
      </c>
      <c r="P356">
        <v>2.8</v>
      </c>
      <c r="Q356">
        <v>120</v>
      </c>
      <c r="R356" t="s">
        <v>1072</v>
      </c>
      <c r="S356">
        <v>5</v>
      </c>
      <c r="T356" t="str">
        <f>IF(Healthcare_Data[[#This Row],[Final_Bill]]&gt;=50000,"High",IF(Healthcare_Data[[#This Row],[Final_Bill]]&gt;=20000,"Medium","low"))</f>
        <v>Medium</v>
      </c>
    </row>
    <row r="357" spans="1:20" x14ac:dyDescent="0.3">
      <c r="A357" t="s">
        <v>412</v>
      </c>
      <c r="B357">
        <v>45790</v>
      </c>
      <c r="C357" t="s">
        <v>54</v>
      </c>
      <c r="D357" t="s">
        <v>19</v>
      </c>
      <c r="E357" t="s">
        <v>52</v>
      </c>
      <c r="F357" t="s">
        <v>21</v>
      </c>
      <c r="G357">
        <v>33</v>
      </c>
      <c r="H357" t="s">
        <v>56</v>
      </c>
      <c r="I357" t="s">
        <v>69</v>
      </c>
      <c r="J357" t="s">
        <v>31</v>
      </c>
      <c r="K357">
        <v>10</v>
      </c>
      <c r="L357">
        <v>64306</v>
      </c>
      <c r="M357">
        <v>0</v>
      </c>
      <c r="N357">
        <v>64306</v>
      </c>
      <c r="O357" t="s">
        <v>32</v>
      </c>
      <c r="P357">
        <v>3.9</v>
      </c>
      <c r="Q357">
        <v>78</v>
      </c>
      <c r="R357" t="s">
        <v>1072</v>
      </c>
      <c r="S357">
        <v>5</v>
      </c>
      <c r="T357" t="str">
        <f>IF(Healthcare_Data[[#This Row],[Final_Bill]]&gt;=50000,"High",IF(Healthcare_Data[[#This Row],[Final_Bill]]&gt;=20000,"Medium","low"))</f>
        <v>High</v>
      </c>
    </row>
    <row r="358" spans="1:20" x14ac:dyDescent="0.3">
      <c r="A358" t="s">
        <v>413</v>
      </c>
      <c r="B358">
        <v>45790</v>
      </c>
      <c r="C358" t="s">
        <v>50</v>
      </c>
      <c r="D358" t="s">
        <v>19</v>
      </c>
      <c r="E358" t="s">
        <v>20</v>
      </c>
      <c r="F358" t="s">
        <v>40</v>
      </c>
      <c r="G358">
        <v>28</v>
      </c>
      <c r="H358" t="s">
        <v>41</v>
      </c>
      <c r="I358" t="s">
        <v>23</v>
      </c>
      <c r="J358" t="s">
        <v>31</v>
      </c>
      <c r="K358">
        <v>0</v>
      </c>
      <c r="L358">
        <v>5176</v>
      </c>
      <c r="M358">
        <v>2000</v>
      </c>
      <c r="N358">
        <v>3176</v>
      </c>
      <c r="O358" t="s">
        <v>25</v>
      </c>
      <c r="P358">
        <v>4</v>
      </c>
      <c r="Q358">
        <v>83</v>
      </c>
      <c r="R358" t="s">
        <v>1072</v>
      </c>
      <c r="S358">
        <v>5</v>
      </c>
      <c r="T358" t="str">
        <f>IF(Healthcare_Data[[#This Row],[Final_Bill]]&gt;=50000,"High",IF(Healthcare_Data[[#This Row],[Final_Bill]]&gt;=20000,"Medium","low"))</f>
        <v>low</v>
      </c>
    </row>
    <row r="359" spans="1:20" x14ac:dyDescent="0.3">
      <c r="A359" t="s">
        <v>414</v>
      </c>
      <c r="B359">
        <v>45790</v>
      </c>
      <c r="C359" t="s">
        <v>54</v>
      </c>
      <c r="D359" t="s">
        <v>34</v>
      </c>
      <c r="E359" t="s">
        <v>20</v>
      </c>
      <c r="F359" t="s">
        <v>21</v>
      </c>
      <c r="G359">
        <v>77</v>
      </c>
      <c r="H359" t="s">
        <v>35</v>
      </c>
      <c r="I359" t="s">
        <v>63</v>
      </c>
      <c r="J359" t="s">
        <v>31</v>
      </c>
      <c r="K359">
        <v>0</v>
      </c>
      <c r="L359">
        <v>5309</v>
      </c>
      <c r="M359">
        <v>2000</v>
      </c>
      <c r="N359">
        <v>3309</v>
      </c>
      <c r="O359" t="s">
        <v>25</v>
      </c>
      <c r="P359">
        <v>4.4000000000000004</v>
      </c>
      <c r="Q359">
        <v>80</v>
      </c>
      <c r="R359" t="s">
        <v>1072</v>
      </c>
      <c r="S359">
        <v>5</v>
      </c>
      <c r="T359" t="str">
        <f>IF(Healthcare_Data[[#This Row],[Final_Bill]]&gt;=50000,"High",IF(Healthcare_Data[[#This Row],[Final_Bill]]&gt;=20000,"Medium","low"))</f>
        <v>low</v>
      </c>
    </row>
    <row r="360" spans="1:20" x14ac:dyDescent="0.3">
      <c r="A360" t="s">
        <v>415</v>
      </c>
      <c r="B360">
        <v>45790</v>
      </c>
      <c r="C360" t="s">
        <v>44</v>
      </c>
      <c r="D360" t="s">
        <v>34</v>
      </c>
      <c r="E360" t="s">
        <v>54</v>
      </c>
      <c r="F360" t="s">
        <v>40</v>
      </c>
      <c r="G360">
        <v>62</v>
      </c>
      <c r="H360" t="s">
        <v>41</v>
      </c>
      <c r="I360" t="s">
        <v>42</v>
      </c>
      <c r="J360" t="s">
        <v>58</v>
      </c>
      <c r="K360">
        <v>0</v>
      </c>
      <c r="L360">
        <v>17386</v>
      </c>
      <c r="M360">
        <v>0</v>
      </c>
      <c r="N360">
        <v>17386</v>
      </c>
      <c r="O360" t="s">
        <v>25</v>
      </c>
      <c r="P360">
        <v>3.9</v>
      </c>
      <c r="Q360">
        <v>89</v>
      </c>
      <c r="R360" t="s">
        <v>1072</v>
      </c>
      <c r="S360">
        <v>5</v>
      </c>
      <c r="T360" t="str">
        <f>IF(Healthcare_Data[[#This Row],[Final_Bill]]&gt;=50000,"High",IF(Healthcare_Data[[#This Row],[Final_Bill]]&gt;=20000,"Medium","low"))</f>
        <v>low</v>
      </c>
    </row>
    <row r="361" spans="1:20" x14ac:dyDescent="0.3">
      <c r="A361" t="s">
        <v>416</v>
      </c>
      <c r="B361">
        <v>45791</v>
      </c>
      <c r="C361" t="s">
        <v>27</v>
      </c>
      <c r="D361" t="s">
        <v>51</v>
      </c>
      <c r="E361" t="s">
        <v>54</v>
      </c>
      <c r="F361" t="s">
        <v>40</v>
      </c>
      <c r="G361">
        <v>31</v>
      </c>
      <c r="H361" t="s">
        <v>56</v>
      </c>
      <c r="I361" t="s">
        <v>42</v>
      </c>
      <c r="J361" t="s">
        <v>31</v>
      </c>
      <c r="K361">
        <v>0</v>
      </c>
      <c r="L361">
        <v>40031</v>
      </c>
      <c r="M361">
        <v>500</v>
      </c>
      <c r="N361">
        <v>39531</v>
      </c>
      <c r="O361" t="s">
        <v>32</v>
      </c>
      <c r="P361">
        <v>3.9</v>
      </c>
      <c r="Q361">
        <v>10</v>
      </c>
      <c r="R361" t="s">
        <v>1072</v>
      </c>
      <c r="S361">
        <v>5</v>
      </c>
      <c r="T361" t="str">
        <f>IF(Healthcare_Data[[#This Row],[Final_Bill]]&gt;=50000,"High",IF(Healthcare_Data[[#This Row],[Final_Bill]]&gt;=20000,"Medium","low"))</f>
        <v>Medium</v>
      </c>
    </row>
    <row r="362" spans="1:20" x14ac:dyDescent="0.3">
      <c r="A362" t="s">
        <v>417</v>
      </c>
      <c r="B362">
        <v>45791</v>
      </c>
      <c r="C362" t="s">
        <v>38</v>
      </c>
      <c r="D362" t="s">
        <v>39</v>
      </c>
      <c r="E362" t="s">
        <v>20</v>
      </c>
      <c r="F362" t="s">
        <v>40</v>
      </c>
      <c r="G362">
        <v>46</v>
      </c>
      <c r="H362" t="s">
        <v>115</v>
      </c>
      <c r="I362" t="s">
        <v>61</v>
      </c>
      <c r="J362" t="s">
        <v>24</v>
      </c>
      <c r="K362">
        <v>0</v>
      </c>
      <c r="L362">
        <v>3460</v>
      </c>
      <c r="M362">
        <v>0</v>
      </c>
      <c r="N362">
        <v>3460</v>
      </c>
      <c r="O362" t="s">
        <v>25</v>
      </c>
      <c r="P362">
        <v>4.7</v>
      </c>
      <c r="Q362">
        <v>101</v>
      </c>
      <c r="R362" t="s">
        <v>1072</v>
      </c>
      <c r="S362">
        <v>5</v>
      </c>
      <c r="T362" t="str">
        <f>IF(Healthcare_Data[[#This Row],[Final_Bill]]&gt;=50000,"High",IF(Healthcare_Data[[#This Row],[Final_Bill]]&gt;=20000,"Medium","low"))</f>
        <v>low</v>
      </c>
    </row>
    <row r="363" spans="1:20" x14ac:dyDescent="0.3">
      <c r="A363" t="s">
        <v>418</v>
      </c>
      <c r="B363">
        <v>45791</v>
      </c>
      <c r="C363" t="s">
        <v>38</v>
      </c>
      <c r="D363" t="s">
        <v>39</v>
      </c>
      <c r="E363" t="s">
        <v>20</v>
      </c>
      <c r="F363" t="s">
        <v>40</v>
      </c>
      <c r="G363">
        <v>30</v>
      </c>
      <c r="H363" t="s">
        <v>46</v>
      </c>
      <c r="I363" t="s">
        <v>23</v>
      </c>
      <c r="J363" t="s">
        <v>36</v>
      </c>
      <c r="K363">
        <v>0</v>
      </c>
      <c r="L363">
        <v>17556</v>
      </c>
      <c r="M363">
        <v>2000</v>
      </c>
      <c r="N363">
        <v>15556</v>
      </c>
      <c r="O363" t="s">
        <v>25</v>
      </c>
      <c r="P363">
        <v>4.4000000000000004</v>
      </c>
      <c r="Q363">
        <v>91</v>
      </c>
      <c r="R363" t="s">
        <v>1072</v>
      </c>
      <c r="S363">
        <v>5</v>
      </c>
      <c r="T363" t="str">
        <f>IF(Healthcare_Data[[#This Row],[Final_Bill]]&gt;=50000,"High",IF(Healthcare_Data[[#This Row],[Final_Bill]]&gt;=20000,"Medium","low"))</f>
        <v>low</v>
      </c>
    </row>
    <row r="364" spans="1:20" x14ac:dyDescent="0.3">
      <c r="A364" t="s">
        <v>419</v>
      </c>
      <c r="B364">
        <v>45792</v>
      </c>
      <c r="C364" t="s">
        <v>27</v>
      </c>
      <c r="D364" t="s">
        <v>19</v>
      </c>
      <c r="E364" t="s">
        <v>20</v>
      </c>
      <c r="F364" t="s">
        <v>21</v>
      </c>
      <c r="G364">
        <v>79</v>
      </c>
      <c r="H364" t="s">
        <v>56</v>
      </c>
      <c r="I364" t="s">
        <v>69</v>
      </c>
      <c r="J364" t="s">
        <v>58</v>
      </c>
      <c r="K364">
        <v>0</v>
      </c>
      <c r="L364">
        <v>1511</v>
      </c>
      <c r="M364">
        <v>1500</v>
      </c>
      <c r="N364">
        <v>11</v>
      </c>
      <c r="O364" t="s">
        <v>25</v>
      </c>
      <c r="P364">
        <v>4.8</v>
      </c>
      <c r="Q364">
        <v>59</v>
      </c>
      <c r="R364" t="s">
        <v>1072</v>
      </c>
      <c r="S364">
        <v>5</v>
      </c>
      <c r="T364" t="str">
        <f>IF(Healthcare_Data[[#This Row],[Final_Bill]]&gt;=50000,"High",IF(Healthcare_Data[[#This Row],[Final_Bill]]&gt;=20000,"Medium","low"))</f>
        <v>low</v>
      </c>
    </row>
    <row r="365" spans="1:20" x14ac:dyDescent="0.3">
      <c r="A365" t="s">
        <v>420</v>
      </c>
      <c r="B365">
        <v>45792</v>
      </c>
      <c r="C365" t="s">
        <v>27</v>
      </c>
      <c r="D365" t="s">
        <v>19</v>
      </c>
      <c r="E365" t="s">
        <v>20</v>
      </c>
      <c r="F365" t="s">
        <v>40</v>
      </c>
      <c r="G365">
        <v>34</v>
      </c>
      <c r="H365" t="s">
        <v>35</v>
      </c>
      <c r="I365" t="s">
        <v>23</v>
      </c>
      <c r="J365" t="s">
        <v>36</v>
      </c>
      <c r="K365">
        <v>0</v>
      </c>
      <c r="L365">
        <v>18202</v>
      </c>
      <c r="M365">
        <v>1000</v>
      </c>
      <c r="N365">
        <v>17202</v>
      </c>
      <c r="O365" t="s">
        <v>25</v>
      </c>
      <c r="P365">
        <v>3.6</v>
      </c>
      <c r="Q365">
        <v>54</v>
      </c>
      <c r="R365" t="s">
        <v>1072</v>
      </c>
      <c r="S365">
        <v>5</v>
      </c>
      <c r="T365" t="str">
        <f>IF(Healthcare_Data[[#This Row],[Final_Bill]]&gt;=50000,"High",IF(Healthcare_Data[[#This Row],[Final_Bill]]&gt;=20000,"Medium","low"))</f>
        <v>low</v>
      </c>
    </row>
    <row r="366" spans="1:20" x14ac:dyDescent="0.3">
      <c r="A366" t="s">
        <v>421</v>
      </c>
      <c r="B366">
        <v>45792</v>
      </c>
      <c r="C366" t="s">
        <v>50</v>
      </c>
      <c r="D366" t="s">
        <v>34</v>
      </c>
      <c r="E366" t="s">
        <v>20</v>
      </c>
      <c r="F366" t="s">
        <v>21</v>
      </c>
      <c r="G366">
        <v>36</v>
      </c>
      <c r="H366" t="s">
        <v>22</v>
      </c>
      <c r="I366" t="s">
        <v>63</v>
      </c>
      <c r="J366" t="s">
        <v>58</v>
      </c>
      <c r="K366">
        <v>0</v>
      </c>
      <c r="L366">
        <v>4686</v>
      </c>
      <c r="M366">
        <v>1000</v>
      </c>
      <c r="N366">
        <v>3686</v>
      </c>
      <c r="O366" t="s">
        <v>25</v>
      </c>
      <c r="P366">
        <v>4.5999999999999996</v>
      </c>
      <c r="Q366">
        <v>96</v>
      </c>
      <c r="R366" t="s">
        <v>1072</v>
      </c>
      <c r="S366">
        <v>5</v>
      </c>
      <c r="T366" t="str">
        <f>IF(Healthcare_Data[[#This Row],[Final_Bill]]&gt;=50000,"High",IF(Healthcare_Data[[#This Row],[Final_Bill]]&gt;=20000,"Medium","low"))</f>
        <v>low</v>
      </c>
    </row>
    <row r="367" spans="1:20" x14ac:dyDescent="0.3">
      <c r="A367" t="s">
        <v>422</v>
      </c>
      <c r="B367">
        <v>45793</v>
      </c>
      <c r="C367" t="s">
        <v>48</v>
      </c>
      <c r="D367" t="s">
        <v>19</v>
      </c>
      <c r="E367" t="s">
        <v>20</v>
      </c>
      <c r="F367" t="s">
        <v>21</v>
      </c>
      <c r="G367">
        <v>48</v>
      </c>
      <c r="H367" t="s">
        <v>65</v>
      </c>
      <c r="I367" t="s">
        <v>61</v>
      </c>
      <c r="J367" t="s">
        <v>24</v>
      </c>
      <c r="K367">
        <v>0</v>
      </c>
      <c r="L367">
        <v>11164</v>
      </c>
      <c r="M367">
        <v>1500</v>
      </c>
      <c r="N367">
        <v>9664</v>
      </c>
      <c r="O367" t="s">
        <v>25</v>
      </c>
      <c r="P367">
        <v>3.2</v>
      </c>
      <c r="Q367">
        <v>54</v>
      </c>
      <c r="R367" t="s">
        <v>1072</v>
      </c>
      <c r="S367">
        <v>5</v>
      </c>
      <c r="T367" t="str">
        <f>IF(Healthcare_Data[[#This Row],[Final_Bill]]&gt;=50000,"High",IF(Healthcare_Data[[#This Row],[Final_Bill]]&gt;=20000,"Medium","low"))</f>
        <v>low</v>
      </c>
    </row>
    <row r="368" spans="1:20" x14ac:dyDescent="0.3">
      <c r="A368" t="s">
        <v>423</v>
      </c>
      <c r="B368">
        <v>45793</v>
      </c>
      <c r="C368" t="s">
        <v>44</v>
      </c>
      <c r="D368" t="s">
        <v>28</v>
      </c>
      <c r="E368" t="s">
        <v>52</v>
      </c>
      <c r="F368" t="s">
        <v>40</v>
      </c>
      <c r="G368">
        <v>21</v>
      </c>
      <c r="H368" t="s">
        <v>29</v>
      </c>
      <c r="I368" t="s">
        <v>61</v>
      </c>
      <c r="J368" t="s">
        <v>36</v>
      </c>
      <c r="K368">
        <v>13</v>
      </c>
      <c r="L368">
        <v>64379</v>
      </c>
      <c r="M368">
        <v>500</v>
      </c>
      <c r="N368">
        <v>63879</v>
      </c>
      <c r="O368" t="s">
        <v>32</v>
      </c>
      <c r="P368">
        <v>3.3</v>
      </c>
      <c r="Q368">
        <v>55</v>
      </c>
      <c r="R368" t="s">
        <v>1072</v>
      </c>
      <c r="S368">
        <v>5</v>
      </c>
      <c r="T368" t="str">
        <f>IF(Healthcare_Data[[#This Row],[Final_Bill]]&gt;=50000,"High",IF(Healthcare_Data[[#This Row],[Final_Bill]]&gt;=20000,"Medium","low"))</f>
        <v>High</v>
      </c>
    </row>
    <row r="369" spans="1:20" x14ac:dyDescent="0.3">
      <c r="A369" t="s">
        <v>424</v>
      </c>
      <c r="B369">
        <v>45793</v>
      </c>
      <c r="C369" t="s">
        <v>50</v>
      </c>
      <c r="D369" t="s">
        <v>28</v>
      </c>
      <c r="E369" t="s">
        <v>20</v>
      </c>
      <c r="F369" t="s">
        <v>21</v>
      </c>
      <c r="G369">
        <v>73</v>
      </c>
      <c r="H369" t="s">
        <v>41</v>
      </c>
      <c r="I369" t="s">
        <v>72</v>
      </c>
      <c r="J369" t="s">
        <v>24</v>
      </c>
      <c r="K369">
        <v>0</v>
      </c>
      <c r="L369">
        <v>15301</v>
      </c>
      <c r="M369">
        <v>0</v>
      </c>
      <c r="N369">
        <v>15301</v>
      </c>
      <c r="O369" t="s">
        <v>59</v>
      </c>
      <c r="P369">
        <v>3.6</v>
      </c>
      <c r="Q369">
        <v>69</v>
      </c>
      <c r="R369" t="s">
        <v>1072</v>
      </c>
      <c r="S369">
        <v>5</v>
      </c>
      <c r="T369" t="str">
        <f>IF(Healthcare_Data[[#This Row],[Final_Bill]]&gt;=50000,"High",IF(Healthcare_Data[[#This Row],[Final_Bill]]&gt;=20000,"Medium","low"))</f>
        <v>low</v>
      </c>
    </row>
    <row r="370" spans="1:20" x14ac:dyDescent="0.3">
      <c r="A370" t="s">
        <v>425</v>
      </c>
      <c r="B370">
        <v>45794</v>
      </c>
      <c r="C370" t="s">
        <v>44</v>
      </c>
      <c r="D370" t="s">
        <v>51</v>
      </c>
      <c r="E370" t="s">
        <v>20</v>
      </c>
      <c r="F370" t="s">
        <v>21</v>
      </c>
      <c r="G370">
        <v>34</v>
      </c>
      <c r="H370" t="s">
        <v>46</v>
      </c>
      <c r="I370" t="s">
        <v>72</v>
      </c>
      <c r="J370" t="s">
        <v>24</v>
      </c>
      <c r="K370">
        <v>0</v>
      </c>
      <c r="L370">
        <v>10971</v>
      </c>
      <c r="M370">
        <v>0</v>
      </c>
      <c r="N370">
        <v>10971</v>
      </c>
      <c r="O370" t="s">
        <v>25</v>
      </c>
      <c r="P370">
        <v>3.6</v>
      </c>
      <c r="Q370">
        <v>14</v>
      </c>
      <c r="R370" t="s">
        <v>1072</v>
      </c>
      <c r="S370">
        <v>5</v>
      </c>
      <c r="T370" t="str">
        <f>IF(Healthcare_Data[[#This Row],[Final_Bill]]&gt;=50000,"High",IF(Healthcare_Data[[#This Row],[Final_Bill]]&gt;=20000,"Medium","low"))</f>
        <v>low</v>
      </c>
    </row>
    <row r="371" spans="1:20" x14ac:dyDescent="0.3">
      <c r="A371" t="s">
        <v>426</v>
      </c>
      <c r="B371">
        <v>45794</v>
      </c>
      <c r="C371" t="s">
        <v>67</v>
      </c>
      <c r="D371" t="s">
        <v>19</v>
      </c>
      <c r="E371" t="s">
        <v>20</v>
      </c>
      <c r="F371" t="s">
        <v>40</v>
      </c>
      <c r="G371">
        <v>49</v>
      </c>
      <c r="H371" t="s">
        <v>65</v>
      </c>
      <c r="I371" t="s">
        <v>63</v>
      </c>
      <c r="J371" t="s">
        <v>58</v>
      </c>
      <c r="K371">
        <v>0</v>
      </c>
      <c r="L371">
        <v>2270</v>
      </c>
      <c r="M371">
        <v>1000</v>
      </c>
      <c r="N371">
        <v>1270</v>
      </c>
      <c r="O371" t="s">
        <v>25</v>
      </c>
      <c r="P371">
        <v>3.8</v>
      </c>
      <c r="Q371">
        <v>36</v>
      </c>
      <c r="R371" t="s">
        <v>1072</v>
      </c>
      <c r="S371">
        <v>5</v>
      </c>
      <c r="T371" t="str">
        <f>IF(Healthcare_Data[[#This Row],[Final_Bill]]&gt;=50000,"High",IF(Healthcare_Data[[#This Row],[Final_Bill]]&gt;=20000,"Medium","low"))</f>
        <v>low</v>
      </c>
    </row>
    <row r="372" spans="1:20" x14ac:dyDescent="0.3">
      <c r="A372" t="s">
        <v>427</v>
      </c>
      <c r="B372">
        <v>45795</v>
      </c>
      <c r="C372" t="s">
        <v>48</v>
      </c>
      <c r="D372" t="s">
        <v>39</v>
      </c>
      <c r="E372" t="s">
        <v>20</v>
      </c>
      <c r="F372" t="s">
        <v>40</v>
      </c>
      <c r="G372">
        <v>75</v>
      </c>
      <c r="H372" t="s">
        <v>35</v>
      </c>
      <c r="I372" t="s">
        <v>30</v>
      </c>
      <c r="J372" t="s">
        <v>24</v>
      </c>
      <c r="K372">
        <v>0</v>
      </c>
      <c r="L372">
        <v>13739</v>
      </c>
      <c r="M372">
        <v>1000</v>
      </c>
      <c r="N372">
        <v>12739</v>
      </c>
      <c r="O372" t="s">
        <v>25</v>
      </c>
      <c r="P372">
        <v>3.8</v>
      </c>
      <c r="Q372">
        <v>111</v>
      </c>
      <c r="R372" t="s">
        <v>1072</v>
      </c>
      <c r="S372">
        <v>5</v>
      </c>
      <c r="T372" t="str">
        <f>IF(Healthcare_Data[[#This Row],[Final_Bill]]&gt;=50000,"High",IF(Healthcare_Data[[#This Row],[Final_Bill]]&gt;=20000,"Medium","low"))</f>
        <v>low</v>
      </c>
    </row>
    <row r="373" spans="1:20" x14ac:dyDescent="0.3">
      <c r="A373" t="s">
        <v>428</v>
      </c>
      <c r="B373">
        <v>45796</v>
      </c>
      <c r="C373" t="s">
        <v>44</v>
      </c>
      <c r="D373" t="s">
        <v>39</v>
      </c>
      <c r="E373" t="s">
        <v>52</v>
      </c>
      <c r="F373" t="s">
        <v>40</v>
      </c>
      <c r="G373">
        <v>39</v>
      </c>
      <c r="H373" t="s">
        <v>46</v>
      </c>
      <c r="I373" t="s">
        <v>72</v>
      </c>
      <c r="J373" t="s">
        <v>36</v>
      </c>
      <c r="K373">
        <v>1</v>
      </c>
      <c r="L373">
        <v>41508</v>
      </c>
      <c r="M373">
        <v>1000</v>
      </c>
      <c r="N373">
        <v>40508</v>
      </c>
      <c r="O373" t="s">
        <v>32</v>
      </c>
      <c r="P373">
        <v>2.6</v>
      </c>
      <c r="Q373">
        <v>38</v>
      </c>
      <c r="R373" t="s">
        <v>1072</v>
      </c>
      <c r="S373">
        <v>5</v>
      </c>
      <c r="T373" t="str">
        <f>IF(Healthcare_Data[[#This Row],[Final_Bill]]&gt;=50000,"High",IF(Healthcare_Data[[#This Row],[Final_Bill]]&gt;=20000,"Medium","low"))</f>
        <v>Medium</v>
      </c>
    </row>
    <row r="374" spans="1:20" x14ac:dyDescent="0.3">
      <c r="A374" t="s">
        <v>429</v>
      </c>
      <c r="B374">
        <v>45796</v>
      </c>
      <c r="C374" t="s">
        <v>50</v>
      </c>
      <c r="D374" t="s">
        <v>19</v>
      </c>
      <c r="E374" t="s">
        <v>54</v>
      </c>
      <c r="F374" t="s">
        <v>40</v>
      </c>
      <c r="G374">
        <v>44</v>
      </c>
      <c r="H374" t="s">
        <v>65</v>
      </c>
      <c r="I374" t="s">
        <v>61</v>
      </c>
      <c r="J374" t="s">
        <v>58</v>
      </c>
      <c r="K374">
        <v>0</v>
      </c>
      <c r="L374">
        <v>10176</v>
      </c>
      <c r="M374">
        <v>0</v>
      </c>
      <c r="N374">
        <v>10176</v>
      </c>
      <c r="O374" t="s">
        <v>25</v>
      </c>
      <c r="P374">
        <v>4.5</v>
      </c>
      <c r="Q374">
        <v>110</v>
      </c>
      <c r="R374" t="s">
        <v>1072</v>
      </c>
      <c r="S374">
        <v>5</v>
      </c>
      <c r="T374" t="str">
        <f>IF(Healthcare_Data[[#This Row],[Final_Bill]]&gt;=50000,"High",IF(Healthcare_Data[[#This Row],[Final_Bill]]&gt;=20000,"Medium","low"))</f>
        <v>low</v>
      </c>
    </row>
    <row r="375" spans="1:20" x14ac:dyDescent="0.3">
      <c r="A375" t="s">
        <v>430</v>
      </c>
      <c r="B375">
        <v>45797</v>
      </c>
      <c r="C375" t="s">
        <v>18</v>
      </c>
      <c r="D375" t="s">
        <v>28</v>
      </c>
      <c r="E375" t="s">
        <v>20</v>
      </c>
      <c r="F375" t="s">
        <v>40</v>
      </c>
      <c r="G375">
        <v>30</v>
      </c>
      <c r="H375" t="s">
        <v>22</v>
      </c>
      <c r="I375" t="s">
        <v>42</v>
      </c>
      <c r="J375" t="s">
        <v>31</v>
      </c>
      <c r="K375">
        <v>0</v>
      </c>
      <c r="L375">
        <v>13394</v>
      </c>
      <c r="M375">
        <v>1000</v>
      </c>
      <c r="N375">
        <v>12394</v>
      </c>
      <c r="O375" t="s">
        <v>25</v>
      </c>
      <c r="P375">
        <v>5</v>
      </c>
      <c r="Q375">
        <v>73</v>
      </c>
      <c r="R375" t="s">
        <v>1072</v>
      </c>
      <c r="S375">
        <v>5</v>
      </c>
      <c r="T375" t="str">
        <f>IF(Healthcare_Data[[#This Row],[Final_Bill]]&gt;=50000,"High",IF(Healthcare_Data[[#This Row],[Final_Bill]]&gt;=20000,"Medium","low"))</f>
        <v>low</v>
      </c>
    </row>
    <row r="376" spans="1:20" x14ac:dyDescent="0.3">
      <c r="A376" t="s">
        <v>431</v>
      </c>
      <c r="B376">
        <v>45797</v>
      </c>
      <c r="C376" t="s">
        <v>48</v>
      </c>
      <c r="D376" t="s">
        <v>28</v>
      </c>
      <c r="E376" t="s">
        <v>20</v>
      </c>
      <c r="F376" t="s">
        <v>40</v>
      </c>
      <c r="G376">
        <v>64</v>
      </c>
      <c r="H376" t="s">
        <v>41</v>
      </c>
      <c r="I376" t="s">
        <v>63</v>
      </c>
      <c r="J376" t="s">
        <v>31</v>
      </c>
      <c r="K376">
        <v>0</v>
      </c>
      <c r="L376">
        <v>3877</v>
      </c>
      <c r="M376">
        <v>500</v>
      </c>
      <c r="N376">
        <v>3377</v>
      </c>
      <c r="O376" t="s">
        <v>25</v>
      </c>
      <c r="P376">
        <v>4.8</v>
      </c>
      <c r="Q376">
        <v>39</v>
      </c>
      <c r="R376" t="s">
        <v>1072</v>
      </c>
      <c r="S376">
        <v>5</v>
      </c>
      <c r="T376" t="str">
        <f>IF(Healthcare_Data[[#This Row],[Final_Bill]]&gt;=50000,"High",IF(Healthcare_Data[[#This Row],[Final_Bill]]&gt;=20000,"Medium","low"))</f>
        <v>low</v>
      </c>
    </row>
    <row r="377" spans="1:20" x14ac:dyDescent="0.3">
      <c r="A377" t="s">
        <v>432</v>
      </c>
      <c r="B377">
        <v>45798</v>
      </c>
      <c r="C377" t="s">
        <v>67</v>
      </c>
      <c r="D377" t="s">
        <v>34</v>
      </c>
      <c r="E377" t="s">
        <v>20</v>
      </c>
      <c r="F377" t="s">
        <v>40</v>
      </c>
      <c r="G377">
        <v>62</v>
      </c>
      <c r="H377" t="s">
        <v>29</v>
      </c>
      <c r="I377" t="s">
        <v>42</v>
      </c>
      <c r="J377" t="s">
        <v>24</v>
      </c>
      <c r="K377">
        <v>0</v>
      </c>
      <c r="L377">
        <v>7700</v>
      </c>
      <c r="M377">
        <v>0</v>
      </c>
      <c r="N377">
        <v>7700</v>
      </c>
      <c r="O377" t="s">
        <v>25</v>
      </c>
      <c r="P377">
        <v>3.9</v>
      </c>
      <c r="Q377">
        <v>41</v>
      </c>
      <c r="R377" t="s">
        <v>1072</v>
      </c>
      <c r="S377">
        <v>5</v>
      </c>
      <c r="T377" t="str">
        <f>IF(Healthcare_Data[[#This Row],[Final_Bill]]&gt;=50000,"High",IF(Healthcare_Data[[#This Row],[Final_Bill]]&gt;=20000,"Medium","low"))</f>
        <v>low</v>
      </c>
    </row>
    <row r="378" spans="1:20" x14ac:dyDescent="0.3">
      <c r="A378" t="s">
        <v>433</v>
      </c>
      <c r="B378">
        <v>45798</v>
      </c>
      <c r="C378" t="s">
        <v>27</v>
      </c>
      <c r="D378" t="s">
        <v>51</v>
      </c>
      <c r="E378" t="s">
        <v>52</v>
      </c>
      <c r="F378" t="s">
        <v>21</v>
      </c>
      <c r="G378">
        <v>47</v>
      </c>
      <c r="H378" t="s">
        <v>22</v>
      </c>
      <c r="I378" t="s">
        <v>63</v>
      </c>
      <c r="J378" t="s">
        <v>36</v>
      </c>
      <c r="K378">
        <v>11</v>
      </c>
      <c r="L378">
        <v>53669</v>
      </c>
      <c r="M378">
        <v>0</v>
      </c>
      <c r="N378">
        <v>53669</v>
      </c>
      <c r="O378" t="s">
        <v>59</v>
      </c>
      <c r="P378">
        <v>2.8</v>
      </c>
      <c r="Q378">
        <v>65</v>
      </c>
      <c r="R378" t="s">
        <v>1072</v>
      </c>
      <c r="S378">
        <v>5</v>
      </c>
      <c r="T378" t="str">
        <f>IF(Healthcare_Data[[#This Row],[Final_Bill]]&gt;=50000,"High",IF(Healthcare_Data[[#This Row],[Final_Bill]]&gt;=20000,"Medium","low"))</f>
        <v>High</v>
      </c>
    </row>
    <row r="379" spans="1:20" x14ac:dyDescent="0.3">
      <c r="A379" t="s">
        <v>434</v>
      </c>
      <c r="B379">
        <v>45799</v>
      </c>
      <c r="C379" t="s">
        <v>27</v>
      </c>
      <c r="D379" t="s">
        <v>39</v>
      </c>
      <c r="E379" t="s">
        <v>20</v>
      </c>
      <c r="F379" t="s">
        <v>40</v>
      </c>
      <c r="G379">
        <v>30</v>
      </c>
      <c r="H379" t="s">
        <v>65</v>
      </c>
      <c r="I379" t="s">
        <v>63</v>
      </c>
      <c r="J379" t="s">
        <v>31</v>
      </c>
      <c r="K379">
        <v>0</v>
      </c>
      <c r="L379">
        <v>11024</v>
      </c>
      <c r="M379">
        <v>500</v>
      </c>
      <c r="N379">
        <v>10524</v>
      </c>
      <c r="O379" t="s">
        <v>25</v>
      </c>
      <c r="P379">
        <v>3.1</v>
      </c>
      <c r="Q379">
        <v>84</v>
      </c>
      <c r="R379" t="s">
        <v>1072</v>
      </c>
      <c r="S379">
        <v>5</v>
      </c>
      <c r="T379" t="str">
        <f>IF(Healthcare_Data[[#This Row],[Final_Bill]]&gt;=50000,"High",IF(Healthcare_Data[[#This Row],[Final_Bill]]&gt;=20000,"Medium","low"))</f>
        <v>low</v>
      </c>
    </row>
    <row r="380" spans="1:20" x14ac:dyDescent="0.3">
      <c r="A380" t="s">
        <v>435</v>
      </c>
      <c r="B380">
        <v>45799</v>
      </c>
      <c r="C380" t="s">
        <v>38</v>
      </c>
      <c r="D380" t="s">
        <v>34</v>
      </c>
      <c r="E380" t="s">
        <v>20</v>
      </c>
      <c r="F380" t="s">
        <v>21</v>
      </c>
      <c r="G380">
        <v>71</v>
      </c>
      <c r="H380" t="s">
        <v>65</v>
      </c>
      <c r="I380" t="s">
        <v>61</v>
      </c>
      <c r="J380" t="s">
        <v>31</v>
      </c>
      <c r="K380">
        <v>0</v>
      </c>
      <c r="L380">
        <v>5218</v>
      </c>
      <c r="M380">
        <v>1000</v>
      </c>
      <c r="N380">
        <v>4218</v>
      </c>
      <c r="O380" t="s">
        <v>25</v>
      </c>
      <c r="P380">
        <v>3.2</v>
      </c>
      <c r="Q380">
        <v>7</v>
      </c>
      <c r="R380" t="s">
        <v>1072</v>
      </c>
      <c r="S380">
        <v>5</v>
      </c>
      <c r="T380" t="str">
        <f>IF(Healthcare_Data[[#This Row],[Final_Bill]]&gt;=50000,"High",IF(Healthcare_Data[[#This Row],[Final_Bill]]&gt;=20000,"Medium","low"))</f>
        <v>low</v>
      </c>
    </row>
    <row r="381" spans="1:20" x14ac:dyDescent="0.3">
      <c r="A381" t="s">
        <v>436</v>
      </c>
      <c r="B381">
        <v>45800</v>
      </c>
      <c r="C381" t="s">
        <v>38</v>
      </c>
      <c r="D381" t="s">
        <v>28</v>
      </c>
      <c r="E381" t="s">
        <v>20</v>
      </c>
      <c r="F381" t="s">
        <v>21</v>
      </c>
      <c r="G381">
        <v>25</v>
      </c>
      <c r="H381" t="s">
        <v>35</v>
      </c>
      <c r="I381" t="s">
        <v>72</v>
      </c>
      <c r="J381" t="s">
        <v>36</v>
      </c>
      <c r="K381">
        <v>0</v>
      </c>
      <c r="L381">
        <v>9410</v>
      </c>
      <c r="M381">
        <v>500</v>
      </c>
      <c r="N381">
        <v>8910</v>
      </c>
      <c r="O381" t="s">
        <v>25</v>
      </c>
      <c r="P381">
        <v>3.6</v>
      </c>
      <c r="Q381">
        <v>50</v>
      </c>
      <c r="R381" t="s">
        <v>1072</v>
      </c>
      <c r="S381">
        <v>5</v>
      </c>
      <c r="T381" t="str">
        <f>IF(Healthcare_Data[[#This Row],[Final_Bill]]&gt;=50000,"High",IF(Healthcare_Data[[#This Row],[Final_Bill]]&gt;=20000,"Medium","low"))</f>
        <v>low</v>
      </c>
    </row>
    <row r="382" spans="1:20" x14ac:dyDescent="0.3">
      <c r="A382" t="s">
        <v>437</v>
      </c>
      <c r="B382">
        <v>45800</v>
      </c>
      <c r="C382" t="s">
        <v>38</v>
      </c>
      <c r="D382" t="s">
        <v>19</v>
      </c>
      <c r="E382" t="s">
        <v>54</v>
      </c>
      <c r="F382" t="s">
        <v>21</v>
      </c>
      <c r="G382">
        <v>39</v>
      </c>
      <c r="H382" t="s">
        <v>46</v>
      </c>
      <c r="I382" t="s">
        <v>63</v>
      </c>
      <c r="J382" t="s">
        <v>24</v>
      </c>
      <c r="K382">
        <v>0</v>
      </c>
      <c r="L382">
        <v>40885</v>
      </c>
      <c r="M382">
        <v>0</v>
      </c>
      <c r="N382">
        <v>40885</v>
      </c>
      <c r="O382" t="s">
        <v>25</v>
      </c>
      <c r="P382">
        <v>4.0999999999999996</v>
      </c>
      <c r="Q382">
        <v>108</v>
      </c>
      <c r="R382" t="s">
        <v>1072</v>
      </c>
      <c r="S382">
        <v>5</v>
      </c>
      <c r="T382" t="str">
        <f>IF(Healthcare_Data[[#This Row],[Final_Bill]]&gt;=50000,"High",IF(Healthcare_Data[[#This Row],[Final_Bill]]&gt;=20000,"Medium","low"))</f>
        <v>Medium</v>
      </c>
    </row>
    <row r="383" spans="1:20" x14ac:dyDescent="0.3">
      <c r="A383" t="s">
        <v>438</v>
      </c>
      <c r="B383">
        <v>45800</v>
      </c>
      <c r="C383" t="s">
        <v>27</v>
      </c>
      <c r="D383" t="s">
        <v>39</v>
      </c>
      <c r="E383" t="s">
        <v>54</v>
      </c>
      <c r="F383" t="s">
        <v>21</v>
      </c>
      <c r="G383">
        <v>32</v>
      </c>
      <c r="H383" t="s">
        <v>35</v>
      </c>
      <c r="I383" t="s">
        <v>23</v>
      </c>
      <c r="J383" t="s">
        <v>36</v>
      </c>
      <c r="K383">
        <v>0</v>
      </c>
      <c r="L383">
        <v>24691</v>
      </c>
      <c r="M383">
        <v>1000</v>
      </c>
      <c r="N383">
        <v>23691</v>
      </c>
      <c r="O383" t="s">
        <v>25</v>
      </c>
      <c r="P383">
        <v>4.4000000000000004</v>
      </c>
      <c r="Q383">
        <v>52</v>
      </c>
      <c r="R383" t="s">
        <v>1072</v>
      </c>
      <c r="S383">
        <v>5</v>
      </c>
      <c r="T383" t="str">
        <f>IF(Healthcare_Data[[#This Row],[Final_Bill]]&gt;=50000,"High",IF(Healthcare_Data[[#This Row],[Final_Bill]]&gt;=20000,"Medium","low"))</f>
        <v>Medium</v>
      </c>
    </row>
    <row r="384" spans="1:20" x14ac:dyDescent="0.3">
      <c r="A384" t="s">
        <v>439</v>
      </c>
      <c r="B384">
        <v>45801</v>
      </c>
      <c r="C384" t="s">
        <v>54</v>
      </c>
      <c r="D384" t="s">
        <v>34</v>
      </c>
      <c r="E384" t="s">
        <v>20</v>
      </c>
      <c r="F384" t="s">
        <v>21</v>
      </c>
      <c r="G384">
        <v>42</v>
      </c>
      <c r="H384" t="s">
        <v>56</v>
      </c>
      <c r="I384" t="s">
        <v>69</v>
      </c>
      <c r="J384" t="s">
        <v>1057</v>
      </c>
      <c r="K384">
        <v>0</v>
      </c>
      <c r="L384">
        <v>12037</v>
      </c>
      <c r="M384">
        <v>1500</v>
      </c>
      <c r="N384">
        <v>10537</v>
      </c>
      <c r="O384" t="s">
        <v>32</v>
      </c>
      <c r="P384">
        <v>3.5</v>
      </c>
      <c r="Q384">
        <v>13</v>
      </c>
      <c r="R384" t="s">
        <v>1072</v>
      </c>
      <c r="S384">
        <v>5</v>
      </c>
      <c r="T384" t="str">
        <f>IF(Healthcare_Data[[#This Row],[Final_Bill]]&gt;=50000,"High",IF(Healthcare_Data[[#This Row],[Final_Bill]]&gt;=20000,"Medium","low"))</f>
        <v>low</v>
      </c>
    </row>
    <row r="385" spans="1:20" x14ac:dyDescent="0.3">
      <c r="A385" t="s">
        <v>440</v>
      </c>
      <c r="B385">
        <v>45801</v>
      </c>
      <c r="C385" t="s">
        <v>67</v>
      </c>
      <c r="D385" t="s">
        <v>28</v>
      </c>
      <c r="E385" t="s">
        <v>54</v>
      </c>
      <c r="F385" t="s">
        <v>21</v>
      </c>
      <c r="G385">
        <v>75</v>
      </c>
      <c r="H385" t="s">
        <v>35</v>
      </c>
      <c r="I385" t="s">
        <v>42</v>
      </c>
      <c r="J385" t="s">
        <v>24</v>
      </c>
      <c r="K385">
        <v>0</v>
      </c>
      <c r="L385">
        <v>38418</v>
      </c>
      <c r="M385">
        <v>0</v>
      </c>
      <c r="N385">
        <v>38418</v>
      </c>
      <c r="O385" t="s">
        <v>25</v>
      </c>
      <c r="P385">
        <v>3.5</v>
      </c>
      <c r="Q385">
        <v>117</v>
      </c>
      <c r="R385" t="s">
        <v>1072</v>
      </c>
      <c r="S385">
        <v>5</v>
      </c>
      <c r="T385" t="str">
        <f>IF(Healthcare_Data[[#This Row],[Final_Bill]]&gt;=50000,"High",IF(Healthcare_Data[[#This Row],[Final_Bill]]&gt;=20000,"Medium","low"))</f>
        <v>Medium</v>
      </c>
    </row>
    <row r="386" spans="1:20" x14ac:dyDescent="0.3">
      <c r="A386" t="s">
        <v>441</v>
      </c>
      <c r="B386">
        <v>45801</v>
      </c>
      <c r="C386" t="s">
        <v>50</v>
      </c>
      <c r="D386" t="s">
        <v>39</v>
      </c>
      <c r="E386" t="s">
        <v>20</v>
      </c>
      <c r="F386" t="s">
        <v>40</v>
      </c>
      <c r="G386">
        <v>73</v>
      </c>
      <c r="H386" t="s">
        <v>56</v>
      </c>
      <c r="I386" t="s">
        <v>61</v>
      </c>
      <c r="J386" t="s">
        <v>24</v>
      </c>
      <c r="K386">
        <v>0</v>
      </c>
      <c r="L386">
        <v>4099</v>
      </c>
      <c r="M386">
        <v>1000</v>
      </c>
      <c r="N386">
        <v>3099</v>
      </c>
      <c r="O386" t="s">
        <v>25</v>
      </c>
      <c r="P386">
        <v>4.5</v>
      </c>
      <c r="Q386">
        <v>21</v>
      </c>
      <c r="R386" t="s">
        <v>1072</v>
      </c>
      <c r="S386">
        <v>5</v>
      </c>
      <c r="T386" t="str">
        <f>IF(Healthcare_Data[[#This Row],[Final_Bill]]&gt;=50000,"High",IF(Healthcare_Data[[#This Row],[Final_Bill]]&gt;=20000,"Medium","low"))</f>
        <v>low</v>
      </c>
    </row>
    <row r="387" spans="1:20" x14ac:dyDescent="0.3">
      <c r="A387" t="s">
        <v>442</v>
      </c>
      <c r="B387">
        <v>45801</v>
      </c>
      <c r="C387" t="s">
        <v>50</v>
      </c>
      <c r="D387" t="s">
        <v>28</v>
      </c>
      <c r="E387" t="s">
        <v>20</v>
      </c>
      <c r="F387" t="s">
        <v>21</v>
      </c>
      <c r="G387">
        <v>26</v>
      </c>
      <c r="H387" t="s">
        <v>22</v>
      </c>
      <c r="I387" t="s">
        <v>42</v>
      </c>
      <c r="J387" t="s">
        <v>58</v>
      </c>
      <c r="K387">
        <v>0</v>
      </c>
      <c r="L387">
        <v>5750</v>
      </c>
      <c r="M387">
        <v>1000</v>
      </c>
      <c r="N387">
        <v>4750</v>
      </c>
      <c r="O387" t="s">
        <v>25</v>
      </c>
      <c r="P387">
        <v>4</v>
      </c>
      <c r="Q387">
        <v>25</v>
      </c>
      <c r="R387" t="s">
        <v>1072</v>
      </c>
      <c r="S387">
        <v>5</v>
      </c>
      <c r="T387" t="str">
        <f>IF(Healthcare_Data[[#This Row],[Final_Bill]]&gt;=50000,"High",IF(Healthcare_Data[[#This Row],[Final_Bill]]&gt;=20000,"Medium","low"))</f>
        <v>low</v>
      </c>
    </row>
    <row r="388" spans="1:20" x14ac:dyDescent="0.3">
      <c r="A388" t="s">
        <v>443</v>
      </c>
      <c r="B388">
        <v>45801</v>
      </c>
      <c r="C388" t="s">
        <v>18</v>
      </c>
      <c r="D388" t="s">
        <v>39</v>
      </c>
      <c r="E388" t="s">
        <v>54</v>
      </c>
      <c r="F388" t="s">
        <v>21</v>
      </c>
      <c r="G388">
        <v>62</v>
      </c>
      <c r="H388" t="s">
        <v>115</v>
      </c>
      <c r="I388" t="s">
        <v>42</v>
      </c>
      <c r="J388" t="s">
        <v>24</v>
      </c>
      <c r="K388">
        <v>0</v>
      </c>
      <c r="L388">
        <v>36513</v>
      </c>
      <c r="M388">
        <v>1000</v>
      </c>
      <c r="N388">
        <v>35513</v>
      </c>
      <c r="O388" t="s">
        <v>25</v>
      </c>
      <c r="P388">
        <v>3.7</v>
      </c>
      <c r="Q388">
        <v>55</v>
      </c>
      <c r="R388" t="s">
        <v>1072</v>
      </c>
      <c r="S388">
        <v>5</v>
      </c>
      <c r="T388" t="str">
        <f>IF(Healthcare_Data[[#This Row],[Final_Bill]]&gt;=50000,"High",IF(Healthcare_Data[[#This Row],[Final_Bill]]&gt;=20000,"Medium","low"))</f>
        <v>Medium</v>
      </c>
    </row>
    <row r="389" spans="1:20" x14ac:dyDescent="0.3">
      <c r="A389" t="s">
        <v>444</v>
      </c>
      <c r="B389">
        <v>45801</v>
      </c>
      <c r="C389" t="s">
        <v>38</v>
      </c>
      <c r="D389" t="s">
        <v>39</v>
      </c>
      <c r="E389" t="s">
        <v>52</v>
      </c>
      <c r="F389" t="s">
        <v>21</v>
      </c>
      <c r="G389">
        <v>41</v>
      </c>
      <c r="H389" t="s">
        <v>115</v>
      </c>
      <c r="I389" t="s">
        <v>69</v>
      </c>
      <c r="J389" t="s">
        <v>31</v>
      </c>
      <c r="K389">
        <v>2</v>
      </c>
      <c r="L389">
        <v>72609</v>
      </c>
      <c r="M389">
        <v>500</v>
      </c>
      <c r="N389">
        <v>72109</v>
      </c>
      <c r="O389" t="s">
        <v>25</v>
      </c>
      <c r="P389">
        <v>3.3</v>
      </c>
      <c r="Q389">
        <v>37</v>
      </c>
      <c r="R389" t="s">
        <v>1072</v>
      </c>
      <c r="S389">
        <v>5</v>
      </c>
      <c r="T389" t="str">
        <f>IF(Healthcare_Data[[#This Row],[Final_Bill]]&gt;=50000,"High",IF(Healthcare_Data[[#This Row],[Final_Bill]]&gt;=20000,"Medium","low"))</f>
        <v>High</v>
      </c>
    </row>
    <row r="390" spans="1:20" x14ac:dyDescent="0.3">
      <c r="A390" t="s">
        <v>445</v>
      </c>
      <c r="B390">
        <v>45801</v>
      </c>
      <c r="C390" t="s">
        <v>18</v>
      </c>
      <c r="D390" t="s">
        <v>19</v>
      </c>
      <c r="E390" t="s">
        <v>20</v>
      </c>
      <c r="F390" t="s">
        <v>21</v>
      </c>
      <c r="G390">
        <v>49</v>
      </c>
      <c r="H390" t="s">
        <v>41</v>
      </c>
      <c r="I390" t="s">
        <v>23</v>
      </c>
      <c r="J390" t="s">
        <v>36</v>
      </c>
      <c r="K390">
        <v>0</v>
      </c>
      <c r="L390">
        <v>6597</v>
      </c>
      <c r="M390">
        <v>1500</v>
      </c>
      <c r="N390">
        <v>5097</v>
      </c>
      <c r="O390" t="s">
        <v>25</v>
      </c>
      <c r="P390">
        <v>3.1</v>
      </c>
      <c r="Q390">
        <v>95</v>
      </c>
      <c r="R390" t="s">
        <v>1072</v>
      </c>
      <c r="S390">
        <v>5</v>
      </c>
      <c r="T390" t="str">
        <f>IF(Healthcare_Data[[#This Row],[Final_Bill]]&gt;=50000,"High",IF(Healthcare_Data[[#This Row],[Final_Bill]]&gt;=20000,"Medium","low"))</f>
        <v>low</v>
      </c>
    </row>
    <row r="391" spans="1:20" x14ac:dyDescent="0.3">
      <c r="A391" t="s">
        <v>446</v>
      </c>
      <c r="B391">
        <v>45802</v>
      </c>
      <c r="C391" t="s">
        <v>67</v>
      </c>
      <c r="D391" t="s">
        <v>39</v>
      </c>
      <c r="E391" t="s">
        <v>20</v>
      </c>
      <c r="F391" t="s">
        <v>40</v>
      </c>
      <c r="G391">
        <v>77</v>
      </c>
      <c r="H391" t="s">
        <v>35</v>
      </c>
      <c r="I391" t="s">
        <v>69</v>
      </c>
      <c r="J391" t="s">
        <v>36</v>
      </c>
      <c r="K391">
        <v>0</v>
      </c>
      <c r="L391">
        <v>14134</v>
      </c>
      <c r="M391">
        <v>1000</v>
      </c>
      <c r="N391">
        <v>13134</v>
      </c>
      <c r="O391" t="s">
        <v>25</v>
      </c>
      <c r="P391">
        <v>4</v>
      </c>
      <c r="Q391">
        <v>106</v>
      </c>
      <c r="R391" t="s">
        <v>1072</v>
      </c>
      <c r="S391">
        <v>5</v>
      </c>
      <c r="T391" t="str">
        <f>IF(Healthcare_Data[[#This Row],[Final_Bill]]&gt;=50000,"High",IF(Healthcare_Data[[#This Row],[Final_Bill]]&gt;=20000,"Medium","low"))</f>
        <v>low</v>
      </c>
    </row>
    <row r="392" spans="1:20" x14ac:dyDescent="0.3">
      <c r="A392" t="s">
        <v>447</v>
      </c>
      <c r="B392">
        <v>45802</v>
      </c>
      <c r="C392" t="s">
        <v>67</v>
      </c>
      <c r="D392" t="s">
        <v>28</v>
      </c>
      <c r="E392" t="s">
        <v>20</v>
      </c>
      <c r="F392" t="s">
        <v>21</v>
      </c>
      <c r="G392">
        <v>36</v>
      </c>
      <c r="H392" t="s">
        <v>46</v>
      </c>
      <c r="I392" t="s">
        <v>63</v>
      </c>
      <c r="J392" t="s">
        <v>36</v>
      </c>
      <c r="K392">
        <v>0</v>
      </c>
      <c r="L392">
        <v>14777</v>
      </c>
      <c r="M392">
        <v>1000</v>
      </c>
      <c r="N392">
        <v>13777</v>
      </c>
      <c r="O392" t="s">
        <v>25</v>
      </c>
      <c r="P392">
        <v>3.4</v>
      </c>
      <c r="Q392">
        <v>5</v>
      </c>
      <c r="R392" t="s">
        <v>1072</v>
      </c>
      <c r="S392">
        <v>5</v>
      </c>
      <c r="T392" t="str">
        <f>IF(Healthcare_Data[[#This Row],[Final_Bill]]&gt;=50000,"High",IF(Healthcare_Data[[#This Row],[Final_Bill]]&gt;=20000,"Medium","low"))</f>
        <v>low</v>
      </c>
    </row>
    <row r="393" spans="1:20" x14ac:dyDescent="0.3">
      <c r="A393" t="s">
        <v>448</v>
      </c>
      <c r="B393">
        <v>45802</v>
      </c>
      <c r="C393" t="s">
        <v>54</v>
      </c>
      <c r="D393" t="s">
        <v>51</v>
      </c>
      <c r="E393" t="s">
        <v>20</v>
      </c>
      <c r="F393" t="s">
        <v>40</v>
      </c>
      <c r="G393">
        <v>19</v>
      </c>
      <c r="H393" t="s">
        <v>56</v>
      </c>
      <c r="I393" t="s">
        <v>69</v>
      </c>
      <c r="J393" t="s">
        <v>58</v>
      </c>
      <c r="K393">
        <v>0</v>
      </c>
      <c r="L393">
        <v>5655</v>
      </c>
      <c r="M393">
        <v>0</v>
      </c>
      <c r="N393">
        <v>5655</v>
      </c>
      <c r="O393" t="s">
        <v>25</v>
      </c>
      <c r="P393">
        <v>3.1</v>
      </c>
      <c r="Q393">
        <v>8</v>
      </c>
      <c r="R393" t="s">
        <v>1072</v>
      </c>
      <c r="S393">
        <v>5</v>
      </c>
      <c r="T393" t="str">
        <f>IF(Healthcare_Data[[#This Row],[Final_Bill]]&gt;=50000,"High",IF(Healthcare_Data[[#This Row],[Final_Bill]]&gt;=20000,"Medium","low"))</f>
        <v>low</v>
      </c>
    </row>
    <row r="394" spans="1:20" x14ac:dyDescent="0.3">
      <c r="A394" t="s">
        <v>449</v>
      </c>
      <c r="B394">
        <v>45802</v>
      </c>
      <c r="C394" t="s">
        <v>67</v>
      </c>
      <c r="D394" t="s">
        <v>19</v>
      </c>
      <c r="E394" t="s">
        <v>20</v>
      </c>
      <c r="F394" t="s">
        <v>40</v>
      </c>
      <c r="G394">
        <v>68</v>
      </c>
      <c r="H394" t="s">
        <v>46</v>
      </c>
      <c r="I394" t="s">
        <v>30</v>
      </c>
      <c r="J394" t="s">
        <v>31</v>
      </c>
      <c r="K394">
        <v>0</v>
      </c>
      <c r="L394">
        <v>5817</v>
      </c>
      <c r="M394">
        <v>2000</v>
      </c>
      <c r="N394">
        <v>3817</v>
      </c>
      <c r="O394" t="s">
        <v>25</v>
      </c>
      <c r="P394">
        <v>4.7</v>
      </c>
      <c r="Q394">
        <v>119</v>
      </c>
      <c r="R394" t="s">
        <v>1072</v>
      </c>
      <c r="S394">
        <v>5</v>
      </c>
      <c r="T394" t="str">
        <f>IF(Healthcare_Data[[#This Row],[Final_Bill]]&gt;=50000,"High",IF(Healthcare_Data[[#This Row],[Final_Bill]]&gt;=20000,"Medium","low"))</f>
        <v>low</v>
      </c>
    </row>
    <row r="395" spans="1:20" x14ac:dyDescent="0.3">
      <c r="A395" t="s">
        <v>450</v>
      </c>
      <c r="B395">
        <v>45802</v>
      </c>
      <c r="C395" t="s">
        <v>50</v>
      </c>
      <c r="D395" t="s">
        <v>51</v>
      </c>
      <c r="E395" t="s">
        <v>54</v>
      </c>
      <c r="F395" t="s">
        <v>21</v>
      </c>
      <c r="G395">
        <v>18</v>
      </c>
      <c r="H395" t="s">
        <v>46</v>
      </c>
      <c r="I395" t="s">
        <v>57</v>
      </c>
      <c r="J395" t="s">
        <v>58</v>
      </c>
      <c r="K395">
        <v>0</v>
      </c>
      <c r="L395">
        <v>30257</v>
      </c>
      <c r="M395">
        <v>0</v>
      </c>
      <c r="N395">
        <v>30257</v>
      </c>
      <c r="O395" t="s">
        <v>25</v>
      </c>
      <c r="P395">
        <v>4.0999999999999996</v>
      </c>
      <c r="Q395">
        <v>67</v>
      </c>
      <c r="R395" t="s">
        <v>1072</v>
      </c>
      <c r="S395">
        <v>5</v>
      </c>
      <c r="T395" t="str">
        <f>IF(Healthcare_Data[[#This Row],[Final_Bill]]&gt;=50000,"High",IF(Healthcare_Data[[#This Row],[Final_Bill]]&gt;=20000,"Medium","low"))</f>
        <v>Medium</v>
      </c>
    </row>
    <row r="396" spans="1:20" x14ac:dyDescent="0.3">
      <c r="A396" t="s">
        <v>451</v>
      </c>
      <c r="B396">
        <v>45803</v>
      </c>
      <c r="C396" t="s">
        <v>27</v>
      </c>
      <c r="D396" t="s">
        <v>28</v>
      </c>
      <c r="E396" t="s">
        <v>20</v>
      </c>
      <c r="F396" t="s">
        <v>21</v>
      </c>
      <c r="G396">
        <v>30</v>
      </c>
      <c r="H396" t="s">
        <v>115</v>
      </c>
      <c r="I396" t="s">
        <v>30</v>
      </c>
      <c r="J396" t="s">
        <v>24</v>
      </c>
      <c r="K396">
        <v>0</v>
      </c>
      <c r="L396">
        <v>1576</v>
      </c>
      <c r="M396">
        <v>0</v>
      </c>
      <c r="N396">
        <v>1576</v>
      </c>
      <c r="O396" t="s">
        <v>59</v>
      </c>
      <c r="P396">
        <v>4.5</v>
      </c>
      <c r="Q396">
        <v>118</v>
      </c>
      <c r="R396" t="s">
        <v>1072</v>
      </c>
      <c r="S396">
        <v>5</v>
      </c>
      <c r="T396" t="str">
        <f>IF(Healthcare_Data[[#This Row],[Final_Bill]]&gt;=50000,"High",IF(Healthcare_Data[[#This Row],[Final_Bill]]&gt;=20000,"Medium","low"))</f>
        <v>low</v>
      </c>
    </row>
    <row r="397" spans="1:20" x14ac:dyDescent="0.3">
      <c r="A397" t="s">
        <v>452</v>
      </c>
      <c r="B397">
        <v>45803</v>
      </c>
      <c r="C397" t="s">
        <v>18</v>
      </c>
      <c r="D397" t="s">
        <v>28</v>
      </c>
      <c r="E397" t="s">
        <v>20</v>
      </c>
      <c r="F397" t="s">
        <v>21</v>
      </c>
      <c r="G397">
        <v>74</v>
      </c>
      <c r="H397" t="s">
        <v>22</v>
      </c>
      <c r="I397" t="s">
        <v>23</v>
      </c>
      <c r="J397" t="s">
        <v>36</v>
      </c>
      <c r="K397">
        <v>0</v>
      </c>
      <c r="L397">
        <v>18288</v>
      </c>
      <c r="M397">
        <v>0</v>
      </c>
      <c r="N397">
        <v>18288</v>
      </c>
      <c r="O397" t="s">
        <v>25</v>
      </c>
      <c r="P397">
        <v>3.3</v>
      </c>
      <c r="Q397">
        <v>35</v>
      </c>
      <c r="R397" t="s">
        <v>1072</v>
      </c>
      <c r="S397">
        <v>5</v>
      </c>
      <c r="T397" t="str">
        <f>IF(Healthcare_Data[[#This Row],[Final_Bill]]&gt;=50000,"High",IF(Healthcare_Data[[#This Row],[Final_Bill]]&gt;=20000,"Medium","low"))</f>
        <v>low</v>
      </c>
    </row>
    <row r="398" spans="1:20" x14ac:dyDescent="0.3">
      <c r="A398" t="s">
        <v>453</v>
      </c>
      <c r="B398">
        <v>45803</v>
      </c>
      <c r="C398" t="s">
        <v>48</v>
      </c>
      <c r="D398" t="s">
        <v>34</v>
      </c>
      <c r="E398" t="s">
        <v>54</v>
      </c>
      <c r="F398" t="s">
        <v>40</v>
      </c>
      <c r="G398">
        <v>60</v>
      </c>
      <c r="H398" t="s">
        <v>29</v>
      </c>
      <c r="I398" t="s">
        <v>42</v>
      </c>
      <c r="J398" t="s">
        <v>58</v>
      </c>
      <c r="K398">
        <v>0</v>
      </c>
      <c r="L398">
        <v>23234</v>
      </c>
      <c r="M398">
        <v>500</v>
      </c>
      <c r="N398">
        <v>22734</v>
      </c>
      <c r="O398" t="s">
        <v>25</v>
      </c>
      <c r="P398">
        <v>3.7</v>
      </c>
      <c r="Q398">
        <v>45</v>
      </c>
      <c r="R398" t="s">
        <v>1072</v>
      </c>
      <c r="S398">
        <v>5</v>
      </c>
      <c r="T398" t="str">
        <f>IF(Healthcare_Data[[#This Row],[Final_Bill]]&gt;=50000,"High",IF(Healthcare_Data[[#This Row],[Final_Bill]]&gt;=20000,"Medium","low"))</f>
        <v>Medium</v>
      </c>
    </row>
    <row r="399" spans="1:20" x14ac:dyDescent="0.3">
      <c r="A399" t="s">
        <v>454</v>
      </c>
      <c r="B399">
        <v>45804</v>
      </c>
      <c r="C399" t="s">
        <v>48</v>
      </c>
      <c r="D399" t="s">
        <v>34</v>
      </c>
      <c r="E399" t="s">
        <v>20</v>
      </c>
      <c r="F399" t="s">
        <v>21</v>
      </c>
      <c r="G399">
        <v>72</v>
      </c>
      <c r="H399" t="s">
        <v>35</v>
      </c>
      <c r="I399" t="s">
        <v>72</v>
      </c>
      <c r="J399" t="s">
        <v>58</v>
      </c>
      <c r="K399">
        <v>0</v>
      </c>
      <c r="L399">
        <v>18458</v>
      </c>
      <c r="M399">
        <v>0</v>
      </c>
      <c r="N399">
        <v>18458</v>
      </c>
      <c r="O399" t="s">
        <v>59</v>
      </c>
      <c r="P399">
        <v>3.1</v>
      </c>
      <c r="Q399">
        <v>86</v>
      </c>
      <c r="R399" t="s">
        <v>1072</v>
      </c>
      <c r="S399">
        <v>5</v>
      </c>
      <c r="T399" t="str">
        <f>IF(Healthcare_Data[[#This Row],[Final_Bill]]&gt;=50000,"High",IF(Healthcare_Data[[#This Row],[Final_Bill]]&gt;=20000,"Medium","low"))</f>
        <v>low</v>
      </c>
    </row>
    <row r="400" spans="1:20" x14ac:dyDescent="0.3">
      <c r="A400" t="s">
        <v>455</v>
      </c>
      <c r="B400">
        <v>45804</v>
      </c>
      <c r="C400" t="s">
        <v>18</v>
      </c>
      <c r="D400" t="s">
        <v>34</v>
      </c>
      <c r="E400" t="s">
        <v>20</v>
      </c>
      <c r="F400" t="s">
        <v>40</v>
      </c>
      <c r="G400">
        <v>32</v>
      </c>
      <c r="H400" t="s">
        <v>41</v>
      </c>
      <c r="I400" t="s">
        <v>63</v>
      </c>
      <c r="J400" t="s">
        <v>24</v>
      </c>
      <c r="K400">
        <v>0</v>
      </c>
      <c r="L400">
        <v>18224</v>
      </c>
      <c r="M400">
        <v>2000</v>
      </c>
      <c r="N400">
        <v>16224</v>
      </c>
      <c r="O400" t="s">
        <v>25</v>
      </c>
      <c r="P400">
        <v>3.5</v>
      </c>
      <c r="Q400">
        <v>76</v>
      </c>
      <c r="R400" t="s">
        <v>1072</v>
      </c>
      <c r="S400">
        <v>5</v>
      </c>
      <c r="T400" t="str">
        <f>IF(Healthcare_Data[[#This Row],[Final_Bill]]&gt;=50000,"High",IF(Healthcare_Data[[#This Row],[Final_Bill]]&gt;=20000,"Medium","low"))</f>
        <v>low</v>
      </c>
    </row>
    <row r="401" spans="1:20" x14ac:dyDescent="0.3">
      <c r="A401" t="s">
        <v>456</v>
      </c>
      <c r="B401">
        <v>45804</v>
      </c>
      <c r="C401" t="s">
        <v>67</v>
      </c>
      <c r="D401" t="s">
        <v>28</v>
      </c>
      <c r="E401" t="s">
        <v>20</v>
      </c>
      <c r="F401" t="s">
        <v>21</v>
      </c>
      <c r="G401">
        <v>52</v>
      </c>
      <c r="H401" t="s">
        <v>65</v>
      </c>
      <c r="I401" t="s">
        <v>42</v>
      </c>
      <c r="J401" t="s">
        <v>58</v>
      </c>
      <c r="K401">
        <v>0</v>
      </c>
      <c r="L401">
        <v>12428</v>
      </c>
      <c r="M401">
        <v>2000</v>
      </c>
      <c r="N401">
        <v>10428</v>
      </c>
      <c r="O401" t="s">
        <v>25</v>
      </c>
      <c r="P401">
        <v>4.0999999999999996</v>
      </c>
      <c r="Q401">
        <v>5</v>
      </c>
      <c r="R401" t="s">
        <v>1072</v>
      </c>
      <c r="S401">
        <v>5</v>
      </c>
      <c r="T401" t="str">
        <f>IF(Healthcare_Data[[#This Row],[Final_Bill]]&gt;=50000,"High",IF(Healthcare_Data[[#This Row],[Final_Bill]]&gt;=20000,"Medium","low"))</f>
        <v>low</v>
      </c>
    </row>
    <row r="402" spans="1:20" x14ac:dyDescent="0.3">
      <c r="A402" t="s">
        <v>457</v>
      </c>
      <c r="B402">
        <v>45804</v>
      </c>
      <c r="C402" t="s">
        <v>48</v>
      </c>
      <c r="D402" t="s">
        <v>39</v>
      </c>
      <c r="E402" t="s">
        <v>54</v>
      </c>
      <c r="F402" t="s">
        <v>21</v>
      </c>
      <c r="G402">
        <v>22</v>
      </c>
      <c r="H402" t="s">
        <v>65</v>
      </c>
      <c r="I402" t="s">
        <v>72</v>
      </c>
      <c r="J402" t="s">
        <v>31</v>
      </c>
      <c r="K402">
        <v>0</v>
      </c>
      <c r="L402">
        <v>30419</v>
      </c>
      <c r="M402">
        <v>500</v>
      </c>
      <c r="N402">
        <v>29919</v>
      </c>
      <c r="O402" t="s">
        <v>25</v>
      </c>
      <c r="P402">
        <v>3.9</v>
      </c>
      <c r="Q402">
        <v>48</v>
      </c>
      <c r="R402" t="s">
        <v>1072</v>
      </c>
      <c r="S402">
        <v>5</v>
      </c>
      <c r="T402" t="str">
        <f>IF(Healthcare_Data[[#This Row],[Final_Bill]]&gt;=50000,"High",IF(Healthcare_Data[[#This Row],[Final_Bill]]&gt;=20000,"Medium","low"))</f>
        <v>Medium</v>
      </c>
    </row>
    <row r="403" spans="1:20" x14ac:dyDescent="0.3">
      <c r="A403" t="s">
        <v>458</v>
      </c>
      <c r="B403">
        <v>45804</v>
      </c>
      <c r="C403" t="s">
        <v>67</v>
      </c>
      <c r="D403" t="s">
        <v>34</v>
      </c>
      <c r="E403" t="s">
        <v>52</v>
      </c>
      <c r="F403" t="s">
        <v>21</v>
      </c>
      <c r="G403">
        <v>70</v>
      </c>
      <c r="H403" t="s">
        <v>35</v>
      </c>
      <c r="I403" t="s">
        <v>23</v>
      </c>
      <c r="J403" t="s">
        <v>58</v>
      </c>
      <c r="K403">
        <v>7</v>
      </c>
      <c r="L403">
        <v>48205</v>
      </c>
      <c r="M403">
        <v>500</v>
      </c>
      <c r="N403">
        <v>47705</v>
      </c>
      <c r="O403" t="s">
        <v>25</v>
      </c>
      <c r="P403">
        <v>4.7</v>
      </c>
      <c r="Q403">
        <v>44</v>
      </c>
      <c r="R403" t="s">
        <v>1072</v>
      </c>
      <c r="S403">
        <v>5</v>
      </c>
      <c r="T403" t="str">
        <f>IF(Healthcare_Data[[#This Row],[Final_Bill]]&gt;=50000,"High",IF(Healthcare_Data[[#This Row],[Final_Bill]]&gt;=20000,"Medium","low"))</f>
        <v>Medium</v>
      </c>
    </row>
    <row r="404" spans="1:20" x14ac:dyDescent="0.3">
      <c r="A404" t="s">
        <v>459</v>
      </c>
      <c r="B404">
        <v>45804</v>
      </c>
      <c r="C404" t="s">
        <v>48</v>
      </c>
      <c r="D404" t="s">
        <v>51</v>
      </c>
      <c r="E404" t="s">
        <v>20</v>
      </c>
      <c r="F404" t="s">
        <v>21</v>
      </c>
      <c r="G404">
        <v>26</v>
      </c>
      <c r="H404" t="s">
        <v>56</v>
      </c>
      <c r="I404" t="s">
        <v>23</v>
      </c>
      <c r="J404" t="s">
        <v>31</v>
      </c>
      <c r="K404">
        <v>0</v>
      </c>
      <c r="L404">
        <v>10430</v>
      </c>
      <c r="M404">
        <v>0</v>
      </c>
      <c r="N404">
        <v>10430</v>
      </c>
      <c r="O404" t="s">
        <v>25</v>
      </c>
      <c r="P404">
        <v>2.6</v>
      </c>
      <c r="Q404">
        <v>81</v>
      </c>
      <c r="R404" t="s">
        <v>1072</v>
      </c>
      <c r="S404">
        <v>5</v>
      </c>
      <c r="T404" t="str">
        <f>IF(Healthcare_Data[[#This Row],[Final_Bill]]&gt;=50000,"High",IF(Healthcare_Data[[#This Row],[Final_Bill]]&gt;=20000,"Medium","low"))</f>
        <v>low</v>
      </c>
    </row>
    <row r="405" spans="1:20" x14ac:dyDescent="0.3">
      <c r="A405" t="s">
        <v>460</v>
      </c>
      <c r="B405">
        <v>45805</v>
      </c>
      <c r="C405" t="s">
        <v>54</v>
      </c>
      <c r="D405" t="s">
        <v>34</v>
      </c>
      <c r="E405" t="s">
        <v>52</v>
      </c>
      <c r="F405" t="s">
        <v>21</v>
      </c>
      <c r="G405">
        <v>79</v>
      </c>
      <c r="H405" t="s">
        <v>41</v>
      </c>
      <c r="I405" t="s">
        <v>42</v>
      </c>
      <c r="J405" t="s">
        <v>58</v>
      </c>
      <c r="K405">
        <v>14</v>
      </c>
      <c r="L405">
        <v>15632</v>
      </c>
      <c r="M405">
        <v>0</v>
      </c>
      <c r="N405">
        <v>15632</v>
      </c>
      <c r="O405" t="s">
        <v>25</v>
      </c>
      <c r="P405">
        <v>4.4000000000000004</v>
      </c>
      <c r="Q405">
        <v>99</v>
      </c>
      <c r="R405" t="s">
        <v>1072</v>
      </c>
      <c r="S405">
        <v>5</v>
      </c>
      <c r="T405" t="str">
        <f>IF(Healthcare_Data[[#This Row],[Final_Bill]]&gt;=50000,"High",IF(Healthcare_Data[[#This Row],[Final_Bill]]&gt;=20000,"Medium","low"))</f>
        <v>low</v>
      </c>
    </row>
    <row r="406" spans="1:20" x14ac:dyDescent="0.3">
      <c r="A406" t="s">
        <v>461</v>
      </c>
      <c r="B406">
        <v>45805</v>
      </c>
      <c r="C406" t="s">
        <v>38</v>
      </c>
      <c r="D406" t="s">
        <v>28</v>
      </c>
      <c r="E406" t="s">
        <v>54</v>
      </c>
      <c r="F406" t="s">
        <v>21</v>
      </c>
      <c r="G406">
        <v>48</v>
      </c>
      <c r="H406" t="s">
        <v>115</v>
      </c>
      <c r="I406" t="s">
        <v>30</v>
      </c>
      <c r="J406" t="s">
        <v>58</v>
      </c>
      <c r="K406">
        <v>0</v>
      </c>
      <c r="L406">
        <v>34382</v>
      </c>
      <c r="M406">
        <v>1000</v>
      </c>
      <c r="N406">
        <v>33382</v>
      </c>
      <c r="O406" t="s">
        <v>25</v>
      </c>
      <c r="P406">
        <v>3.6</v>
      </c>
      <c r="Q406">
        <v>68</v>
      </c>
      <c r="R406" t="s">
        <v>1072</v>
      </c>
      <c r="S406">
        <v>5</v>
      </c>
      <c r="T406" t="str">
        <f>IF(Healthcare_Data[[#This Row],[Final_Bill]]&gt;=50000,"High",IF(Healthcare_Data[[#This Row],[Final_Bill]]&gt;=20000,"Medium","low"))</f>
        <v>Medium</v>
      </c>
    </row>
    <row r="407" spans="1:20" x14ac:dyDescent="0.3">
      <c r="A407" t="s">
        <v>462</v>
      </c>
      <c r="B407">
        <v>45805</v>
      </c>
      <c r="C407" t="s">
        <v>18</v>
      </c>
      <c r="D407" t="s">
        <v>19</v>
      </c>
      <c r="E407" t="s">
        <v>52</v>
      </c>
      <c r="F407" t="s">
        <v>21</v>
      </c>
      <c r="G407">
        <v>34</v>
      </c>
      <c r="H407" t="s">
        <v>56</v>
      </c>
      <c r="I407" t="s">
        <v>63</v>
      </c>
      <c r="J407" t="s">
        <v>36</v>
      </c>
      <c r="K407">
        <v>8</v>
      </c>
      <c r="L407">
        <v>36573</v>
      </c>
      <c r="M407">
        <v>0</v>
      </c>
      <c r="N407">
        <v>36573</v>
      </c>
      <c r="O407" t="s">
        <v>59</v>
      </c>
      <c r="P407">
        <v>3.9</v>
      </c>
      <c r="Q407">
        <v>33</v>
      </c>
      <c r="R407" t="s">
        <v>1072</v>
      </c>
      <c r="S407">
        <v>5</v>
      </c>
      <c r="T407" t="str">
        <f>IF(Healthcare_Data[[#This Row],[Final_Bill]]&gt;=50000,"High",IF(Healthcare_Data[[#This Row],[Final_Bill]]&gt;=20000,"Medium","low"))</f>
        <v>Medium</v>
      </c>
    </row>
    <row r="408" spans="1:20" x14ac:dyDescent="0.3">
      <c r="A408" t="s">
        <v>463</v>
      </c>
      <c r="B408">
        <v>45806</v>
      </c>
      <c r="C408" t="s">
        <v>27</v>
      </c>
      <c r="D408" t="s">
        <v>39</v>
      </c>
      <c r="E408" t="s">
        <v>20</v>
      </c>
      <c r="F408" t="s">
        <v>40</v>
      </c>
      <c r="G408">
        <v>78</v>
      </c>
      <c r="H408" t="s">
        <v>22</v>
      </c>
      <c r="I408" t="s">
        <v>30</v>
      </c>
      <c r="J408" t="s">
        <v>24</v>
      </c>
      <c r="K408">
        <v>0</v>
      </c>
      <c r="L408">
        <v>11815</v>
      </c>
      <c r="M408">
        <v>500</v>
      </c>
      <c r="N408">
        <v>11315</v>
      </c>
      <c r="O408" t="s">
        <v>25</v>
      </c>
      <c r="P408">
        <v>4.9000000000000004</v>
      </c>
      <c r="Q408">
        <v>68</v>
      </c>
      <c r="R408" t="s">
        <v>1072</v>
      </c>
      <c r="S408">
        <v>5</v>
      </c>
      <c r="T408" t="str">
        <f>IF(Healthcare_Data[[#This Row],[Final_Bill]]&gt;=50000,"High",IF(Healthcare_Data[[#This Row],[Final_Bill]]&gt;=20000,"Medium","low"))</f>
        <v>low</v>
      </c>
    </row>
    <row r="409" spans="1:20" x14ac:dyDescent="0.3">
      <c r="A409" t="s">
        <v>464</v>
      </c>
      <c r="B409">
        <v>45807</v>
      </c>
      <c r="C409" t="s">
        <v>27</v>
      </c>
      <c r="D409" t="s">
        <v>19</v>
      </c>
      <c r="E409" t="s">
        <v>20</v>
      </c>
      <c r="F409" t="s">
        <v>40</v>
      </c>
      <c r="G409">
        <v>36</v>
      </c>
      <c r="H409" t="s">
        <v>29</v>
      </c>
      <c r="I409" t="s">
        <v>42</v>
      </c>
      <c r="J409" t="s">
        <v>58</v>
      </c>
      <c r="K409">
        <v>0</v>
      </c>
      <c r="L409">
        <v>19671</v>
      </c>
      <c r="M409">
        <v>0</v>
      </c>
      <c r="N409">
        <v>19671</v>
      </c>
      <c r="O409" t="s">
        <v>25</v>
      </c>
      <c r="P409">
        <v>3.9</v>
      </c>
      <c r="Q409">
        <v>107</v>
      </c>
      <c r="R409" t="s">
        <v>1072</v>
      </c>
      <c r="S409">
        <v>5</v>
      </c>
      <c r="T409" t="str">
        <f>IF(Healthcare_Data[[#This Row],[Final_Bill]]&gt;=50000,"High",IF(Healthcare_Data[[#This Row],[Final_Bill]]&gt;=20000,"Medium","low"))</f>
        <v>low</v>
      </c>
    </row>
    <row r="410" spans="1:20" x14ac:dyDescent="0.3">
      <c r="A410" t="s">
        <v>465</v>
      </c>
      <c r="B410">
        <v>45807</v>
      </c>
      <c r="C410" t="s">
        <v>54</v>
      </c>
      <c r="D410" t="s">
        <v>51</v>
      </c>
      <c r="E410" t="s">
        <v>20</v>
      </c>
      <c r="F410" t="s">
        <v>40</v>
      </c>
      <c r="G410">
        <v>25</v>
      </c>
      <c r="H410" t="s">
        <v>56</v>
      </c>
      <c r="I410" t="s">
        <v>30</v>
      </c>
      <c r="J410" t="s">
        <v>24</v>
      </c>
      <c r="K410">
        <v>0</v>
      </c>
      <c r="L410">
        <v>17736</v>
      </c>
      <c r="M410">
        <v>0</v>
      </c>
      <c r="N410">
        <v>17736</v>
      </c>
      <c r="O410" t="s">
        <v>32</v>
      </c>
      <c r="P410">
        <v>2.6</v>
      </c>
      <c r="Q410">
        <v>101</v>
      </c>
      <c r="R410" t="s">
        <v>1072</v>
      </c>
      <c r="S410">
        <v>5</v>
      </c>
      <c r="T410" t="str">
        <f>IF(Healthcare_Data[[#This Row],[Final_Bill]]&gt;=50000,"High",IF(Healthcare_Data[[#This Row],[Final_Bill]]&gt;=20000,"Medium","low"))</f>
        <v>low</v>
      </c>
    </row>
    <row r="411" spans="1:20" x14ac:dyDescent="0.3">
      <c r="A411" t="s">
        <v>466</v>
      </c>
      <c r="B411">
        <v>45807</v>
      </c>
      <c r="C411" t="s">
        <v>54</v>
      </c>
      <c r="D411" t="s">
        <v>39</v>
      </c>
      <c r="E411" t="s">
        <v>54</v>
      </c>
      <c r="F411" t="s">
        <v>40</v>
      </c>
      <c r="G411">
        <v>52</v>
      </c>
      <c r="H411" t="s">
        <v>56</v>
      </c>
      <c r="I411" t="s">
        <v>57</v>
      </c>
      <c r="J411" t="s">
        <v>36</v>
      </c>
      <c r="K411">
        <v>0</v>
      </c>
      <c r="L411">
        <v>37401</v>
      </c>
      <c r="M411">
        <v>0</v>
      </c>
      <c r="N411">
        <v>37401</v>
      </c>
      <c r="O411" t="s">
        <v>25</v>
      </c>
      <c r="P411">
        <v>4.3</v>
      </c>
      <c r="Q411">
        <v>21</v>
      </c>
      <c r="R411" t="s">
        <v>1072</v>
      </c>
      <c r="S411">
        <v>5</v>
      </c>
      <c r="T411" t="str">
        <f>IF(Healthcare_Data[[#This Row],[Final_Bill]]&gt;=50000,"High",IF(Healthcare_Data[[#This Row],[Final_Bill]]&gt;=20000,"Medium","low"))</f>
        <v>Medium</v>
      </c>
    </row>
    <row r="412" spans="1:20" x14ac:dyDescent="0.3">
      <c r="A412" t="s">
        <v>467</v>
      </c>
      <c r="B412">
        <v>45808</v>
      </c>
      <c r="C412" t="s">
        <v>48</v>
      </c>
      <c r="D412" t="s">
        <v>34</v>
      </c>
      <c r="E412" t="s">
        <v>20</v>
      </c>
      <c r="F412" t="s">
        <v>21</v>
      </c>
      <c r="G412">
        <v>56</v>
      </c>
      <c r="H412" t="s">
        <v>115</v>
      </c>
      <c r="I412" t="s">
        <v>42</v>
      </c>
      <c r="J412" t="s">
        <v>1057</v>
      </c>
      <c r="K412">
        <v>0</v>
      </c>
      <c r="L412">
        <v>12602</v>
      </c>
      <c r="M412">
        <v>1500</v>
      </c>
      <c r="N412">
        <v>11102</v>
      </c>
      <c r="O412" t="s">
        <v>25</v>
      </c>
      <c r="P412">
        <v>2.8</v>
      </c>
      <c r="Q412">
        <v>70</v>
      </c>
      <c r="R412" t="s">
        <v>1072</v>
      </c>
      <c r="S412">
        <v>5</v>
      </c>
      <c r="T412" t="str">
        <f>IF(Healthcare_Data[[#This Row],[Final_Bill]]&gt;=50000,"High",IF(Healthcare_Data[[#This Row],[Final_Bill]]&gt;=20000,"Medium","low"))</f>
        <v>low</v>
      </c>
    </row>
    <row r="413" spans="1:20" x14ac:dyDescent="0.3">
      <c r="A413" t="s">
        <v>468</v>
      </c>
      <c r="B413">
        <v>45808</v>
      </c>
      <c r="C413" t="s">
        <v>67</v>
      </c>
      <c r="D413" t="s">
        <v>39</v>
      </c>
      <c r="E413" t="s">
        <v>52</v>
      </c>
      <c r="F413" t="s">
        <v>40</v>
      </c>
      <c r="G413">
        <v>68</v>
      </c>
      <c r="H413" t="s">
        <v>22</v>
      </c>
      <c r="I413" t="s">
        <v>72</v>
      </c>
      <c r="J413" t="s">
        <v>36</v>
      </c>
      <c r="K413">
        <v>8</v>
      </c>
      <c r="L413">
        <v>58151</v>
      </c>
      <c r="M413">
        <v>0</v>
      </c>
      <c r="N413">
        <v>58151</v>
      </c>
      <c r="O413" t="s">
        <v>25</v>
      </c>
      <c r="P413">
        <v>4.5</v>
      </c>
      <c r="Q413">
        <v>48</v>
      </c>
      <c r="R413" t="s">
        <v>1072</v>
      </c>
      <c r="S413">
        <v>5</v>
      </c>
      <c r="T413" t="str">
        <f>IF(Healthcare_Data[[#This Row],[Final_Bill]]&gt;=50000,"High",IF(Healthcare_Data[[#This Row],[Final_Bill]]&gt;=20000,"Medium","low"))</f>
        <v>High</v>
      </c>
    </row>
    <row r="414" spans="1:20" x14ac:dyDescent="0.3">
      <c r="A414" t="s">
        <v>469</v>
      </c>
      <c r="B414">
        <v>45808</v>
      </c>
      <c r="C414" t="s">
        <v>38</v>
      </c>
      <c r="D414" t="s">
        <v>19</v>
      </c>
      <c r="E414" t="s">
        <v>54</v>
      </c>
      <c r="F414" t="s">
        <v>21</v>
      </c>
      <c r="G414">
        <v>61</v>
      </c>
      <c r="H414" t="s">
        <v>65</v>
      </c>
      <c r="I414" t="s">
        <v>42</v>
      </c>
      <c r="J414" t="s">
        <v>24</v>
      </c>
      <c r="K414">
        <v>0</v>
      </c>
      <c r="L414">
        <v>23870</v>
      </c>
      <c r="M414">
        <v>2000</v>
      </c>
      <c r="N414">
        <v>21870</v>
      </c>
      <c r="O414" t="s">
        <v>25</v>
      </c>
      <c r="P414">
        <v>3.5</v>
      </c>
      <c r="Q414">
        <v>14</v>
      </c>
      <c r="R414" t="s">
        <v>1072</v>
      </c>
      <c r="S414">
        <v>5</v>
      </c>
      <c r="T414" t="str">
        <f>IF(Healthcare_Data[[#This Row],[Final_Bill]]&gt;=50000,"High",IF(Healthcare_Data[[#This Row],[Final_Bill]]&gt;=20000,"Medium","low"))</f>
        <v>Medium</v>
      </c>
    </row>
    <row r="415" spans="1:20" x14ac:dyDescent="0.3">
      <c r="A415" t="s">
        <v>470</v>
      </c>
      <c r="B415">
        <v>45808</v>
      </c>
      <c r="C415" t="s">
        <v>18</v>
      </c>
      <c r="D415" t="s">
        <v>51</v>
      </c>
      <c r="E415" t="s">
        <v>52</v>
      </c>
      <c r="F415" t="s">
        <v>21</v>
      </c>
      <c r="G415">
        <v>49</v>
      </c>
      <c r="H415" t="s">
        <v>65</v>
      </c>
      <c r="I415" t="s">
        <v>1057</v>
      </c>
      <c r="J415" t="s">
        <v>24</v>
      </c>
      <c r="K415">
        <v>4</v>
      </c>
      <c r="L415">
        <v>74043</v>
      </c>
      <c r="M415">
        <v>2000</v>
      </c>
      <c r="N415">
        <v>72043</v>
      </c>
      <c r="O415" t="s">
        <v>25</v>
      </c>
      <c r="P415">
        <v>3.6</v>
      </c>
      <c r="Q415">
        <v>96</v>
      </c>
      <c r="R415" t="s">
        <v>1072</v>
      </c>
      <c r="S415">
        <v>5</v>
      </c>
      <c r="T415" t="str">
        <f>IF(Healthcare_Data[[#This Row],[Final_Bill]]&gt;=50000,"High",IF(Healthcare_Data[[#This Row],[Final_Bill]]&gt;=20000,"Medium","low"))</f>
        <v>High</v>
      </c>
    </row>
    <row r="416" spans="1:20" x14ac:dyDescent="0.3">
      <c r="A416" t="s">
        <v>471</v>
      </c>
      <c r="B416">
        <v>45808</v>
      </c>
      <c r="C416" t="s">
        <v>38</v>
      </c>
      <c r="D416" t="s">
        <v>19</v>
      </c>
      <c r="E416" t="s">
        <v>20</v>
      </c>
      <c r="F416" t="s">
        <v>21</v>
      </c>
      <c r="G416">
        <v>22</v>
      </c>
      <c r="H416" t="s">
        <v>22</v>
      </c>
      <c r="I416" t="s">
        <v>42</v>
      </c>
      <c r="J416" t="s">
        <v>36</v>
      </c>
      <c r="K416">
        <v>0</v>
      </c>
      <c r="L416">
        <v>9050</v>
      </c>
      <c r="M416">
        <v>1000</v>
      </c>
      <c r="N416">
        <v>8050</v>
      </c>
      <c r="O416" t="s">
        <v>25</v>
      </c>
      <c r="P416">
        <v>4.2</v>
      </c>
      <c r="Q416">
        <v>108</v>
      </c>
      <c r="R416" t="s">
        <v>1072</v>
      </c>
      <c r="S416">
        <v>5</v>
      </c>
      <c r="T416" t="str">
        <f>IF(Healthcare_Data[[#This Row],[Final_Bill]]&gt;=50000,"High",IF(Healthcare_Data[[#This Row],[Final_Bill]]&gt;=20000,"Medium","low"))</f>
        <v>low</v>
      </c>
    </row>
    <row r="417" spans="1:20" x14ac:dyDescent="0.3">
      <c r="A417" t="s">
        <v>472</v>
      </c>
      <c r="B417">
        <v>45809</v>
      </c>
      <c r="C417" t="s">
        <v>48</v>
      </c>
      <c r="D417" t="s">
        <v>39</v>
      </c>
      <c r="E417" t="s">
        <v>52</v>
      </c>
      <c r="F417" t="s">
        <v>21</v>
      </c>
      <c r="G417">
        <v>65</v>
      </c>
      <c r="H417" t="s">
        <v>22</v>
      </c>
      <c r="I417" t="s">
        <v>57</v>
      </c>
      <c r="J417" t="s">
        <v>24</v>
      </c>
      <c r="K417">
        <v>5</v>
      </c>
      <c r="L417">
        <v>60278</v>
      </c>
      <c r="M417">
        <v>0</v>
      </c>
      <c r="N417">
        <v>60278</v>
      </c>
      <c r="O417" t="s">
        <v>32</v>
      </c>
      <c r="P417">
        <v>3.3</v>
      </c>
      <c r="Q417">
        <v>61</v>
      </c>
      <c r="R417" t="s">
        <v>1073</v>
      </c>
      <c r="S417">
        <v>6</v>
      </c>
      <c r="T417" t="str">
        <f>IF(Healthcare_Data[[#This Row],[Final_Bill]]&gt;=50000,"High",IF(Healthcare_Data[[#This Row],[Final_Bill]]&gt;=20000,"Medium","low"))</f>
        <v>High</v>
      </c>
    </row>
    <row r="418" spans="1:20" x14ac:dyDescent="0.3">
      <c r="A418" t="s">
        <v>473</v>
      </c>
      <c r="B418">
        <v>45809</v>
      </c>
      <c r="C418" t="s">
        <v>18</v>
      </c>
      <c r="D418" t="s">
        <v>28</v>
      </c>
      <c r="E418" t="s">
        <v>52</v>
      </c>
      <c r="F418" t="s">
        <v>40</v>
      </c>
      <c r="G418">
        <v>54</v>
      </c>
      <c r="H418" t="s">
        <v>29</v>
      </c>
      <c r="I418" t="s">
        <v>63</v>
      </c>
      <c r="J418" t="s">
        <v>36</v>
      </c>
      <c r="K418">
        <v>10</v>
      </c>
      <c r="L418">
        <v>61732</v>
      </c>
      <c r="M418">
        <v>500</v>
      </c>
      <c r="N418">
        <v>61232</v>
      </c>
      <c r="O418" t="s">
        <v>25</v>
      </c>
      <c r="P418">
        <v>2.7</v>
      </c>
      <c r="Q418">
        <v>104</v>
      </c>
      <c r="R418" t="s">
        <v>1073</v>
      </c>
      <c r="S418">
        <v>6</v>
      </c>
      <c r="T418" t="str">
        <f>IF(Healthcare_Data[[#This Row],[Final_Bill]]&gt;=50000,"High",IF(Healthcare_Data[[#This Row],[Final_Bill]]&gt;=20000,"Medium","low"))</f>
        <v>High</v>
      </c>
    </row>
    <row r="419" spans="1:20" x14ac:dyDescent="0.3">
      <c r="A419" t="s">
        <v>474</v>
      </c>
      <c r="B419">
        <v>45809</v>
      </c>
      <c r="C419" t="s">
        <v>27</v>
      </c>
      <c r="D419" t="s">
        <v>34</v>
      </c>
      <c r="E419" t="s">
        <v>54</v>
      </c>
      <c r="F419" t="s">
        <v>21</v>
      </c>
      <c r="G419">
        <v>29</v>
      </c>
      <c r="H419" t="s">
        <v>22</v>
      </c>
      <c r="I419" t="s">
        <v>42</v>
      </c>
      <c r="J419" t="s">
        <v>24</v>
      </c>
      <c r="K419">
        <v>0</v>
      </c>
      <c r="L419">
        <v>27613</v>
      </c>
      <c r="M419">
        <v>500</v>
      </c>
      <c r="N419">
        <v>27113</v>
      </c>
      <c r="O419" t="s">
        <v>32</v>
      </c>
      <c r="P419">
        <v>4</v>
      </c>
      <c r="Q419">
        <v>89</v>
      </c>
      <c r="R419" t="s">
        <v>1073</v>
      </c>
      <c r="S419">
        <v>6</v>
      </c>
      <c r="T419" t="str">
        <f>IF(Healthcare_Data[[#This Row],[Final_Bill]]&gt;=50000,"High",IF(Healthcare_Data[[#This Row],[Final_Bill]]&gt;=20000,"Medium","low"))</f>
        <v>Medium</v>
      </c>
    </row>
    <row r="420" spans="1:20" x14ac:dyDescent="0.3">
      <c r="A420" t="s">
        <v>475</v>
      </c>
      <c r="B420">
        <v>45809</v>
      </c>
      <c r="C420" t="s">
        <v>48</v>
      </c>
      <c r="D420" t="s">
        <v>51</v>
      </c>
      <c r="E420" t="s">
        <v>20</v>
      </c>
      <c r="F420" t="s">
        <v>21</v>
      </c>
      <c r="G420">
        <v>80</v>
      </c>
      <c r="H420" t="s">
        <v>35</v>
      </c>
      <c r="I420" t="s">
        <v>72</v>
      </c>
      <c r="J420" t="s">
        <v>36</v>
      </c>
      <c r="K420">
        <v>0</v>
      </c>
      <c r="L420">
        <v>19677</v>
      </c>
      <c r="M420">
        <v>2000</v>
      </c>
      <c r="N420">
        <v>17677</v>
      </c>
      <c r="O420" t="s">
        <v>25</v>
      </c>
      <c r="P420">
        <v>4.2</v>
      </c>
      <c r="Q420">
        <v>78</v>
      </c>
      <c r="R420" t="s">
        <v>1073</v>
      </c>
      <c r="S420">
        <v>6</v>
      </c>
      <c r="T420" t="str">
        <f>IF(Healthcare_Data[[#This Row],[Final_Bill]]&gt;=50000,"High",IF(Healthcare_Data[[#This Row],[Final_Bill]]&gt;=20000,"Medium","low"))</f>
        <v>low</v>
      </c>
    </row>
    <row r="421" spans="1:20" x14ac:dyDescent="0.3">
      <c r="A421" t="s">
        <v>476</v>
      </c>
      <c r="B421">
        <v>45809</v>
      </c>
      <c r="C421" t="s">
        <v>44</v>
      </c>
      <c r="D421" t="s">
        <v>51</v>
      </c>
      <c r="E421" t="s">
        <v>20</v>
      </c>
      <c r="F421" t="s">
        <v>40</v>
      </c>
      <c r="G421">
        <v>79</v>
      </c>
      <c r="H421" t="s">
        <v>41</v>
      </c>
      <c r="I421" t="s">
        <v>23</v>
      </c>
      <c r="J421" t="s">
        <v>31</v>
      </c>
      <c r="K421">
        <v>0</v>
      </c>
      <c r="L421">
        <v>2261</v>
      </c>
      <c r="M421">
        <v>0</v>
      </c>
      <c r="N421">
        <v>2261</v>
      </c>
      <c r="O421" t="s">
        <v>32</v>
      </c>
      <c r="P421">
        <v>4.0999999999999996</v>
      </c>
      <c r="Q421">
        <v>42</v>
      </c>
      <c r="R421" t="s">
        <v>1073</v>
      </c>
      <c r="S421">
        <v>6</v>
      </c>
      <c r="T421" t="str">
        <f>IF(Healthcare_Data[[#This Row],[Final_Bill]]&gt;=50000,"High",IF(Healthcare_Data[[#This Row],[Final_Bill]]&gt;=20000,"Medium","low"))</f>
        <v>low</v>
      </c>
    </row>
    <row r="422" spans="1:20" x14ac:dyDescent="0.3">
      <c r="A422" t="s">
        <v>477</v>
      </c>
      <c r="B422">
        <v>45809</v>
      </c>
      <c r="C422" t="s">
        <v>27</v>
      </c>
      <c r="D422" t="s">
        <v>34</v>
      </c>
      <c r="E422" t="s">
        <v>20</v>
      </c>
      <c r="F422" t="s">
        <v>40</v>
      </c>
      <c r="G422">
        <v>75</v>
      </c>
      <c r="H422" t="s">
        <v>46</v>
      </c>
      <c r="I422" t="s">
        <v>42</v>
      </c>
      <c r="J422" t="s">
        <v>24</v>
      </c>
      <c r="K422">
        <v>0</v>
      </c>
      <c r="L422">
        <v>10808</v>
      </c>
      <c r="M422">
        <v>0</v>
      </c>
      <c r="N422">
        <v>10808</v>
      </c>
      <c r="O422" t="s">
        <v>25</v>
      </c>
      <c r="P422">
        <v>3.8</v>
      </c>
      <c r="Q422">
        <v>12</v>
      </c>
      <c r="R422" t="s">
        <v>1073</v>
      </c>
      <c r="S422">
        <v>6</v>
      </c>
      <c r="T422" t="str">
        <f>IF(Healthcare_Data[[#This Row],[Final_Bill]]&gt;=50000,"High",IF(Healthcare_Data[[#This Row],[Final_Bill]]&gt;=20000,"Medium","low"))</f>
        <v>low</v>
      </c>
    </row>
    <row r="423" spans="1:20" x14ac:dyDescent="0.3">
      <c r="A423" t="s">
        <v>478</v>
      </c>
      <c r="B423">
        <v>45810</v>
      </c>
      <c r="C423" t="s">
        <v>38</v>
      </c>
      <c r="D423" t="s">
        <v>28</v>
      </c>
      <c r="E423" t="s">
        <v>52</v>
      </c>
      <c r="F423" t="s">
        <v>40</v>
      </c>
      <c r="G423">
        <v>30</v>
      </c>
      <c r="H423" t="s">
        <v>115</v>
      </c>
      <c r="I423" t="s">
        <v>63</v>
      </c>
      <c r="J423" t="s">
        <v>24</v>
      </c>
      <c r="K423">
        <v>3</v>
      </c>
      <c r="L423">
        <v>18130</v>
      </c>
      <c r="M423">
        <v>1500</v>
      </c>
      <c r="N423">
        <v>16630</v>
      </c>
      <c r="O423" t="s">
        <v>25</v>
      </c>
      <c r="P423">
        <v>4.0999999999999996</v>
      </c>
      <c r="Q423">
        <v>9</v>
      </c>
      <c r="R423" t="s">
        <v>1073</v>
      </c>
      <c r="S423">
        <v>6</v>
      </c>
      <c r="T423" t="str">
        <f>IF(Healthcare_Data[[#This Row],[Final_Bill]]&gt;=50000,"High",IF(Healthcare_Data[[#This Row],[Final_Bill]]&gt;=20000,"Medium","low"))</f>
        <v>low</v>
      </c>
    </row>
    <row r="424" spans="1:20" x14ac:dyDescent="0.3">
      <c r="A424" t="s">
        <v>479</v>
      </c>
      <c r="B424">
        <v>45810</v>
      </c>
      <c r="C424" t="s">
        <v>48</v>
      </c>
      <c r="D424" t="s">
        <v>51</v>
      </c>
      <c r="E424" t="s">
        <v>20</v>
      </c>
      <c r="F424" t="s">
        <v>40</v>
      </c>
      <c r="G424">
        <v>38</v>
      </c>
      <c r="H424" t="s">
        <v>56</v>
      </c>
      <c r="I424" t="s">
        <v>57</v>
      </c>
      <c r="J424" t="s">
        <v>58</v>
      </c>
      <c r="K424">
        <v>0</v>
      </c>
      <c r="L424">
        <v>13221</v>
      </c>
      <c r="M424">
        <v>0</v>
      </c>
      <c r="N424">
        <v>13221</v>
      </c>
      <c r="O424" t="s">
        <v>25</v>
      </c>
      <c r="P424">
        <v>4.0999999999999996</v>
      </c>
      <c r="Q424">
        <v>67</v>
      </c>
      <c r="R424" t="s">
        <v>1073</v>
      </c>
      <c r="S424">
        <v>6</v>
      </c>
      <c r="T424" t="str">
        <f>IF(Healthcare_Data[[#This Row],[Final_Bill]]&gt;=50000,"High",IF(Healthcare_Data[[#This Row],[Final_Bill]]&gt;=20000,"Medium","low"))</f>
        <v>low</v>
      </c>
    </row>
    <row r="425" spans="1:20" x14ac:dyDescent="0.3">
      <c r="A425" t="s">
        <v>480</v>
      </c>
      <c r="B425">
        <v>45811</v>
      </c>
      <c r="C425" t="s">
        <v>18</v>
      </c>
      <c r="D425" t="s">
        <v>19</v>
      </c>
      <c r="E425" t="s">
        <v>52</v>
      </c>
      <c r="F425" t="s">
        <v>21</v>
      </c>
      <c r="G425">
        <v>24</v>
      </c>
      <c r="H425" t="s">
        <v>41</v>
      </c>
      <c r="I425" t="s">
        <v>57</v>
      </c>
      <c r="J425" t="s">
        <v>24</v>
      </c>
      <c r="K425">
        <v>14</v>
      </c>
      <c r="L425">
        <v>44886</v>
      </c>
      <c r="M425">
        <v>2000</v>
      </c>
      <c r="N425">
        <v>42886</v>
      </c>
      <c r="O425" t="s">
        <v>25</v>
      </c>
      <c r="P425">
        <v>4.8</v>
      </c>
      <c r="Q425">
        <v>107</v>
      </c>
      <c r="R425" t="s">
        <v>1073</v>
      </c>
      <c r="S425">
        <v>6</v>
      </c>
      <c r="T425" t="str">
        <f>IF(Healthcare_Data[[#This Row],[Final_Bill]]&gt;=50000,"High",IF(Healthcare_Data[[#This Row],[Final_Bill]]&gt;=20000,"Medium","low"))</f>
        <v>Medium</v>
      </c>
    </row>
    <row r="426" spans="1:20" x14ac:dyDescent="0.3">
      <c r="A426" t="s">
        <v>481</v>
      </c>
      <c r="B426">
        <v>45811</v>
      </c>
      <c r="C426" t="s">
        <v>44</v>
      </c>
      <c r="D426" t="s">
        <v>34</v>
      </c>
      <c r="E426" t="s">
        <v>20</v>
      </c>
      <c r="F426" t="s">
        <v>21</v>
      </c>
      <c r="G426">
        <v>69</v>
      </c>
      <c r="H426" t="s">
        <v>22</v>
      </c>
      <c r="I426" t="s">
        <v>61</v>
      </c>
      <c r="J426" t="s">
        <v>24</v>
      </c>
      <c r="K426">
        <v>0</v>
      </c>
      <c r="L426">
        <v>10416</v>
      </c>
      <c r="M426">
        <v>0</v>
      </c>
      <c r="N426">
        <v>10416</v>
      </c>
      <c r="O426" t="s">
        <v>25</v>
      </c>
      <c r="P426">
        <v>2.5</v>
      </c>
      <c r="Q426">
        <v>99</v>
      </c>
      <c r="R426" t="s">
        <v>1073</v>
      </c>
      <c r="S426">
        <v>6</v>
      </c>
      <c r="T426" t="str">
        <f>IF(Healthcare_Data[[#This Row],[Final_Bill]]&gt;=50000,"High",IF(Healthcare_Data[[#This Row],[Final_Bill]]&gt;=20000,"Medium","low"))</f>
        <v>low</v>
      </c>
    </row>
    <row r="427" spans="1:20" x14ac:dyDescent="0.3">
      <c r="A427" t="s">
        <v>482</v>
      </c>
      <c r="B427">
        <v>45811</v>
      </c>
      <c r="C427" t="s">
        <v>44</v>
      </c>
      <c r="D427" t="s">
        <v>28</v>
      </c>
      <c r="E427" t="s">
        <v>20</v>
      </c>
      <c r="F427" t="s">
        <v>40</v>
      </c>
      <c r="G427">
        <v>48</v>
      </c>
      <c r="H427" t="s">
        <v>115</v>
      </c>
      <c r="I427" t="s">
        <v>61</v>
      </c>
      <c r="J427" t="s">
        <v>24</v>
      </c>
      <c r="K427">
        <v>0</v>
      </c>
      <c r="L427">
        <v>1755</v>
      </c>
      <c r="M427">
        <v>0</v>
      </c>
      <c r="N427">
        <v>1755</v>
      </c>
      <c r="O427" t="s">
        <v>25</v>
      </c>
      <c r="P427">
        <v>4.5999999999999996</v>
      </c>
      <c r="Q427">
        <v>87</v>
      </c>
      <c r="R427" t="s">
        <v>1073</v>
      </c>
      <c r="S427">
        <v>6</v>
      </c>
      <c r="T427" t="str">
        <f>IF(Healthcare_Data[[#This Row],[Final_Bill]]&gt;=50000,"High",IF(Healthcare_Data[[#This Row],[Final_Bill]]&gt;=20000,"Medium","low"))</f>
        <v>low</v>
      </c>
    </row>
    <row r="428" spans="1:20" x14ac:dyDescent="0.3">
      <c r="A428" t="s">
        <v>483</v>
      </c>
      <c r="B428">
        <v>45812</v>
      </c>
      <c r="C428" t="s">
        <v>44</v>
      </c>
      <c r="D428" t="s">
        <v>39</v>
      </c>
      <c r="E428" t="s">
        <v>52</v>
      </c>
      <c r="F428" t="s">
        <v>40</v>
      </c>
      <c r="G428">
        <v>56</v>
      </c>
      <c r="H428" t="s">
        <v>41</v>
      </c>
      <c r="I428" t="s">
        <v>61</v>
      </c>
      <c r="J428" t="s">
        <v>24</v>
      </c>
      <c r="K428">
        <v>11</v>
      </c>
      <c r="L428">
        <v>32040</v>
      </c>
      <c r="M428">
        <v>500</v>
      </c>
      <c r="N428">
        <v>31540</v>
      </c>
      <c r="O428" t="s">
        <v>25</v>
      </c>
      <c r="P428">
        <v>3.8</v>
      </c>
      <c r="Q428">
        <v>41</v>
      </c>
      <c r="R428" t="s">
        <v>1073</v>
      </c>
      <c r="S428">
        <v>6</v>
      </c>
      <c r="T428" t="str">
        <f>IF(Healthcare_Data[[#This Row],[Final_Bill]]&gt;=50000,"High",IF(Healthcare_Data[[#This Row],[Final_Bill]]&gt;=20000,"Medium","low"))</f>
        <v>Medium</v>
      </c>
    </row>
    <row r="429" spans="1:20" x14ac:dyDescent="0.3">
      <c r="A429" t="s">
        <v>484</v>
      </c>
      <c r="B429">
        <v>45812</v>
      </c>
      <c r="C429" t="s">
        <v>18</v>
      </c>
      <c r="D429" t="s">
        <v>51</v>
      </c>
      <c r="E429" t="s">
        <v>20</v>
      </c>
      <c r="F429" t="s">
        <v>21</v>
      </c>
      <c r="G429">
        <v>23</v>
      </c>
      <c r="H429" t="s">
        <v>56</v>
      </c>
      <c r="I429" t="s">
        <v>69</v>
      </c>
      <c r="J429" t="s">
        <v>24</v>
      </c>
      <c r="K429">
        <v>0</v>
      </c>
      <c r="L429">
        <v>5319</v>
      </c>
      <c r="M429">
        <v>0</v>
      </c>
      <c r="N429">
        <v>5319</v>
      </c>
      <c r="O429" t="s">
        <v>25</v>
      </c>
      <c r="P429">
        <v>2.7</v>
      </c>
      <c r="Q429">
        <v>117</v>
      </c>
      <c r="R429" t="s">
        <v>1073</v>
      </c>
      <c r="S429">
        <v>6</v>
      </c>
      <c r="T429" t="str">
        <f>IF(Healthcare_Data[[#This Row],[Final_Bill]]&gt;=50000,"High",IF(Healthcare_Data[[#This Row],[Final_Bill]]&gt;=20000,"Medium","low"))</f>
        <v>low</v>
      </c>
    </row>
    <row r="430" spans="1:20" x14ac:dyDescent="0.3">
      <c r="A430" t="s">
        <v>485</v>
      </c>
      <c r="B430">
        <v>45813</v>
      </c>
      <c r="C430" t="s">
        <v>48</v>
      </c>
      <c r="D430" t="s">
        <v>34</v>
      </c>
      <c r="E430" t="s">
        <v>20</v>
      </c>
      <c r="F430" t="s">
        <v>40</v>
      </c>
      <c r="G430">
        <v>37</v>
      </c>
      <c r="H430" t="s">
        <v>115</v>
      </c>
      <c r="I430" t="s">
        <v>72</v>
      </c>
      <c r="J430" t="s">
        <v>24</v>
      </c>
      <c r="K430">
        <v>0</v>
      </c>
      <c r="L430">
        <v>11423</v>
      </c>
      <c r="M430">
        <v>0</v>
      </c>
      <c r="N430">
        <v>11423</v>
      </c>
      <c r="O430" t="s">
        <v>59</v>
      </c>
      <c r="P430">
        <v>3.5</v>
      </c>
      <c r="Q430">
        <v>117</v>
      </c>
      <c r="R430" t="s">
        <v>1073</v>
      </c>
      <c r="S430">
        <v>6</v>
      </c>
      <c r="T430" t="str">
        <f>IF(Healthcare_Data[[#This Row],[Final_Bill]]&gt;=50000,"High",IF(Healthcare_Data[[#This Row],[Final_Bill]]&gt;=20000,"Medium","low"))</f>
        <v>low</v>
      </c>
    </row>
    <row r="431" spans="1:20" x14ac:dyDescent="0.3">
      <c r="A431" t="s">
        <v>486</v>
      </c>
      <c r="B431">
        <v>45814</v>
      </c>
      <c r="C431" t="s">
        <v>27</v>
      </c>
      <c r="D431" t="s">
        <v>51</v>
      </c>
      <c r="E431" t="s">
        <v>20</v>
      </c>
      <c r="F431" t="s">
        <v>21</v>
      </c>
      <c r="G431">
        <v>43</v>
      </c>
      <c r="H431" t="s">
        <v>35</v>
      </c>
      <c r="I431" t="s">
        <v>1057</v>
      </c>
      <c r="J431" t="s">
        <v>58</v>
      </c>
      <c r="K431">
        <v>0</v>
      </c>
      <c r="L431">
        <v>12641</v>
      </c>
      <c r="M431">
        <v>1000</v>
      </c>
      <c r="N431">
        <v>11641</v>
      </c>
      <c r="O431" t="s">
        <v>25</v>
      </c>
      <c r="P431">
        <v>3.5</v>
      </c>
      <c r="Q431">
        <v>72</v>
      </c>
      <c r="R431" t="s">
        <v>1073</v>
      </c>
      <c r="S431">
        <v>6</v>
      </c>
      <c r="T431" t="str">
        <f>IF(Healthcare_Data[[#This Row],[Final_Bill]]&gt;=50000,"High",IF(Healthcare_Data[[#This Row],[Final_Bill]]&gt;=20000,"Medium","low"))</f>
        <v>low</v>
      </c>
    </row>
    <row r="432" spans="1:20" x14ac:dyDescent="0.3">
      <c r="A432" t="s">
        <v>487</v>
      </c>
      <c r="B432">
        <v>45815</v>
      </c>
      <c r="C432" t="s">
        <v>44</v>
      </c>
      <c r="D432" t="s">
        <v>39</v>
      </c>
      <c r="E432" t="s">
        <v>20</v>
      </c>
      <c r="F432" t="s">
        <v>40</v>
      </c>
      <c r="G432">
        <v>63</v>
      </c>
      <c r="H432" t="s">
        <v>56</v>
      </c>
      <c r="I432" t="s">
        <v>30</v>
      </c>
      <c r="J432" t="s">
        <v>24</v>
      </c>
      <c r="K432">
        <v>0</v>
      </c>
      <c r="L432">
        <v>18607</v>
      </c>
      <c r="M432">
        <v>0</v>
      </c>
      <c r="N432">
        <v>18607</v>
      </c>
      <c r="O432" t="s">
        <v>32</v>
      </c>
      <c r="P432">
        <v>3</v>
      </c>
      <c r="Q432">
        <v>71</v>
      </c>
      <c r="R432" t="s">
        <v>1073</v>
      </c>
      <c r="S432">
        <v>6</v>
      </c>
      <c r="T432" t="str">
        <f>IF(Healthcare_Data[[#This Row],[Final_Bill]]&gt;=50000,"High",IF(Healthcare_Data[[#This Row],[Final_Bill]]&gt;=20000,"Medium","low"))</f>
        <v>low</v>
      </c>
    </row>
    <row r="433" spans="1:20" x14ac:dyDescent="0.3">
      <c r="A433" t="s">
        <v>488</v>
      </c>
      <c r="B433">
        <v>45815</v>
      </c>
      <c r="C433" t="s">
        <v>54</v>
      </c>
      <c r="D433" t="s">
        <v>28</v>
      </c>
      <c r="E433" t="s">
        <v>20</v>
      </c>
      <c r="F433" t="s">
        <v>21</v>
      </c>
      <c r="G433">
        <v>53</v>
      </c>
      <c r="H433" t="s">
        <v>115</v>
      </c>
      <c r="I433" t="s">
        <v>72</v>
      </c>
      <c r="J433" t="s">
        <v>24</v>
      </c>
      <c r="K433">
        <v>0</v>
      </c>
      <c r="L433">
        <v>3015</v>
      </c>
      <c r="M433">
        <v>0</v>
      </c>
      <c r="N433">
        <v>3015</v>
      </c>
      <c r="O433" t="s">
        <v>25</v>
      </c>
      <c r="P433">
        <v>3.3</v>
      </c>
      <c r="Q433">
        <v>7</v>
      </c>
      <c r="R433" t="s">
        <v>1073</v>
      </c>
      <c r="S433">
        <v>6</v>
      </c>
      <c r="T433" t="str">
        <f>IF(Healthcare_Data[[#This Row],[Final_Bill]]&gt;=50000,"High",IF(Healthcare_Data[[#This Row],[Final_Bill]]&gt;=20000,"Medium","low"))</f>
        <v>low</v>
      </c>
    </row>
    <row r="434" spans="1:20" x14ac:dyDescent="0.3">
      <c r="A434" t="s">
        <v>489</v>
      </c>
      <c r="B434">
        <v>45815</v>
      </c>
      <c r="C434" t="s">
        <v>27</v>
      </c>
      <c r="D434" t="s">
        <v>39</v>
      </c>
      <c r="E434" t="s">
        <v>54</v>
      </c>
      <c r="F434" t="s">
        <v>40</v>
      </c>
      <c r="G434">
        <v>47</v>
      </c>
      <c r="H434" t="s">
        <v>115</v>
      </c>
      <c r="I434" t="s">
        <v>72</v>
      </c>
      <c r="J434" t="s">
        <v>1057</v>
      </c>
      <c r="K434">
        <v>0</v>
      </c>
      <c r="L434">
        <v>42502</v>
      </c>
      <c r="M434">
        <v>0</v>
      </c>
      <c r="N434">
        <v>42502</v>
      </c>
      <c r="O434" t="s">
        <v>25</v>
      </c>
      <c r="P434">
        <v>4</v>
      </c>
      <c r="Q434">
        <v>52</v>
      </c>
      <c r="R434" t="s">
        <v>1073</v>
      </c>
      <c r="S434">
        <v>6</v>
      </c>
      <c r="T434" t="str">
        <f>IF(Healthcare_Data[[#This Row],[Final_Bill]]&gt;=50000,"High",IF(Healthcare_Data[[#This Row],[Final_Bill]]&gt;=20000,"Medium","low"))</f>
        <v>Medium</v>
      </c>
    </row>
    <row r="435" spans="1:20" x14ac:dyDescent="0.3">
      <c r="A435" t="s">
        <v>490</v>
      </c>
      <c r="B435">
        <v>45817</v>
      </c>
      <c r="C435" t="s">
        <v>48</v>
      </c>
      <c r="D435" t="s">
        <v>51</v>
      </c>
      <c r="E435" t="s">
        <v>52</v>
      </c>
      <c r="F435" t="s">
        <v>21</v>
      </c>
      <c r="G435">
        <v>63</v>
      </c>
      <c r="H435" t="s">
        <v>29</v>
      </c>
      <c r="I435" t="s">
        <v>57</v>
      </c>
      <c r="J435" t="s">
        <v>24</v>
      </c>
      <c r="K435">
        <v>13</v>
      </c>
      <c r="L435">
        <v>34142</v>
      </c>
      <c r="M435">
        <v>1000</v>
      </c>
      <c r="N435">
        <v>33142</v>
      </c>
      <c r="O435" t="s">
        <v>32</v>
      </c>
      <c r="P435">
        <v>4.9000000000000004</v>
      </c>
      <c r="Q435">
        <v>81</v>
      </c>
      <c r="R435" t="s">
        <v>1073</v>
      </c>
      <c r="S435">
        <v>6</v>
      </c>
      <c r="T435" t="str">
        <f>IF(Healthcare_Data[[#This Row],[Final_Bill]]&gt;=50000,"High",IF(Healthcare_Data[[#This Row],[Final_Bill]]&gt;=20000,"Medium","low"))</f>
        <v>Medium</v>
      </c>
    </row>
    <row r="436" spans="1:20" x14ac:dyDescent="0.3">
      <c r="A436" t="s">
        <v>491</v>
      </c>
      <c r="B436">
        <v>45817</v>
      </c>
      <c r="C436" t="s">
        <v>50</v>
      </c>
      <c r="D436" t="s">
        <v>28</v>
      </c>
      <c r="E436" t="s">
        <v>52</v>
      </c>
      <c r="F436" t="s">
        <v>21</v>
      </c>
      <c r="G436">
        <v>36</v>
      </c>
      <c r="H436" t="s">
        <v>22</v>
      </c>
      <c r="I436" t="s">
        <v>63</v>
      </c>
      <c r="J436" t="s">
        <v>24</v>
      </c>
      <c r="K436">
        <v>12</v>
      </c>
      <c r="L436">
        <v>32094</v>
      </c>
      <c r="M436">
        <v>1500</v>
      </c>
      <c r="N436">
        <v>30594</v>
      </c>
      <c r="O436" t="s">
        <v>25</v>
      </c>
      <c r="P436">
        <v>2.6</v>
      </c>
      <c r="Q436">
        <v>46</v>
      </c>
      <c r="R436" t="s">
        <v>1073</v>
      </c>
      <c r="S436">
        <v>6</v>
      </c>
      <c r="T436" t="str">
        <f>IF(Healthcare_Data[[#This Row],[Final_Bill]]&gt;=50000,"High",IF(Healthcare_Data[[#This Row],[Final_Bill]]&gt;=20000,"Medium","low"))</f>
        <v>Medium</v>
      </c>
    </row>
    <row r="437" spans="1:20" x14ac:dyDescent="0.3">
      <c r="A437" t="s">
        <v>492</v>
      </c>
      <c r="B437">
        <v>45817</v>
      </c>
      <c r="C437" t="s">
        <v>27</v>
      </c>
      <c r="D437" t="s">
        <v>39</v>
      </c>
      <c r="E437" t="s">
        <v>20</v>
      </c>
      <c r="F437" t="s">
        <v>40</v>
      </c>
      <c r="G437">
        <v>71</v>
      </c>
      <c r="H437" t="s">
        <v>65</v>
      </c>
      <c r="I437" t="s">
        <v>23</v>
      </c>
      <c r="J437" t="s">
        <v>58</v>
      </c>
      <c r="K437">
        <v>0</v>
      </c>
      <c r="L437">
        <v>2531</v>
      </c>
      <c r="M437">
        <v>0</v>
      </c>
      <c r="N437">
        <v>2531</v>
      </c>
      <c r="O437" t="s">
        <v>25</v>
      </c>
      <c r="P437">
        <v>2.6</v>
      </c>
      <c r="Q437">
        <v>33</v>
      </c>
      <c r="R437" t="s">
        <v>1073</v>
      </c>
      <c r="S437">
        <v>6</v>
      </c>
      <c r="T437" t="str">
        <f>IF(Healthcare_Data[[#This Row],[Final_Bill]]&gt;=50000,"High",IF(Healthcare_Data[[#This Row],[Final_Bill]]&gt;=20000,"Medium","low"))</f>
        <v>low</v>
      </c>
    </row>
    <row r="438" spans="1:20" x14ac:dyDescent="0.3">
      <c r="A438" t="s">
        <v>493</v>
      </c>
      <c r="B438">
        <v>45817</v>
      </c>
      <c r="C438" t="s">
        <v>50</v>
      </c>
      <c r="D438" t="s">
        <v>19</v>
      </c>
      <c r="E438" t="s">
        <v>54</v>
      </c>
      <c r="F438" t="s">
        <v>40</v>
      </c>
      <c r="G438">
        <v>39</v>
      </c>
      <c r="H438" t="s">
        <v>115</v>
      </c>
      <c r="I438" t="s">
        <v>61</v>
      </c>
      <c r="J438" t="s">
        <v>24</v>
      </c>
      <c r="K438">
        <v>0</v>
      </c>
      <c r="L438">
        <v>8256</v>
      </c>
      <c r="M438">
        <v>500</v>
      </c>
      <c r="N438">
        <v>7756</v>
      </c>
      <c r="O438" t="s">
        <v>25</v>
      </c>
      <c r="P438">
        <v>4.7</v>
      </c>
      <c r="Q438">
        <v>78</v>
      </c>
      <c r="R438" t="s">
        <v>1073</v>
      </c>
      <c r="S438">
        <v>6</v>
      </c>
      <c r="T438" t="str">
        <f>IF(Healthcare_Data[[#This Row],[Final_Bill]]&gt;=50000,"High",IF(Healthcare_Data[[#This Row],[Final_Bill]]&gt;=20000,"Medium","low"))</f>
        <v>low</v>
      </c>
    </row>
    <row r="439" spans="1:20" x14ac:dyDescent="0.3">
      <c r="A439" t="s">
        <v>494</v>
      </c>
      <c r="B439">
        <v>45817</v>
      </c>
      <c r="C439" t="s">
        <v>54</v>
      </c>
      <c r="D439" t="s">
        <v>28</v>
      </c>
      <c r="E439" t="s">
        <v>20</v>
      </c>
      <c r="F439" t="s">
        <v>40</v>
      </c>
      <c r="G439">
        <v>67</v>
      </c>
      <c r="H439" t="s">
        <v>56</v>
      </c>
      <c r="I439" t="s">
        <v>30</v>
      </c>
      <c r="J439" t="s">
        <v>24</v>
      </c>
      <c r="K439">
        <v>0</v>
      </c>
      <c r="L439">
        <v>10062</v>
      </c>
      <c r="M439">
        <v>1000</v>
      </c>
      <c r="N439">
        <v>9062</v>
      </c>
      <c r="O439" t="s">
        <v>32</v>
      </c>
      <c r="P439">
        <v>3.7</v>
      </c>
      <c r="Q439">
        <v>5</v>
      </c>
      <c r="R439" t="s">
        <v>1073</v>
      </c>
      <c r="S439">
        <v>6</v>
      </c>
      <c r="T439" t="str">
        <f>IF(Healthcare_Data[[#This Row],[Final_Bill]]&gt;=50000,"High",IF(Healthcare_Data[[#This Row],[Final_Bill]]&gt;=20000,"Medium","low"))</f>
        <v>low</v>
      </c>
    </row>
    <row r="440" spans="1:20" x14ac:dyDescent="0.3">
      <c r="A440" t="s">
        <v>495</v>
      </c>
      <c r="B440">
        <v>45817</v>
      </c>
      <c r="C440" t="s">
        <v>27</v>
      </c>
      <c r="D440" t="s">
        <v>19</v>
      </c>
      <c r="E440" t="s">
        <v>52</v>
      </c>
      <c r="F440" t="s">
        <v>21</v>
      </c>
      <c r="G440">
        <v>30</v>
      </c>
      <c r="H440" t="s">
        <v>29</v>
      </c>
      <c r="I440" t="s">
        <v>72</v>
      </c>
      <c r="J440" t="s">
        <v>31</v>
      </c>
      <c r="K440">
        <v>7</v>
      </c>
      <c r="L440">
        <v>37727</v>
      </c>
      <c r="M440">
        <v>1000</v>
      </c>
      <c r="N440">
        <v>36727</v>
      </c>
      <c r="O440" t="s">
        <v>25</v>
      </c>
      <c r="P440">
        <v>4.8</v>
      </c>
      <c r="Q440">
        <v>63</v>
      </c>
      <c r="R440" t="s">
        <v>1073</v>
      </c>
      <c r="S440">
        <v>6</v>
      </c>
      <c r="T440" t="str">
        <f>IF(Healthcare_Data[[#This Row],[Final_Bill]]&gt;=50000,"High",IF(Healthcare_Data[[#This Row],[Final_Bill]]&gt;=20000,"Medium","low"))</f>
        <v>Medium</v>
      </c>
    </row>
    <row r="441" spans="1:20" x14ac:dyDescent="0.3">
      <c r="A441" t="s">
        <v>496</v>
      </c>
      <c r="B441">
        <v>45817</v>
      </c>
      <c r="C441" t="s">
        <v>44</v>
      </c>
      <c r="D441" t="s">
        <v>34</v>
      </c>
      <c r="E441" t="s">
        <v>52</v>
      </c>
      <c r="F441" t="s">
        <v>21</v>
      </c>
      <c r="G441">
        <v>71</v>
      </c>
      <c r="H441" t="s">
        <v>35</v>
      </c>
      <c r="I441" t="s">
        <v>42</v>
      </c>
      <c r="J441" t="s">
        <v>24</v>
      </c>
      <c r="K441">
        <v>10</v>
      </c>
      <c r="L441">
        <v>79531</v>
      </c>
      <c r="M441">
        <v>0</v>
      </c>
      <c r="N441">
        <v>79531</v>
      </c>
      <c r="O441" t="s">
        <v>25</v>
      </c>
      <c r="P441">
        <v>3.8</v>
      </c>
      <c r="Q441">
        <v>114</v>
      </c>
      <c r="R441" t="s">
        <v>1073</v>
      </c>
      <c r="S441">
        <v>6</v>
      </c>
      <c r="T441" t="str">
        <f>IF(Healthcare_Data[[#This Row],[Final_Bill]]&gt;=50000,"High",IF(Healthcare_Data[[#This Row],[Final_Bill]]&gt;=20000,"Medium","low"))</f>
        <v>High</v>
      </c>
    </row>
    <row r="442" spans="1:20" x14ac:dyDescent="0.3">
      <c r="A442" t="s">
        <v>497</v>
      </c>
      <c r="B442">
        <v>45818</v>
      </c>
      <c r="C442" t="s">
        <v>27</v>
      </c>
      <c r="D442" t="s">
        <v>28</v>
      </c>
      <c r="E442" t="s">
        <v>20</v>
      </c>
      <c r="F442" t="s">
        <v>21</v>
      </c>
      <c r="G442">
        <v>29</v>
      </c>
      <c r="H442" t="s">
        <v>46</v>
      </c>
      <c r="I442" t="s">
        <v>63</v>
      </c>
      <c r="J442" t="s">
        <v>36</v>
      </c>
      <c r="K442">
        <v>0</v>
      </c>
      <c r="L442">
        <v>8851</v>
      </c>
      <c r="M442">
        <v>0</v>
      </c>
      <c r="N442">
        <v>8851</v>
      </c>
      <c r="O442" t="s">
        <v>25</v>
      </c>
      <c r="P442">
        <v>4.0999999999999996</v>
      </c>
      <c r="Q442">
        <v>112</v>
      </c>
      <c r="R442" t="s">
        <v>1073</v>
      </c>
      <c r="S442">
        <v>6</v>
      </c>
      <c r="T442" t="str">
        <f>IF(Healthcare_Data[[#This Row],[Final_Bill]]&gt;=50000,"High",IF(Healthcare_Data[[#This Row],[Final_Bill]]&gt;=20000,"Medium","low"))</f>
        <v>low</v>
      </c>
    </row>
    <row r="443" spans="1:20" x14ac:dyDescent="0.3">
      <c r="A443" t="s">
        <v>498</v>
      </c>
      <c r="B443">
        <v>45818</v>
      </c>
      <c r="C443" t="s">
        <v>27</v>
      </c>
      <c r="D443" t="s">
        <v>19</v>
      </c>
      <c r="E443" t="s">
        <v>20</v>
      </c>
      <c r="F443" t="s">
        <v>40</v>
      </c>
      <c r="G443">
        <v>72</v>
      </c>
      <c r="H443" t="s">
        <v>46</v>
      </c>
      <c r="I443" t="s">
        <v>63</v>
      </c>
      <c r="J443" t="s">
        <v>58</v>
      </c>
      <c r="K443">
        <v>0</v>
      </c>
      <c r="L443">
        <v>18624</v>
      </c>
      <c r="M443">
        <v>500</v>
      </c>
      <c r="N443">
        <v>18124</v>
      </c>
      <c r="O443" t="s">
        <v>25</v>
      </c>
      <c r="P443">
        <v>4.7</v>
      </c>
      <c r="Q443">
        <v>108</v>
      </c>
      <c r="R443" t="s">
        <v>1073</v>
      </c>
      <c r="S443">
        <v>6</v>
      </c>
      <c r="T443" t="str">
        <f>IF(Healthcare_Data[[#This Row],[Final_Bill]]&gt;=50000,"High",IF(Healthcare_Data[[#This Row],[Final_Bill]]&gt;=20000,"Medium","low"))</f>
        <v>low</v>
      </c>
    </row>
    <row r="444" spans="1:20" x14ac:dyDescent="0.3">
      <c r="A444" t="s">
        <v>499</v>
      </c>
      <c r="B444">
        <v>45818</v>
      </c>
      <c r="C444" t="s">
        <v>48</v>
      </c>
      <c r="D444" t="s">
        <v>39</v>
      </c>
      <c r="E444" t="s">
        <v>54</v>
      </c>
      <c r="F444" t="s">
        <v>21</v>
      </c>
      <c r="G444">
        <v>44</v>
      </c>
      <c r="H444" t="s">
        <v>65</v>
      </c>
      <c r="I444" t="s">
        <v>57</v>
      </c>
      <c r="J444" t="s">
        <v>24</v>
      </c>
      <c r="K444">
        <v>0</v>
      </c>
      <c r="L444">
        <v>11203</v>
      </c>
      <c r="M444">
        <v>0</v>
      </c>
      <c r="N444">
        <v>11203</v>
      </c>
      <c r="O444" t="s">
        <v>25</v>
      </c>
      <c r="P444">
        <v>4.9000000000000004</v>
      </c>
      <c r="Q444">
        <v>32</v>
      </c>
      <c r="R444" t="s">
        <v>1073</v>
      </c>
      <c r="S444">
        <v>6</v>
      </c>
      <c r="T444" t="str">
        <f>IF(Healthcare_Data[[#This Row],[Final_Bill]]&gt;=50000,"High",IF(Healthcare_Data[[#This Row],[Final_Bill]]&gt;=20000,"Medium","low"))</f>
        <v>low</v>
      </c>
    </row>
    <row r="445" spans="1:20" x14ac:dyDescent="0.3">
      <c r="A445" t="s">
        <v>500</v>
      </c>
      <c r="B445">
        <v>45818</v>
      </c>
      <c r="C445" t="s">
        <v>27</v>
      </c>
      <c r="D445" t="s">
        <v>51</v>
      </c>
      <c r="E445" t="s">
        <v>20</v>
      </c>
      <c r="F445" t="s">
        <v>40</v>
      </c>
      <c r="G445">
        <v>48</v>
      </c>
      <c r="H445" t="s">
        <v>41</v>
      </c>
      <c r="I445" t="s">
        <v>72</v>
      </c>
      <c r="J445" t="s">
        <v>58</v>
      </c>
      <c r="K445">
        <v>0</v>
      </c>
      <c r="L445">
        <v>5690</v>
      </c>
      <c r="M445">
        <v>500</v>
      </c>
      <c r="N445">
        <v>5190</v>
      </c>
      <c r="O445" t="s">
        <v>25</v>
      </c>
      <c r="P445">
        <v>4.4000000000000004</v>
      </c>
      <c r="Q445">
        <v>119</v>
      </c>
      <c r="R445" t="s">
        <v>1073</v>
      </c>
      <c r="S445">
        <v>6</v>
      </c>
      <c r="T445" t="str">
        <f>IF(Healthcare_Data[[#This Row],[Final_Bill]]&gt;=50000,"High",IF(Healthcare_Data[[#This Row],[Final_Bill]]&gt;=20000,"Medium","low"))</f>
        <v>low</v>
      </c>
    </row>
    <row r="446" spans="1:20" x14ac:dyDescent="0.3">
      <c r="A446" t="s">
        <v>501</v>
      </c>
      <c r="B446">
        <v>45819</v>
      </c>
      <c r="C446" t="s">
        <v>44</v>
      </c>
      <c r="D446" t="s">
        <v>28</v>
      </c>
      <c r="E446" t="s">
        <v>20</v>
      </c>
      <c r="F446" t="s">
        <v>40</v>
      </c>
      <c r="G446">
        <v>61</v>
      </c>
      <c r="H446" t="s">
        <v>46</v>
      </c>
      <c r="I446" t="s">
        <v>69</v>
      </c>
      <c r="J446" t="s">
        <v>24</v>
      </c>
      <c r="K446">
        <v>0</v>
      </c>
      <c r="L446">
        <v>2917</v>
      </c>
      <c r="M446">
        <v>1000</v>
      </c>
      <c r="N446">
        <v>1917</v>
      </c>
      <c r="O446" t="s">
        <v>59</v>
      </c>
      <c r="P446">
        <v>3.3</v>
      </c>
      <c r="Q446">
        <v>113</v>
      </c>
      <c r="R446" t="s">
        <v>1073</v>
      </c>
      <c r="S446">
        <v>6</v>
      </c>
      <c r="T446" t="str">
        <f>IF(Healthcare_Data[[#This Row],[Final_Bill]]&gt;=50000,"High",IF(Healthcare_Data[[#This Row],[Final_Bill]]&gt;=20000,"Medium","low"))</f>
        <v>low</v>
      </c>
    </row>
    <row r="447" spans="1:20" x14ac:dyDescent="0.3">
      <c r="A447" t="s">
        <v>502</v>
      </c>
      <c r="B447">
        <v>45819</v>
      </c>
      <c r="C447" t="s">
        <v>48</v>
      </c>
      <c r="D447" t="s">
        <v>19</v>
      </c>
      <c r="E447" t="s">
        <v>52</v>
      </c>
      <c r="F447" t="s">
        <v>21</v>
      </c>
      <c r="G447">
        <v>73</v>
      </c>
      <c r="H447" t="s">
        <v>65</v>
      </c>
      <c r="I447" t="s">
        <v>23</v>
      </c>
      <c r="J447" t="s">
        <v>24</v>
      </c>
      <c r="K447">
        <v>1</v>
      </c>
      <c r="L447">
        <v>41016</v>
      </c>
      <c r="M447">
        <v>500</v>
      </c>
      <c r="N447">
        <v>40516</v>
      </c>
      <c r="O447" t="s">
        <v>25</v>
      </c>
      <c r="P447">
        <v>3.2</v>
      </c>
      <c r="Q447">
        <v>105</v>
      </c>
      <c r="R447" t="s">
        <v>1073</v>
      </c>
      <c r="S447">
        <v>6</v>
      </c>
      <c r="T447" t="str">
        <f>IF(Healthcare_Data[[#This Row],[Final_Bill]]&gt;=50000,"High",IF(Healthcare_Data[[#This Row],[Final_Bill]]&gt;=20000,"Medium","low"))</f>
        <v>Medium</v>
      </c>
    </row>
    <row r="448" spans="1:20" x14ac:dyDescent="0.3">
      <c r="A448" t="s">
        <v>503</v>
      </c>
      <c r="B448">
        <v>45820</v>
      </c>
      <c r="C448" t="s">
        <v>67</v>
      </c>
      <c r="D448" t="s">
        <v>51</v>
      </c>
      <c r="E448" t="s">
        <v>20</v>
      </c>
      <c r="F448" t="s">
        <v>21</v>
      </c>
      <c r="G448">
        <v>42</v>
      </c>
      <c r="H448" t="s">
        <v>56</v>
      </c>
      <c r="I448" t="s">
        <v>23</v>
      </c>
      <c r="J448" t="s">
        <v>36</v>
      </c>
      <c r="K448">
        <v>0</v>
      </c>
      <c r="L448">
        <v>15358</v>
      </c>
      <c r="M448">
        <v>1000</v>
      </c>
      <c r="N448">
        <v>14358</v>
      </c>
      <c r="O448" t="s">
        <v>25</v>
      </c>
      <c r="P448">
        <v>4.8</v>
      </c>
      <c r="Q448">
        <v>17</v>
      </c>
      <c r="R448" t="s">
        <v>1073</v>
      </c>
      <c r="S448">
        <v>6</v>
      </c>
      <c r="T448" t="str">
        <f>IF(Healthcare_Data[[#This Row],[Final_Bill]]&gt;=50000,"High",IF(Healthcare_Data[[#This Row],[Final_Bill]]&gt;=20000,"Medium","low"))</f>
        <v>low</v>
      </c>
    </row>
    <row r="449" spans="1:20" x14ac:dyDescent="0.3">
      <c r="A449" t="s">
        <v>504</v>
      </c>
      <c r="B449">
        <v>45820</v>
      </c>
      <c r="C449" t="s">
        <v>54</v>
      </c>
      <c r="D449" t="s">
        <v>39</v>
      </c>
      <c r="E449" t="s">
        <v>52</v>
      </c>
      <c r="F449" t="s">
        <v>40</v>
      </c>
      <c r="G449">
        <v>45</v>
      </c>
      <c r="H449" t="s">
        <v>65</v>
      </c>
      <c r="I449" t="s">
        <v>63</v>
      </c>
      <c r="J449" t="s">
        <v>36</v>
      </c>
      <c r="K449">
        <v>4</v>
      </c>
      <c r="L449">
        <v>63583</v>
      </c>
      <c r="M449">
        <v>1000</v>
      </c>
      <c r="N449">
        <v>62583</v>
      </c>
      <c r="O449" t="s">
        <v>25</v>
      </c>
      <c r="P449">
        <v>4</v>
      </c>
      <c r="Q449">
        <v>70</v>
      </c>
      <c r="R449" t="s">
        <v>1073</v>
      </c>
      <c r="S449">
        <v>6</v>
      </c>
      <c r="T449" t="str">
        <f>IF(Healthcare_Data[[#This Row],[Final_Bill]]&gt;=50000,"High",IF(Healthcare_Data[[#This Row],[Final_Bill]]&gt;=20000,"Medium","low"))</f>
        <v>High</v>
      </c>
    </row>
    <row r="450" spans="1:20" x14ac:dyDescent="0.3">
      <c r="A450" t="s">
        <v>505</v>
      </c>
      <c r="B450">
        <v>45820</v>
      </c>
      <c r="C450" t="s">
        <v>67</v>
      </c>
      <c r="D450" t="s">
        <v>34</v>
      </c>
      <c r="E450" t="s">
        <v>20</v>
      </c>
      <c r="F450" t="s">
        <v>40</v>
      </c>
      <c r="G450">
        <v>21</v>
      </c>
      <c r="H450" t="s">
        <v>56</v>
      </c>
      <c r="I450" t="s">
        <v>42</v>
      </c>
      <c r="J450" t="s">
        <v>1057</v>
      </c>
      <c r="K450">
        <v>0</v>
      </c>
      <c r="L450">
        <v>13466</v>
      </c>
      <c r="M450">
        <v>0</v>
      </c>
      <c r="N450">
        <v>13466</v>
      </c>
      <c r="O450" t="s">
        <v>25</v>
      </c>
      <c r="P450">
        <v>4.8</v>
      </c>
      <c r="Q450">
        <v>5</v>
      </c>
      <c r="R450" t="s">
        <v>1073</v>
      </c>
      <c r="S450">
        <v>6</v>
      </c>
      <c r="T450" t="str">
        <f>IF(Healthcare_Data[[#This Row],[Final_Bill]]&gt;=50000,"High",IF(Healthcare_Data[[#This Row],[Final_Bill]]&gt;=20000,"Medium","low"))</f>
        <v>low</v>
      </c>
    </row>
    <row r="451" spans="1:20" x14ac:dyDescent="0.3">
      <c r="A451" t="s">
        <v>506</v>
      </c>
      <c r="B451">
        <v>45820</v>
      </c>
      <c r="C451" t="s">
        <v>27</v>
      </c>
      <c r="D451" t="s">
        <v>39</v>
      </c>
      <c r="E451" t="s">
        <v>20</v>
      </c>
      <c r="F451" t="s">
        <v>40</v>
      </c>
      <c r="G451">
        <v>48</v>
      </c>
      <c r="H451" t="s">
        <v>46</v>
      </c>
      <c r="I451" t="s">
        <v>23</v>
      </c>
      <c r="J451" t="s">
        <v>58</v>
      </c>
      <c r="K451">
        <v>0</v>
      </c>
      <c r="L451">
        <v>18842</v>
      </c>
      <c r="M451">
        <v>1000</v>
      </c>
      <c r="N451">
        <v>17842</v>
      </c>
      <c r="O451" t="s">
        <v>25</v>
      </c>
      <c r="P451">
        <v>4.5999999999999996</v>
      </c>
      <c r="Q451">
        <v>89</v>
      </c>
      <c r="R451" t="s">
        <v>1073</v>
      </c>
      <c r="S451">
        <v>6</v>
      </c>
      <c r="T451" t="str">
        <f>IF(Healthcare_Data[[#This Row],[Final_Bill]]&gt;=50000,"High",IF(Healthcare_Data[[#This Row],[Final_Bill]]&gt;=20000,"Medium","low"))</f>
        <v>low</v>
      </c>
    </row>
    <row r="452" spans="1:20" x14ac:dyDescent="0.3">
      <c r="A452" t="s">
        <v>507</v>
      </c>
      <c r="B452">
        <v>45821</v>
      </c>
      <c r="C452" t="s">
        <v>27</v>
      </c>
      <c r="D452" t="s">
        <v>19</v>
      </c>
      <c r="E452" t="s">
        <v>20</v>
      </c>
      <c r="F452" t="s">
        <v>21</v>
      </c>
      <c r="G452">
        <v>38</v>
      </c>
      <c r="H452" t="s">
        <v>29</v>
      </c>
      <c r="I452" t="s">
        <v>63</v>
      </c>
      <c r="J452" t="s">
        <v>24</v>
      </c>
      <c r="K452">
        <v>0</v>
      </c>
      <c r="L452">
        <v>15846</v>
      </c>
      <c r="M452">
        <v>0</v>
      </c>
      <c r="N452">
        <v>15846</v>
      </c>
      <c r="O452" t="s">
        <v>25</v>
      </c>
      <c r="P452">
        <v>3.6</v>
      </c>
      <c r="Q452">
        <v>87</v>
      </c>
      <c r="R452" t="s">
        <v>1073</v>
      </c>
      <c r="S452">
        <v>6</v>
      </c>
      <c r="T452" t="str">
        <f>IF(Healthcare_Data[[#This Row],[Final_Bill]]&gt;=50000,"High",IF(Healthcare_Data[[#This Row],[Final_Bill]]&gt;=20000,"Medium","low"))</f>
        <v>low</v>
      </c>
    </row>
    <row r="453" spans="1:20" x14ac:dyDescent="0.3">
      <c r="A453" t="s">
        <v>508</v>
      </c>
      <c r="B453">
        <v>45821</v>
      </c>
      <c r="C453" t="s">
        <v>48</v>
      </c>
      <c r="D453" t="s">
        <v>34</v>
      </c>
      <c r="E453" t="s">
        <v>54</v>
      </c>
      <c r="F453" t="s">
        <v>21</v>
      </c>
      <c r="G453">
        <v>67</v>
      </c>
      <c r="H453" t="s">
        <v>46</v>
      </c>
      <c r="I453" t="s">
        <v>30</v>
      </c>
      <c r="J453" t="s">
        <v>36</v>
      </c>
      <c r="K453">
        <v>0</v>
      </c>
      <c r="L453">
        <v>11380</v>
      </c>
      <c r="M453">
        <v>0</v>
      </c>
      <c r="N453">
        <v>11380</v>
      </c>
      <c r="O453" t="s">
        <v>25</v>
      </c>
      <c r="P453">
        <v>4.3</v>
      </c>
      <c r="Q453">
        <v>62</v>
      </c>
      <c r="R453" t="s">
        <v>1073</v>
      </c>
      <c r="S453">
        <v>6</v>
      </c>
      <c r="T453" t="str">
        <f>IF(Healthcare_Data[[#This Row],[Final_Bill]]&gt;=50000,"High",IF(Healthcare_Data[[#This Row],[Final_Bill]]&gt;=20000,"Medium","low"))</f>
        <v>low</v>
      </c>
    </row>
    <row r="454" spans="1:20" x14ac:dyDescent="0.3">
      <c r="A454" t="s">
        <v>509</v>
      </c>
      <c r="B454">
        <v>45821</v>
      </c>
      <c r="C454" t="s">
        <v>48</v>
      </c>
      <c r="D454" t="s">
        <v>19</v>
      </c>
      <c r="E454" t="s">
        <v>52</v>
      </c>
      <c r="F454" t="s">
        <v>40</v>
      </c>
      <c r="G454">
        <v>66</v>
      </c>
      <c r="H454" t="s">
        <v>29</v>
      </c>
      <c r="I454" t="s">
        <v>57</v>
      </c>
      <c r="J454" t="s">
        <v>24</v>
      </c>
      <c r="K454">
        <v>14</v>
      </c>
      <c r="L454">
        <v>35566</v>
      </c>
      <c r="M454">
        <v>2000</v>
      </c>
      <c r="N454">
        <v>33566</v>
      </c>
      <c r="O454" t="s">
        <v>25</v>
      </c>
      <c r="P454">
        <v>3.3</v>
      </c>
      <c r="Q454">
        <v>111</v>
      </c>
      <c r="R454" t="s">
        <v>1073</v>
      </c>
      <c r="S454">
        <v>6</v>
      </c>
      <c r="T454" t="str">
        <f>IF(Healthcare_Data[[#This Row],[Final_Bill]]&gt;=50000,"High",IF(Healthcare_Data[[#This Row],[Final_Bill]]&gt;=20000,"Medium","low"))</f>
        <v>Medium</v>
      </c>
    </row>
    <row r="455" spans="1:20" x14ac:dyDescent="0.3">
      <c r="A455" t="s">
        <v>510</v>
      </c>
      <c r="B455">
        <v>45822</v>
      </c>
      <c r="C455" t="s">
        <v>27</v>
      </c>
      <c r="D455" t="s">
        <v>39</v>
      </c>
      <c r="E455" t="s">
        <v>52</v>
      </c>
      <c r="F455" t="s">
        <v>40</v>
      </c>
      <c r="G455">
        <v>45</v>
      </c>
      <c r="H455" t="s">
        <v>22</v>
      </c>
      <c r="I455" t="s">
        <v>23</v>
      </c>
      <c r="J455" t="s">
        <v>24</v>
      </c>
      <c r="K455">
        <v>12</v>
      </c>
      <c r="L455">
        <v>68232</v>
      </c>
      <c r="M455">
        <v>0</v>
      </c>
      <c r="N455">
        <v>68232</v>
      </c>
      <c r="O455" t="s">
        <v>25</v>
      </c>
      <c r="P455">
        <v>3.4</v>
      </c>
      <c r="Q455">
        <v>84</v>
      </c>
      <c r="R455" t="s">
        <v>1073</v>
      </c>
      <c r="S455">
        <v>6</v>
      </c>
      <c r="T455" t="str">
        <f>IF(Healthcare_Data[[#This Row],[Final_Bill]]&gt;=50000,"High",IF(Healthcare_Data[[#This Row],[Final_Bill]]&gt;=20000,"Medium","low"))</f>
        <v>High</v>
      </c>
    </row>
    <row r="456" spans="1:20" x14ac:dyDescent="0.3">
      <c r="A456" t="s">
        <v>511</v>
      </c>
      <c r="B456">
        <v>45822</v>
      </c>
      <c r="C456" t="s">
        <v>18</v>
      </c>
      <c r="D456" t="s">
        <v>34</v>
      </c>
      <c r="E456" t="s">
        <v>54</v>
      </c>
      <c r="F456" t="s">
        <v>40</v>
      </c>
      <c r="G456">
        <v>51</v>
      </c>
      <c r="H456" t="s">
        <v>46</v>
      </c>
      <c r="I456" t="s">
        <v>72</v>
      </c>
      <c r="J456" t="s">
        <v>31</v>
      </c>
      <c r="K456">
        <v>0</v>
      </c>
      <c r="L456">
        <v>40872</v>
      </c>
      <c r="M456">
        <v>0</v>
      </c>
      <c r="N456">
        <v>40872</v>
      </c>
      <c r="O456" t="s">
        <v>25</v>
      </c>
      <c r="P456">
        <v>3.5</v>
      </c>
      <c r="Q456">
        <v>42</v>
      </c>
      <c r="R456" t="s">
        <v>1073</v>
      </c>
      <c r="S456">
        <v>6</v>
      </c>
      <c r="T456" t="str">
        <f>IF(Healthcare_Data[[#This Row],[Final_Bill]]&gt;=50000,"High",IF(Healthcare_Data[[#This Row],[Final_Bill]]&gt;=20000,"Medium","low"))</f>
        <v>Medium</v>
      </c>
    </row>
    <row r="457" spans="1:20" x14ac:dyDescent="0.3">
      <c r="A457" t="s">
        <v>512</v>
      </c>
      <c r="B457">
        <v>45822</v>
      </c>
      <c r="C457" t="s">
        <v>44</v>
      </c>
      <c r="D457" t="s">
        <v>28</v>
      </c>
      <c r="E457" t="s">
        <v>20</v>
      </c>
      <c r="F457" t="s">
        <v>21</v>
      </c>
      <c r="G457">
        <v>57</v>
      </c>
      <c r="H457" t="s">
        <v>29</v>
      </c>
      <c r="I457" t="s">
        <v>69</v>
      </c>
      <c r="J457" t="s">
        <v>24</v>
      </c>
      <c r="K457">
        <v>0</v>
      </c>
      <c r="L457">
        <v>1573</v>
      </c>
      <c r="M457">
        <v>500</v>
      </c>
      <c r="N457">
        <v>1073</v>
      </c>
      <c r="O457" t="s">
        <v>25</v>
      </c>
      <c r="P457">
        <v>4.7</v>
      </c>
      <c r="Q457">
        <v>11</v>
      </c>
      <c r="R457" t="s">
        <v>1073</v>
      </c>
      <c r="S457">
        <v>6</v>
      </c>
      <c r="T457" t="str">
        <f>IF(Healthcare_Data[[#This Row],[Final_Bill]]&gt;=50000,"High",IF(Healthcare_Data[[#This Row],[Final_Bill]]&gt;=20000,"Medium","low"))</f>
        <v>low</v>
      </c>
    </row>
    <row r="458" spans="1:20" x14ac:dyDescent="0.3">
      <c r="A458" t="s">
        <v>513</v>
      </c>
      <c r="B458">
        <v>45823</v>
      </c>
      <c r="C458" t="s">
        <v>67</v>
      </c>
      <c r="D458" t="s">
        <v>19</v>
      </c>
      <c r="E458" t="s">
        <v>20</v>
      </c>
      <c r="F458" t="s">
        <v>40</v>
      </c>
      <c r="G458">
        <v>21</v>
      </c>
      <c r="H458" t="s">
        <v>65</v>
      </c>
      <c r="I458" t="s">
        <v>57</v>
      </c>
      <c r="J458" t="s">
        <v>31</v>
      </c>
      <c r="K458">
        <v>0</v>
      </c>
      <c r="L458">
        <v>14322</v>
      </c>
      <c r="M458">
        <v>0</v>
      </c>
      <c r="N458">
        <v>14322</v>
      </c>
      <c r="O458" t="s">
        <v>25</v>
      </c>
      <c r="P458">
        <v>2.9</v>
      </c>
      <c r="Q458">
        <v>26</v>
      </c>
      <c r="R458" t="s">
        <v>1073</v>
      </c>
      <c r="S458">
        <v>6</v>
      </c>
      <c r="T458" t="str">
        <f>IF(Healthcare_Data[[#This Row],[Final_Bill]]&gt;=50000,"High",IF(Healthcare_Data[[#This Row],[Final_Bill]]&gt;=20000,"Medium","low"))</f>
        <v>low</v>
      </c>
    </row>
    <row r="459" spans="1:20" x14ac:dyDescent="0.3">
      <c r="A459" t="s">
        <v>514</v>
      </c>
      <c r="B459">
        <v>45824</v>
      </c>
      <c r="C459" t="s">
        <v>18</v>
      </c>
      <c r="D459" t="s">
        <v>39</v>
      </c>
      <c r="E459" t="s">
        <v>20</v>
      </c>
      <c r="F459" t="s">
        <v>40</v>
      </c>
      <c r="G459">
        <v>51</v>
      </c>
      <c r="H459" t="s">
        <v>41</v>
      </c>
      <c r="I459" t="s">
        <v>42</v>
      </c>
      <c r="J459" t="s">
        <v>31</v>
      </c>
      <c r="K459">
        <v>0</v>
      </c>
      <c r="L459">
        <v>19029</v>
      </c>
      <c r="M459">
        <v>1500</v>
      </c>
      <c r="N459">
        <v>17529</v>
      </c>
      <c r="O459" t="s">
        <v>25</v>
      </c>
      <c r="P459">
        <v>2.7</v>
      </c>
      <c r="Q459">
        <v>66</v>
      </c>
      <c r="R459" t="s">
        <v>1073</v>
      </c>
      <c r="S459">
        <v>6</v>
      </c>
      <c r="T459" t="str">
        <f>IF(Healthcare_Data[[#This Row],[Final_Bill]]&gt;=50000,"High",IF(Healthcare_Data[[#This Row],[Final_Bill]]&gt;=20000,"Medium","low"))</f>
        <v>low</v>
      </c>
    </row>
    <row r="460" spans="1:20" x14ac:dyDescent="0.3">
      <c r="A460" t="s">
        <v>515</v>
      </c>
      <c r="B460">
        <v>45824</v>
      </c>
      <c r="C460" t="s">
        <v>27</v>
      </c>
      <c r="D460" t="s">
        <v>19</v>
      </c>
      <c r="E460" t="s">
        <v>52</v>
      </c>
      <c r="F460" t="s">
        <v>40</v>
      </c>
      <c r="G460">
        <v>71</v>
      </c>
      <c r="H460" t="s">
        <v>29</v>
      </c>
      <c r="I460" t="s">
        <v>72</v>
      </c>
      <c r="J460" t="s">
        <v>36</v>
      </c>
      <c r="K460">
        <v>13</v>
      </c>
      <c r="L460">
        <v>20283</v>
      </c>
      <c r="M460">
        <v>1000</v>
      </c>
      <c r="N460">
        <v>19283</v>
      </c>
      <c r="O460" t="s">
        <v>59</v>
      </c>
      <c r="P460">
        <v>4.2</v>
      </c>
      <c r="Q460">
        <v>5</v>
      </c>
      <c r="R460" t="s">
        <v>1073</v>
      </c>
      <c r="S460">
        <v>6</v>
      </c>
      <c r="T460" t="str">
        <f>IF(Healthcare_Data[[#This Row],[Final_Bill]]&gt;=50000,"High",IF(Healthcare_Data[[#This Row],[Final_Bill]]&gt;=20000,"Medium","low"))</f>
        <v>low</v>
      </c>
    </row>
    <row r="461" spans="1:20" x14ac:dyDescent="0.3">
      <c r="A461" t="s">
        <v>516</v>
      </c>
      <c r="B461">
        <v>45825</v>
      </c>
      <c r="C461" t="s">
        <v>67</v>
      </c>
      <c r="D461" t="s">
        <v>28</v>
      </c>
      <c r="E461" t="s">
        <v>20</v>
      </c>
      <c r="F461" t="s">
        <v>40</v>
      </c>
      <c r="G461">
        <v>26</v>
      </c>
      <c r="H461" t="s">
        <v>22</v>
      </c>
      <c r="I461" t="s">
        <v>57</v>
      </c>
      <c r="J461" t="s">
        <v>31</v>
      </c>
      <c r="K461">
        <v>0</v>
      </c>
      <c r="L461">
        <v>16812</v>
      </c>
      <c r="M461">
        <v>1000</v>
      </c>
      <c r="N461">
        <v>15812</v>
      </c>
      <c r="O461" t="s">
        <v>25</v>
      </c>
      <c r="P461">
        <v>3.2</v>
      </c>
      <c r="Q461">
        <v>40</v>
      </c>
      <c r="R461" t="s">
        <v>1073</v>
      </c>
      <c r="S461">
        <v>6</v>
      </c>
      <c r="T461" t="str">
        <f>IF(Healthcare_Data[[#This Row],[Final_Bill]]&gt;=50000,"High",IF(Healthcare_Data[[#This Row],[Final_Bill]]&gt;=20000,"Medium","low"))</f>
        <v>low</v>
      </c>
    </row>
    <row r="462" spans="1:20" x14ac:dyDescent="0.3">
      <c r="A462" t="s">
        <v>517</v>
      </c>
      <c r="B462">
        <v>45825</v>
      </c>
      <c r="C462" t="s">
        <v>44</v>
      </c>
      <c r="D462" t="s">
        <v>39</v>
      </c>
      <c r="E462" t="s">
        <v>20</v>
      </c>
      <c r="F462" t="s">
        <v>40</v>
      </c>
      <c r="G462">
        <v>42</v>
      </c>
      <c r="H462" t="s">
        <v>46</v>
      </c>
      <c r="I462" t="s">
        <v>61</v>
      </c>
      <c r="J462" t="s">
        <v>36</v>
      </c>
      <c r="K462">
        <v>0</v>
      </c>
      <c r="L462">
        <v>15360</v>
      </c>
      <c r="M462">
        <v>1500</v>
      </c>
      <c r="N462">
        <v>13860</v>
      </c>
      <c r="O462" t="s">
        <v>25</v>
      </c>
      <c r="P462">
        <v>3.6</v>
      </c>
      <c r="Q462">
        <v>34</v>
      </c>
      <c r="R462" t="s">
        <v>1073</v>
      </c>
      <c r="S462">
        <v>6</v>
      </c>
      <c r="T462" t="str">
        <f>IF(Healthcare_Data[[#This Row],[Final_Bill]]&gt;=50000,"High",IF(Healthcare_Data[[#This Row],[Final_Bill]]&gt;=20000,"Medium","low"))</f>
        <v>low</v>
      </c>
    </row>
    <row r="463" spans="1:20" x14ac:dyDescent="0.3">
      <c r="A463" t="s">
        <v>518</v>
      </c>
      <c r="B463">
        <v>45826</v>
      </c>
      <c r="C463" t="s">
        <v>54</v>
      </c>
      <c r="D463" t="s">
        <v>19</v>
      </c>
      <c r="E463" t="s">
        <v>20</v>
      </c>
      <c r="F463" t="s">
        <v>21</v>
      </c>
      <c r="G463">
        <v>33</v>
      </c>
      <c r="H463" t="s">
        <v>41</v>
      </c>
      <c r="I463" t="s">
        <v>57</v>
      </c>
      <c r="J463" t="s">
        <v>24</v>
      </c>
      <c r="K463">
        <v>0</v>
      </c>
      <c r="L463">
        <v>7144</v>
      </c>
      <c r="M463">
        <v>0</v>
      </c>
      <c r="N463">
        <v>7144</v>
      </c>
      <c r="O463" t="s">
        <v>25</v>
      </c>
      <c r="P463">
        <v>3.5</v>
      </c>
      <c r="Q463">
        <v>11</v>
      </c>
      <c r="R463" t="s">
        <v>1073</v>
      </c>
      <c r="S463">
        <v>6</v>
      </c>
      <c r="T463" t="str">
        <f>IF(Healthcare_Data[[#This Row],[Final_Bill]]&gt;=50000,"High",IF(Healthcare_Data[[#This Row],[Final_Bill]]&gt;=20000,"Medium","low"))</f>
        <v>low</v>
      </c>
    </row>
    <row r="464" spans="1:20" x14ac:dyDescent="0.3">
      <c r="A464" t="s">
        <v>519</v>
      </c>
      <c r="B464">
        <v>45827</v>
      </c>
      <c r="C464" t="s">
        <v>38</v>
      </c>
      <c r="D464" t="s">
        <v>34</v>
      </c>
      <c r="E464" t="s">
        <v>20</v>
      </c>
      <c r="F464" t="s">
        <v>40</v>
      </c>
      <c r="G464">
        <v>36</v>
      </c>
      <c r="H464" t="s">
        <v>41</v>
      </c>
      <c r="I464" t="s">
        <v>42</v>
      </c>
      <c r="J464" t="s">
        <v>1057</v>
      </c>
      <c r="K464">
        <v>0</v>
      </c>
      <c r="L464">
        <v>7432</v>
      </c>
      <c r="M464">
        <v>500</v>
      </c>
      <c r="N464">
        <v>6932</v>
      </c>
      <c r="O464" t="s">
        <v>25</v>
      </c>
      <c r="P464">
        <v>2.5</v>
      </c>
      <c r="Q464">
        <v>59</v>
      </c>
      <c r="R464" t="s">
        <v>1073</v>
      </c>
      <c r="S464">
        <v>6</v>
      </c>
      <c r="T464" t="str">
        <f>IF(Healthcare_Data[[#This Row],[Final_Bill]]&gt;=50000,"High",IF(Healthcare_Data[[#This Row],[Final_Bill]]&gt;=20000,"Medium","low"))</f>
        <v>low</v>
      </c>
    </row>
    <row r="465" spans="1:20" x14ac:dyDescent="0.3">
      <c r="A465" t="s">
        <v>520</v>
      </c>
      <c r="B465">
        <v>45827</v>
      </c>
      <c r="C465" t="s">
        <v>50</v>
      </c>
      <c r="D465" t="s">
        <v>28</v>
      </c>
      <c r="E465" t="s">
        <v>20</v>
      </c>
      <c r="F465" t="s">
        <v>40</v>
      </c>
      <c r="G465">
        <v>44</v>
      </c>
      <c r="H465" t="s">
        <v>65</v>
      </c>
      <c r="I465" t="s">
        <v>23</v>
      </c>
      <c r="J465" t="s">
        <v>58</v>
      </c>
      <c r="K465">
        <v>0</v>
      </c>
      <c r="L465">
        <v>10474</v>
      </c>
      <c r="M465">
        <v>500</v>
      </c>
      <c r="N465">
        <v>9974</v>
      </c>
      <c r="O465" t="s">
        <v>25</v>
      </c>
      <c r="P465">
        <v>2.9</v>
      </c>
      <c r="Q465">
        <v>38</v>
      </c>
      <c r="R465" t="s">
        <v>1073</v>
      </c>
      <c r="S465">
        <v>6</v>
      </c>
      <c r="T465" t="str">
        <f>IF(Healthcare_Data[[#This Row],[Final_Bill]]&gt;=50000,"High",IF(Healthcare_Data[[#This Row],[Final_Bill]]&gt;=20000,"Medium","low"))</f>
        <v>low</v>
      </c>
    </row>
    <row r="466" spans="1:20" x14ac:dyDescent="0.3">
      <c r="A466" t="s">
        <v>521</v>
      </c>
      <c r="B466">
        <v>45827</v>
      </c>
      <c r="C466" t="s">
        <v>38</v>
      </c>
      <c r="D466" t="s">
        <v>19</v>
      </c>
      <c r="E466" t="s">
        <v>20</v>
      </c>
      <c r="F466" t="s">
        <v>40</v>
      </c>
      <c r="G466">
        <v>30</v>
      </c>
      <c r="H466" t="s">
        <v>41</v>
      </c>
      <c r="I466" t="s">
        <v>63</v>
      </c>
      <c r="J466" t="s">
        <v>24</v>
      </c>
      <c r="K466">
        <v>0</v>
      </c>
      <c r="L466">
        <v>3126</v>
      </c>
      <c r="M466">
        <v>500</v>
      </c>
      <c r="N466">
        <v>2626</v>
      </c>
      <c r="O466" t="s">
        <v>25</v>
      </c>
      <c r="P466">
        <v>3.9</v>
      </c>
      <c r="Q466">
        <v>21</v>
      </c>
      <c r="R466" t="s">
        <v>1073</v>
      </c>
      <c r="S466">
        <v>6</v>
      </c>
      <c r="T466" t="str">
        <f>IF(Healthcare_Data[[#This Row],[Final_Bill]]&gt;=50000,"High",IF(Healthcare_Data[[#This Row],[Final_Bill]]&gt;=20000,"Medium","low"))</f>
        <v>low</v>
      </c>
    </row>
    <row r="467" spans="1:20" x14ac:dyDescent="0.3">
      <c r="A467" t="s">
        <v>522</v>
      </c>
      <c r="B467">
        <v>45827</v>
      </c>
      <c r="C467" t="s">
        <v>67</v>
      </c>
      <c r="D467" t="s">
        <v>34</v>
      </c>
      <c r="E467" t="s">
        <v>52</v>
      </c>
      <c r="F467" t="s">
        <v>40</v>
      </c>
      <c r="G467">
        <v>63</v>
      </c>
      <c r="H467" t="s">
        <v>46</v>
      </c>
      <c r="I467" t="s">
        <v>72</v>
      </c>
      <c r="J467" t="s">
        <v>31</v>
      </c>
      <c r="K467">
        <v>13</v>
      </c>
      <c r="L467">
        <v>22338</v>
      </c>
      <c r="M467">
        <v>1000</v>
      </c>
      <c r="N467">
        <v>21338</v>
      </c>
      <c r="O467" t="s">
        <v>25</v>
      </c>
      <c r="P467">
        <v>4.5</v>
      </c>
      <c r="Q467">
        <v>99</v>
      </c>
      <c r="R467" t="s">
        <v>1073</v>
      </c>
      <c r="S467">
        <v>6</v>
      </c>
      <c r="T467" t="str">
        <f>IF(Healthcare_Data[[#This Row],[Final_Bill]]&gt;=50000,"High",IF(Healthcare_Data[[#This Row],[Final_Bill]]&gt;=20000,"Medium","low"))</f>
        <v>Medium</v>
      </c>
    </row>
    <row r="468" spans="1:20" x14ac:dyDescent="0.3">
      <c r="A468" t="s">
        <v>523</v>
      </c>
      <c r="B468">
        <v>45827</v>
      </c>
      <c r="C468" t="s">
        <v>38</v>
      </c>
      <c r="D468" t="s">
        <v>28</v>
      </c>
      <c r="E468" t="s">
        <v>52</v>
      </c>
      <c r="F468" t="s">
        <v>21</v>
      </c>
      <c r="G468">
        <v>46</v>
      </c>
      <c r="H468" t="s">
        <v>65</v>
      </c>
      <c r="I468" t="s">
        <v>42</v>
      </c>
      <c r="J468" t="s">
        <v>31</v>
      </c>
      <c r="K468">
        <v>8</v>
      </c>
      <c r="L468">
        <v>70991</v>
      </c>
      <c r="M468">
        <v>1000</v>
      </c>
      <c r="N468">
        <v>69991</v>
      </c>
      <c r="O468" t="s">
        <v>25</v>
      </c>
      <c r="P468">
        <v>3.1</v>
      </c>
      <c r="Q468">
        <v>71</v>
      </c>
      <c r="R468" t="s">
        <v>1073</v>
      </c>
      <c r="S468">
        <v>6</v>
      </c>
      <c r="T468" t="str">
        <f>IF(Healthcare_Data[[#This Row],[Final_Bill]]&gt;=50000,"High",IF(Healthcare_Data[[#This Row],[Final_Bill]]&gt;=20000,"Medium","low"))</f>
        <v>High</v>
      </c>
    </row>
    <row r="469" spans="1:20" x14ac:dyDescent="0.3">
      <c r="A469" t="s">
        <v>524</v>
      </c>
      <c r="B469">
        <v>45827</v>
      </c>
      <c r="C469" t="s">
        <v>54</v>
      </c>
      <c r="D469" t="s">
        <v>19</v>
      </c>
      <c r="E469" t="s">
        <v>20</v>
      </c>
      <c r="F469" t="s">
        <v>40</v>
      </c>
      <c r="G469">
        <v>56</v>
      </c>
      <c r="H469" t="s">
        <v>35</v>
      </c>
      <c r="I469" t="s">
        <v>63</v>
      </c>
      <c r="J469" t="s">
        <v>58</v>
      </c>
      <c r="K469">
        <v>0</v>
      </c>
      <c r="L469">
        <v>4995</v>
      </c>
      <c r="M469">
        <v>0</v>
      </c>
      <c r="N469">
        <v>4995</v>
      </c>
      <c r="O469" t="s">
        <v>25</v>
      </c>
      <c r="P469">
        <v>4.9000000000000004</v>
      </c>
      <c r="Q469">
        <v>17</v>
      </c>
      <c r="R469" t="s">
        <v>1073</v>
      </c>
      <c r="S469">
        <v>6</v>
      </c>
      <c r="T469" t="str">
        <f>IF(Healthcare_Data[[#This Row],[Final_Bill]]&gt;=50000,"High",IF(Healthcare_Data[[#This Row],[Final_Bill]]&gt;=20000,"Medium","low"))</f>
        <v>low</v>
      </c>
    </row>
    <row r="470" spans="1:20" x14ac:dyDescent="0.3">
      <c r="A470" t="s">
        <v>525</v>
      </c>
      <c r="B470">
        <v>45828</v>
      </c>
      <c r="C470" t="s">
        <v>67</v>
      </c>
      <c r="D470" t="s">
        <v>34</v>
      </c>
      <c r="E470" t="s">
        <v>20</v>
      </c>
      <c r="F470" t="s">
        <v>40</v>
      </c>
      <c r="G470">
        <v>32</v>
      </c>
      <c r="H470" t="s">
        <v>22</v>
      </c>
      <c r="I470" t="s">
        <v>23</v>
      </c>
      <c r="J470" t="s">
        <v>58</v>
      </c>
      <c r="K470">
        <v>0</v>
      </c>
      <c r="L470">
        <v>6357</v>
      </c>
      <c r="M470">
        <v>1000</v>
      </c>
      <c r="N470">
        <v>5357</v>
      </c>
      <c r="O470" t="s">
        <v>25</v>
      </c>
      <c r="P470">
        <v>3.9</v>
      </c>
      <c r="Q470">
        <v>66</v>
      </c>
      <c r="R470" t="s">
        <v>1073</v>
      </c>
      <c r="S470">
        <v>6</v>
      </c>
      <c r="T470" t="str">
        <f>IF(Healthcare_Data[[#This Row],[Final_Bill]]&gt;=50000,"High",IF(Healthcare_Data[[#This Row],[Final_Bill]]&gt;=20000,"Medium","low"))</f>
        <v>low</v>
      </c>
    </row>
    <row r="471" spans="1:20" x14ac:dyDescent="0.3">
      <c r="A471" t="s">
        <v>526</v>
      </c>
      <c r="B471">
        <v>45829</v>
      </c>
      <c r="C471" t="s">
        <v>27</v>
      </c>
      <c r="D471" t="s">
        <v>19</v>
      </c>
      <c r="E471" t="s">
        <v>20</v>
      </c>
      <c r="F471" t="s">
        <v>21</v>
      </c>
      <c r="G471">
        <v>66</v>
      </c>
      <c r="H471" t="s">
        <v>65</v>
      </c>
      <c r="I471" t="s">
        <v>42</v>
      </c>
      <c r="J471" t="s">
        <v>31</v>
      </c>
      <c r="K471">
        <v>0</v>
      </c>
      <c r="L471">
        <v>14773</v>
      </c>
      <c r="M471">
        <v>0</v>
      </c>
      <c r="N471">
        <v>14773</v>
      </c>
      <c r="O471" t="s">
        <v>59</v>
      </c>
      <c r="P471">
        <v>4.2</v>
      </c>
      <c r="Q471">
        <v>73</v>
      </c>
      <c r="R471" t="s">
        <v>1073</v>
      </c>
      <c r="S471">
        <v>6</v>
      </c>
      <c r="T471" t="str">
        <f>IF(Healthcare_Data[[#This Row],[Final_Bill]]&gt;=50000,"High",IF(Healthcare_Data[[#This Row],[Final_Bill]]&gt;=20000,"Medium","low"))</f>
        <v>low</v>
      </c>
    </row>
    <row r="472" spans="1:20" x14ac:dyDescent="0.3">
      <c r="A472" t="s">
        <v>527</v>
      </c>
      <c r="B472">
        <v>45829</v>
      </c>
      <c r="C472" t="s">
        <v>27</v>
      </c>
      <c r="D472" t="s">
        <v>39</v>
      </c>
      <c r="E472" t="s">
        <v>52</v>
      </c>
      <c r="F472" t="s">
        <v>21</v>
      </c>
      <c r="G472">
        <v>20</v>
      </c>
      <c r="H472" t="s">
        <v>41</v>
      </c>
      <c r="I472" t="s">
        <v>61</v>
      </c>
      <c r="J472" t="s">
        <v>24</v>
      </c>
      <c r="K472">
        <v>2</v>
      </c>
      <c r="L472">
        <v>52138</v>
      </c>
      <c r="M472">
        <v>2000</v>
      </c>
      <c r="N472">
        <v>50138</v>
      </c>
      <c r="O472" t="s">
        <v>32</v>
      </c>
      <c r="P472">
        <v>4.4000000000000004</v>
      </c>
      <c r="Q472">
        <v>47</v>
      </c>
      <c r="R472" t="s">
        <v>1073</v>
      </c>
      <c r="S472">
        <v>6</v>
      </c>
      <c r="T472" t="str">
        <f>IF(Healthcare_Data[[#This Row],[Final_Bill]]&gt;=50000,"High",IF(Healthcare_Data[[#This Row],[Final_Bill]]&gt;=20000,"Medium","low"))</f>
        <v>High</v>
      </c>
    </row>
    <row r="473" spans="1:20" x14ac:dyDescent="0.3">
      <c r="A473" t="s">
        <v>528</v>
      </c>
      <c r="B473">
        <v>45829</v>
      </c>
      <c r="C473" t="s">
        <v>44</v>
      </c>
      <c r="D473" t="s">
        <v>51</v>
      </c>
      <c r="E473" t="s">
        <v>52</v>
      </c>
      <c r="F473" t="s">
        <v>40</v>
      </c>
      <c r="G473">
        <v>77</v>
      </c>
      <c r="H473" t="s">
        <v>29</v>
      </c>
      <c r="I473" t="s">
        <v>23</v>
      </c>
      <c r="J473" t="s">
        <v>24</v>
      </c>
      <c r="K473">
        <v>13</v>
      </c>
      <c r="L473">
        <v>55891</v>
      </c>
      <c r="M473">
        <v>1000</v>
      </c>
      <c r="N473">
        <v>54891</v>
      </c>
      <c r="O473" t="s">
        <v>32</v>
      </c>
      <c r="P473">
        <v>2.6</v>
      </c>
      <c r="Q473">
        <v>96</v>
      </c>
      <c r="R473" t="s">
        <v>1073</v>
      </c>
      <c r="S473">
        <v>6</v>
      </c>
      <c r="T473" t="str">
        <f>IF(Healthcare_Data[[#This Row],[Final_Bill]]&gt;=50000,"High",IF(Healthcare_Data[[#This Row],[Final_Bill]]&gt;=20000,"Medium","low"))</f>
        <v>High</v>
      </c>
    </row>
    <row r="474" spans="1:20" x14ac:dyDescent="0.3">
      <c r="A474" t="s">
        <v>529</v>
      </c>
      <c r="B474">
        <v>45829</v>
      </c>
      <c r="C474" t="s">
        <v>44</v>
      </c>
      <c r="D474" t="s">
        <v>28</v>
      </c>
      <c r="E474" t="s">
        <v>20</v>
      </c>
      <c r="F474" t="s">
        <v>21</v>
      </c>
      <c r="G474">
        <v>40</v>
      </c>
      <c r="H474" t="s">
        <v>22</v>
      </c>
      <c r="I474" t="s">
        <v>61</v>
      </c>
      <c r="J474" t="s">
        <v>58</v>
      </c>
      <c r="K474">
        <v>0</v>
      </c>
      <c r="L474">
        <v>10081</v>
      </c>
      <c r="M474">
        <v>0</v>
      </c>
      <c r="N474">
        <v>10081</v>
      </c>
      <c r="O474" t="s">
        <v>25</v>
      </c>
      <c r="P474">
        <v>3.7</v>
      </c>
      <c r="Q474">
        <v>30</v>
      </c>
      <c r="R474" t="s">
        <v>1073</v>
      </c>
      <c r="S474">
        <v>6</v>
      </c>
      <c r="T474" t="str">
        <f>IF(Healthcare_Data[[#This Row],[Final_Bill]]&gt;=50000,"High",IF(Healthcare_Data[[#This Row],[Final_Bill]]&gt;=20000,"Medium","low"))</f>
        <v>low</v>
      </c>
    </row>
    <row r="475" spans="1:20" x14ac:dyDescent="0.3">
      <c r="A475" t="s">
        <v>530</v>
      </c>
      <c r="B475">
        <v>45830</v>
      </c>
      <c r="C475" t="s">
        <v>50</v>
      </c>
      <c r="D475" t="s">
        <v>39</v>
      </c>
      <c r="E475" t="s">
        <v>52</v>
      </c>
      <c r="F475" t="s">
        <v>40</v>
      </c>
      <c r="G475">
        <v>52</v>
      </c>
      <c r="H475" t="s">
        <v>46</v>
      </c>
      <c r="I475" t="s">
        <v>69</v>
      </c>
      <c r="J475" t="s">
        <v>24</v>
      </c>
      <c r="K475">
        <v>5</v>
      </c>
      <c r="L475">
        <v>78032</v>
      </c>
      <c r="M475">
        <v>0</v>
      </c>
      <c r="N475">
        <v>78032</v>
      </c>
      <c r="O475" t="s">
        <v>25</v>
      </c>
      <c r="P475">
        <v>4.2</v>
      </c>
      <c r="Q475">
        <v>117</v>
      </c>
      <c r="R475" t="s">
        <v>1073</v>
      </c>
      <c r="S475">
        <v>6</v>
      </c>
      <c r="T475" t="str">
        <f>IF(Healthcare_Data[[#This Row],[Final_Bill]]&gt;=50000,"High",IF(Healthcare_Data[[#This Row],[Final_Bill]]&gt;=20000,"Medium","low"))</f>
        <v>High</v>
      </c>
    </row>
    <row r="476" spans="1:20" x14ac:dyDescent="0.3">
      <c r="A476" t="s">
        <v>531</v>
      </c>
      <c r="B476">
        <v>45830</v>
      </c>
      <c r="C476" t="s">
        <v>18</v>
      </c>
      <c r="D476" t="s">
        <v>34</v>
      </c>
      <c r="E476" t="s">
        <v>20</v>
      </c>
      <c r="F476" t="s">
        <v>40</v>
      </c>
      <c r="G476">
        <v>55</v>
      </c>
      <c r="H476" t="s">
        <v>56</v>
      </c>
      <c r="I476" t="s">
        <v>23</v>
      </c>
      <c r="J476" t="s">
        <v>58</v>
      </c>
      <c r="K476">
        <v>0</v>
      </c>
      <c r="L476">
        <v>13512</v>
      </c>
      <c r="M476">
        <v>0</v>
      </c>
      <c r="N476">
        <v>13512</v>
      </c>
      <c r="O476" t="s">
        <v>25</v>
      </c>
      <c r="P476">
        <v>2.6</v>
      </c>
      <c r="Q476">
        <v>100</v>
      </c>
      <c r="R476" t="s">
        <v>1073</v>
      </c>
      <c r="S476">
        <v>6</v>
      </c>
      <c r="T476" t="str">
        <f>IF(Healthcare_Data[[#This Row],[Final_Bill]]&gt;=50000,"High",IF(Healthcare_Data[[#This Row],[Final_Bill]]&gt;=20000,"Medium","low"))</f>
        <v>low</v>
      </c>
    </row>
    <row r="477" spans="1:20" x14ac:dyDescent="0.3">
      <c r="A477" t="s">
        <v>532</v>
      </c>
      <c r="B477">
        <v>45830</v>
      </c>
      <c r="C477" t="s">
        <v>50</v>
      </c>
      <c r="D477" t="s">
        <v>34</v>
      </c>
      <c r="E477" t="s">
        <v>20</v>
      </c>
      <c r="F477" t="s">
        <v>40</v>
      </c>
      <c r="G477">
        <v>41</v>
      </c>
      <c r="H477" t="s">
        <v>46</v>
      </c>
      <c r="I477" t="s">
        <v>30</v>
      </c>
      <c r="J477" t="s">
        <v>24</v>
      </c>
      <c r="K477">
        <v>0</v>
      </c>
      <c r="L477">
        <v>16110</v>
      </c>
      <c r="M477">
        <v>500</v>
      </c>
      <c r="N477">
        <v>15610</v>
      </c>
      <c r="O477" t="s">
        <v>25</v>
      </c>
      <c r="P477">
        <v>4.9000000000000004</v>
      </c>
      <c r="Q477">
        <v>43</v>
      </c>
      <c r="R477" t="s">
        <v>1073</v>
      </c>
      <c r="S477">
        <v>6</v>
      </c>
      <c r="T477" t="str">
        <f>IF(Healthcare_Data[[#This Row],[Final_Bill]]&gt;=50000,"High",IF(Healthcare_Data[[#This Row],[Final_Bill]]&gt;=20000,"Medium","low"))</f>
        <v>low</v>
      </c>
    </row>
    <row r="478" spans="1:20" x14ac:dyDescent="0.3">
      <c r="A478" t="s">
        <v>533</v>
      </c>
      <c r="B478">
        <v>45830</v>
      </c>
      <c r="C478" t="s">
        <v>27</v>
      </c>
      <c r="D478" t="s">
        <v>28</v>
      </c>
      <c r="E478" t="s">
        <v>20</v>
      </c>
      <c r="F478" t="s">
        <v>21</v>
      </c>
      <c r="G478">
        <v>52</v>
      </c>
      <c r="H478" t="s">
        <v>65</v>
      </c>
      <c r="I478" t="s">
        <v>69</v>
      </c>
      <c r="J478" t="s">
        <v>58</v>
      </c>
      <c r="K478">
        <v>0</v>
      </c>
      <c r="L478">
        <v>17095</v>
      </c>
      <c r="M478">
        <v>0</v>
      </c>
      <c r="N478">
        <v>17095</v>
      </c>
      <c r="O478" t="s">
        <v>25</v>
      </c>
      <c r="P478">
        <v>4.5999999999999996</v>
      </c>
      <c r="Q478">
        <v>62</v>
      </c>
      <c r="R478" t="s">
        <v>1073</v>
      </c>
      <c r="S478">
        <v>6</v>
      </c>
      <c r="T478" t="str">
        <f>IF(Healthcare_Data[[#This Row],[Final_Bill]]&gt;=50000,"High",IF(Healthcare_Data[[#This Row],[Final_Bill]]&gt;=20000,"Medium","low"))</f>
        <v>low</v>
      </c>
    </row>
    <row r="479" spans="1:20" x14ac:dyDescent="0.3">
      <c r="A479" t="s">
        <v>534</v>
      </c>
      <c r="B479">
        <v>45830</v>
      </c>
      <c r="C479" t="s">
        <v>54</v>
      </c>
      <c r="D479" t="s">
        <v>28</v>
      </c>
      <c r="E479" t="s">
        <v>20</v>
      </c>
      <c r="F479" t="s">
        <v>40</v>
      </c>
      <c r="G479">
        <v>27</v>
      </c>
      <c r="H479" t="s">
        <v>65</v>
      </c>
      <c r="I479" t="s">
        <v>69</v>
      </c>
      <c r="J479" t="s">
        <v>36</v>
      </c>
      <c r="K479">
        <v>0</v>
      </c>
      <c r="L479">
        <v>9479</v>
      </c>
      <c r="M479">
        <v>0</v>
      </c>
      <c r="N479">
        <v>9479</v>
      </c>
      <c r="O479" t="s">
        <v>25</v>
      </c>
      <c r="P479">
        <v>4.4000000000000004</v>
      </c>
      <c r="Q479">
        <v>9</v>
      </c>
      <c r="R479" t="s">
        <v>1073</v>
      </c>
      <c r="S479">
        <v>6</v>
      </c>
      <c r="T479" t="str">
        <f>IF(Healthcare_Data[[#This Row],[Final_Bill]]&gt;=50000,"High",IF(Healthcare_Data[[#This Row],[Final_Bill]]&gt;=20000,"Medium","low"))</f>
        <v>low</v>
      </c>
    </row>
    <row r="480" spans="1:20" x14ac:dyDescent="0.3">
      <c r="A480" t="s">
        <v>535</v>
      </c>
      <c r="B480">
        <v>45830</v>
      </c>
      <c r="C480" t="s">
        <v>27</v>
      </c>
      <c r="D480" t="s">
        <v>39</v>
      </c>
      <c r="E480" t="s">
        <v>20</v>
      </c>
      <c r="F480" t="s">
        <v>40</v>
      </c>
      <c r="G480">
        <v>31</v>
      </c>
      <c r="H480" t="s">
        <v>22</v>
      </c>
      <c r="I480" t="s">
        <v>42</v>
      </c>
      <c r="J480" t="s">
        <v>31</v>
      </c>
      <c r="K480">
        <v>0</v>
      </c>
      <c r="L480">
        <v>14212</v>
      </c>
      <c r="M480">
        <v>0</v>
      </c>
      <c r="N480">
        <v>14212</v>
      </c>
      <c r="O480" t="s">
        <v>25</v>
      </c>
      <c r="P480">
        <v>4.5</v>
      </c>
      <c r="Q480">
        <v>80</v>
      </c>
      <c r="R480" t="s">
        <v>1073</v>
      </c>
      <c r="S480">
        <v>6</v>
      </c>
      <c r="T480" t="str">
        <f>IF(Healthcare_Data[[#This Row],[Final_Bill]]&gt;=50000,"High",IF(Healthcare_Data[[#This Row],[Final_Bill]]&gt;=20000,"Medium","low"))</f>
        <v>low</v>
      </c>
    </row>
    <row r="481" spans="1:20" x14ac:dyDescent="0.3">
      <c r="A481" t="s">
        <v>536</v>
      </c>
      <c r="B481">
        <v>45831</v>
      </c>
      <c r="C481" t="s">
        <v>18</v>
      </c>
      <c r="D481" t="s">
        <v>28</v>
      </c>
      <c r="E481" t="s">
        <v>52</v>
      </c>
      <c r="F481" t="s">
        <v>21</v>
      </c>
      <c r="G481">
        <v>75</v>
      </c>
      <c r="H481" t="s">
        <v>29</v>
      </c>
      <c r="I481" t="s">
        <v>57</v>
      </c>
      <c r="J481" t="s">
        <v>58</v>
      </c>
      <c r="K481">
        <v>13</v>
      </c>
      <c r="L481">
        <v>16095</v>
      </c>
      <c r="M481">
        <v>500</v>
      </c>
      <c r="N481">
        <v>15595</v>
      </c>
      <c r="O481" t="s">
        <v>32</v>
      </c>
      <c r="P481">
        <v>2.7</v>
      </c>
      <c r="Q481">
        <v>50</v>
      </c>
      <c r="R481" t="s">
        <v>1073</v>
      </c>
      <c r="S481">
        <v>6</v>
      </c>
      <c r="T481" t="str">
        <f>IF(Healthcare_Data[[#This Row],[Final_Bill]]&gt;=50000,"High",IF(Healthcare_Data[[#This Row],[Final_Bill]]&gt;=20000,"Medium","low"))</f>
        <v>low</v>
      </c>
    </row>
    <row r="482" spans="1:20" x14ac:dyDescent="0.3">
      <c r="A482" t="s">
        <v>537</v>
      </c>
      <c r="B482">
        <v>45831</v>
      </c>
      <c r="C482" t="s">
        <v>50</v>
      </c>
      <c r="D482" t="s">
        <v>28</v>
      </c>
      <c r="E482" t="s">
        <v>20</v>
      </c>
      <c r="F482" t="s">
        <v>40</v>
      </c>
      <c r="G482">
        <v>18</v>
      </c>
      <c r="H482" t="s">
        <v>41</v>
      </c>
      <c r="I482" t="s">
        <v>57</v>
      </c>
      <c r="J482" t="s">
        <v>24</v>
      </c>
      <c r="K482">
        <v>0</v>
      </c>
      <c r="L482">
        <v>17795</v>
      </c>
      <c r="M482">
        <v>1500</v>
      </c>
      <c r="N482">
        <v>16295</v>
      </c>
      <c r="O482" t="s">
        <v>25</v>
      </c>
      <c r="P482">
        <v>2.7</v>
      </c>
      <c r="Q482">
        <v>118</v>
      </c>
      <c r="R482" t="s">
        <v>1073</v>
      </c>
      <c r="S482">
        <v>6</v>
      </c>
      <c r="T482" t="str">
        <f>IF(Healthcare_Data[[#This Row],[Final_Bill]]&gt;=50000,"High",IF(Healthcare_Data[[#This Row],[Final_Bill]]&gt;=20000,"Medium","low"))</f>
        <v>low</v>
      </c>
    </row>
    <row r="483" spans="1:20" x14ac:dyDescent="0.3">
      <c r="A483" t="s">
        <v>538</v>
      </c>
      <c r="B483">
        <v>45832</v>
      </c>
      <c r="C483" t="s">
        <v>48</v>
      </c>
      <c r="D483" t="s">
        <v>39</v>
      </c>
      <c r="E483" t="s">
        <v>20</v>
      </c>
      <c r="F483" t="s">
        <v>40</v>
      </c>
      <c r="G483">
        <v>70</v>
      </c>
      <c r="H483" t="s">
        <v>35</v>
      </c>
      <c r="I483" t="s">
        <v>63</v>
      </c>
      <c r="J483" t="s">
        <v>24</v>
      </c>
      <c r="K483">
        <v>0</v>
      </c>
      <c r="L483">
        <v>13920</v>
      </c>
      <c r="M483">
        <v>1000</v>
      </c>
      <c r="N483">
        <v>12920</v>
      </c>
      <c r="O483" t="s">
        <v>25</v>
      </c>
      <c r="P483">
        <v>4.5999999999999996</v>
      </c>
      <c r="Q483">
        <v>49</v>
      </c>
      <c r="R483" t="s">
        <v>1073</v>
      </c>
      <c r="S483">
        <v>6</v>
      </c>
      <c r="T483" t="str">
        <f>IF(Healthcare_Data[[#This Row],[Final_Bill]]&gt;=50000,"High",IF(Healthcare_Data[[#This Row],[Final_Bill]]&gt;=20000,"Medium","low"))</f>
        <v>low</v>
      </c>
    </row>
    <row r="484" spans="1:20" x14ac:dyDescent="0.3">
      <c r="A484" t="s">
        <v>539</v>
      </c>
      <c r="B484">
        <v>45833</v>
      </c>
      <c r="C484" t="s">
        <v>50</v>
      </c>
      <c r="D484" t="s">
        <v>34</v>
      </c>
      <c r="E484" t="s">
        <v>20</v>
      </c>
      <c r="F484" t="s">
        <v>21</v>
      </c>
      <c r="G484">
        <v>49</v>
      </c>
      <c r="H484" t="s">
        <v>115</v>
      </c>
      <c r="I484" t="s">
        <v>30</v>
      </c>
      <c r="J484" t="s">
        <v>31</v>
      </c>
      <c r="K484">
        <v>0</v>
      </c>
      <c r="L484">
        <v>16939</v>
      </c>
      <c r="M484">
        <v>2000</v>
      </c>
      <c r="N484">
        <v>14939</v>
      </c>
      <c r="O484" t="s">
        <v>25</v>
      </c>
      <c r="P484">
        <v>4.5</v>
      </c>
      <c r="Q484">
        <v>32</v>
      </c>
      <c r="R484" t="s">
        <v>1073</v>
      </c>
      <c r="S484">
        <v>6</v>
      </c>
      <c r="T484" t="str">
        <f>IF(Healthcare_Data[[#This Row],[Final_Bill]]&gt;=50000,"High",IF(Healthcare_Data[[#This Row],[Final_Bill]]&gt;=20000,"Medium","low"))</f>
        <v>low</v>
      </c>
    </row>
    <row r="485" spans="1:20" x14ac:dyDescent="0.3">
      <c r="A485" t="s">
        <v>540</v>
      </c>
      <c r="B485">
        <v>45833</v>
      </c>
      <c r="C485" t="s">
        <v>50</v>
      </c>
      <c r="D485" t="s">
        <v>51</v>
      </c>
      <c r="E485" t="s">
        <v>20</v>
      </c>
      <c r="F485" t="s">
        <v>40</v>
      </c>
      <c r="G485">
        <v>49</v>
      </c>
      <c r="H485" t="s">
        <v>41</v>
      </c>
      <c r="I485" t="s">
        <v>57</v>
      </c>
      <c r="J485" t="s">
        <v>24</v>
      </c>
      <c r="K485">
        <v>0</v>
      </c>
      <c r="L485">
        <v>8994</v>
      </c>
      <c r="M485">
        <v>500</v>
      </c>
      <c r="N485">
        <v>8494</v>
      </c>
      <c r="O485" t="s">
        <v>59</v>
      </c>
      <c r="P485">
        <v>2.5</v>
      </c>
      <c r="Q485">
        <v>112</v>
      </c>
      <c r="R485" t="s">
        <v>1073</v>
      </c>
      <c r="S485">
        <v>6</v>
      </c>
      <c r="T485" t="str">
        <f>IF(Healthcare_Data[[#This Row],[Final_Bill]]&gt;=50000,"High",IF(Healthcare_Data[[#This Row],[Final_Bill]]&gt;=20000,"Medium","low"))</f>
        <v>low</v>
      </c>
    </row>
    <row r="486" spans="1:20" x14ac:dyDescent="0.3">
      <c r="A486" t="s">
        <v>541</v>
      </c>
      <c r="B486">
        <v>45834</v>
      </c>
      <c r="C486" t="s">
        <v>27</v>
      </c>
      <c r="D486" t="s">
        <v>28</v>
      </c>
      <c r="E486" t="s">
        <v>52</v>
      </c>
      <c r="F486" t="s">
        <v>40</v>
      </c>
      <c r="G486">
        <v>52</v>
      </c>
      <c r="H486" t="s">
        <v>41</v>
      </c>
      <c r="I486" t="s">
        <v>23</v>
      </c>
      <c r="J486" t="s">
        <v>24</v>
      </c>
      <c r="K486">
        <v>4</v>
      </c>
      <c r="L486">
        <v>53031</v>
      </c>
      <c r="M486">
        <v>1500</v>
      </c>
      <c r="N486">
        <v>51531</v>
      </c>
      <c r="O486" t="s">
        <v>25</v>
      </c>
      <c r="P486">
        <v>3.3</v>
      </c>
      <c r="Q486">
        <v>93</v>
      </c>
      <c r="R486" t="s">
        <v>1073</v>
      </c>
      <c r="S486">
        <v>6</v>
      </c>
      <c r="T486" t="str">
        <f>IF(Healthcare_Data[[#This Row],[Final_Bill]]&gt;=50000,"High",IF(Healthcare_Data[[#This Row],[Final_Bill]]&gt;=20000,"Medium","low"))</f>
        <v>High</v>
      </c>
    </row>
    <row r="487" spans="1:20" x14ac:dyDescent="0.3">
      <c r="A487" t="s">
        <v>542</v>
      </c>
      <c r="B487">
        <v>45834</v>
      </c>
      <c r="C487" t="s">
        <v>44</v>
      </c>
      <c r="D487" t="s">
        <v>19</v>
      </c>
      <c r="E487" t="s">
        <v>20</v>
      </c>
      <c r="F487" t="s">
        <v>40</v>
      </c>
      <c r="G487">
        <v>32</v>
      </c>
      <c r="H487" t="s">
        <v>56</v>
      </c>
      <c r="I487" t="s">
        <v>57</v>
      </c>
      <c r="J487" t="s">
        <v>58</v>
      </c>
      <c r="K487">
        <v>0</v>
      </c>
      <c r="L487">
        <v>15602</v>
      </c>
      <c r="M487">
        <v>0</v>
      </c>
      <c r="N487">
        <v>15602</v>
      </c>
      <c r="O487" t="s">
        <v>25</v>
      </c>
      <c r="P487">
        <v>4.5</v>
      </c>
      <c r="Q487">
        <v>82</v>
      </c>
      <c r="R487" t="s">
        <v>1073</v>
      </c>
      <c r="S487">
        <v>6</v>
      </c>
      <c r="T487" t="str">
        <f>IF(Healthcare_Data[[#This Row],[Final_Bill]]&gt;=50000,"High",IF(Healthcare_Data[[#This Row],[Final_Bill]]&gt;=20000,"Medium","low"))</f>
        <v>low</v>
      </c>
    </row>
    <row r="488" spans="1:20" x14ac:dyDescent="0.3">
      <c r="A488" t="s">
        <v>543</v>
      </c>
      <c r="B488">
        <v>45834</v>
      </c>
      <c r="C488" t="s">
        <v>44</v>
      </c>
      <c r="D488" t="s">
        <v>39</v>
      </c>
      <c r="E488" t="s">
        <v>20</v>
      </c>
      <c r="F488" t="s">
        <v>21</v>
      </c>
      <c r="G488">
        <v>22</v>
      </c>
      <c r="H488" t="s">
        <v>41</v>
      </c>
      <c r="I488" t="s">
        <v>61</v>
      </c>
      <c r="J488" t="s">
        <v>31</v>
      </c>
      <c r="K488">
        <v>0</v>
      </c>
      <c r="L488">
        <v>11771</v>
      </c>
      <c r="M488">
        <v>1000</v>
      </c>
      <c r="N488">
        <v>10771</v>
      </c>
      <c r="O488" t="s">
        <v>25</v>
      </c>
      <c r="P488">
        <v>4.7</v>
      </c>
      <c r="Q488">
        <v>66</v>
      </c>
      <c r="R488" t="s">
        <v>1073</v>
      </c>
      <c r="S488">
        <v>6</v>
      </c>
      <c r="T488" t="str">
        <f>IF(Healthcare_Data[[#This Row],[Final_Bill]]&gt;=50000,"High",IF(Healthcare_Data[[#This Row],[Final_Bill]]&gt;=20000,"Medium","low"))</f>
        <v>low</v>
      </c>
    </row>
    <row r="489" spans="1:20" x14ac:dyDescent="0.3">
      <c r="A489" t="s">
        <v>544</v>
      </c>
      <c r="B489">
        <v>45834</v>
      </c>
      <c r="C489" t="s">
        <v>18</v>
      </c>
      <c r="D489" t="s">
        <v>34</v>
      </c>
      <c r="E489" t="s">
        <v>20</v>
      </c>
      <c r="F489" t="s">
        <v>21</v>
      </c>
      <c r="G489">
        <v>25</v>
      </c>
      <c r="H489" t="s">
        <v>56</v>
      </c>
      <c r="I489" t="s">
        <v>69</v>
      </c>
      <c r="J489" t="s">
        <v>24</v>
      </c>
      <c r="K489">
        <v>0</v>
      </c>
      <c r="L489">
        <v>2980</v>
      </c>
      <c r="M489">
        <v>0</v>
      </c>
      <c r="N489">
        <v>2980</v>
      </c>
      <c r="O489" t="s">
        <v>59</v>
      </c>
      <c r="P489">
        <v>4.9000000000000004</v>
      </c>
      <c r="Q489">
        <v>62</v>
      </c>
      <c r="R489" t="s">
        <v>1073</v>
      </c>
      <c r="S489">
        <v>6</v>
      </c>
      <c r="T489" t="str">
        <f>IF(Healthcare_Data[[#This Row],[Final_Bill]]&gt;=50000,"High",IF(Healthcare_Data[[#This Row],[Final_Bill]]&gt;=20000,"Medium","low"))</f>
        <v>low</v>
      </c>
    </row>
    <row r="490" spans="1:20" x14ac:dyDescent="0.3">
      <c r="A490" t="s">
        <v>545</v>
      </c>
      <c r="B490">
        <v>45835</v>
      </c>
      <c r="C490" t="s">
        <v>48</v>
      </c>
      <c r="D490" t="s">
        <v>19</v>
      </c>
      <c r="E490" t="s">
        <v>20</v>
      </c>
      <c r="F490" t="s">
        <v>40</v>
      </c>
      <c r="G490">
        <v>40</v>
      </c>
      <c r="H490" t="s">
        <v>65</v>
      </c>
      <c r="I490" t="s">
        <v>63</v>
      </c>
      <c r="J490" t="s">
        <v>58</v>
      </c>
      <c r="K490">
        <v>0</v>
      </c>
      <c r="L490">
        <v>11395</v>
      </c>
      <c r="M490">
        <v>1000</v>
      </c>
      <c r="N490">
        <v>10395</v>
      </c>
      <c r="O490" t="s">
        <v>25</v>
      </c>
      <c r="P490">
        <v>4.4000000000000004</v>
      </c>
      <c r="Q490">
        <v>46</v>
      </c>
      <c r="R490" t="s">
        <v>1073</v>
      </c>
      <c r="S490">
        <v>6</v>
      </c>
      <c r="T490" t="str">
        <f>IF(Healthcare_Data[[#This Row],[Final_Bill]]&gt;=50000,"High",IF(Healthcare_Data[[#This Row],[Final_Bill]]&gt;=20000,"Medium","low"))</f>
        <v>low</v>
      </c>
    </row>
    <row r="491" spans="1:20" x14ac:dyDescent="0.3">
      <c r="A491" t="s">
        <v>546</v>
      </c>
      <c r="B491">
        <v>45835</v>
      </c>
      <c r="C491" t="s">
        <v>50</v>
      </c>
      <c r="D491" t="s">
        <v>34</v>
      </c>
      <c r="E491" t="s">
        <v>52</v>
      </c>
      <c r="F491" t="s">
        <v>21</v>
      </c>
      <c r="G491">
        <v>31</v>
      </c>
      <c r="H491" t="s">
        <v>65</v>
      </c>
      <c r="I491" t="s">
        <v>23</v>
      </c>
      <c r="J491" t="s">
        <v>24</v>
      </c>
      <c r="K491">
        <v>14</v>
      </c>
      <c r="L491">
        <v>56787</v>
      </c>
      <c r="M491">
        <v>0</v>
      </c>
      <c r="N491">
        <v>56787</v>
      </c>
      <c r="O491" t="s">
        <v>32</v>
      </c>
      <c r="P491">
        <v>4.9000000000000004</v>
      </c>
      <c r="Q491">
        <v>77</v>
      </c>
      <c r="R491" t="s">
        <v>1073</v>
      </c>
      <c r="S491">
        <v>6</v>
      </c>
      <c r="T491" t="str">
        <f>IF(Healthcare_Data[[#This Row],[Final_Bill]]&gt;=50000,"High",IF(Healthcare_Data[[#This Row],[Final_Bill]]&gt;=20000,"Medium","low"))</f>
        <v>High</v>
      </c>
    </row>
    <row r="492" spans="1:20" x14ac:dyDescent="0.3">
      <c r="A492" t="s">
        <v>547</v>
      </c>
      <c r="B492">
        <v>45836</v>
      </c>
      <c r="C492" t="s">
        <v>44</v>
      </c>
      <c r="D492" t="s">
        <v>28</v>
      </c>
      <c r="E492" t="s">
        <v>20</v>
      </c>
      <c r="F492" t="s">
        <v>40</v>
      </c>
      <c r="G492">
        <v>30</v>
      </c>
      <c r="H492" t="s">
        <v>65</v>
      </c>
      <c r="I492" t="s">
        <v>30</v>
      </c>
      <c r="J492" t="s">
        <v>24</v>
      </c>
      <c r="K492">
        <v>0</v>
      </c>
      <c r="L492">
        <v>19714</v>
      </c>
      <c r="M492">
        <v>1000</v>
      </c>
      <c r="N492">
        <v>18714</v>
      </c>
      <c r="O492" t="s">
        <v>25</v>
      </c>
      <c r="P492">
        <v>3.5</v>
      </c>
      <c r="Q492">
        <v>90</v>
      </c>
      <c r="R492" t="s">
        <v>1073</v>
      </c>
      <c r="S492">
        <v>6</v>
      </c>
      <c r="T492" t="str">
        <f>IF(Healthcare_Data[[#This Row],[Final_Bill]]&gt;=50000,"High",IF(Healthcare_Data[[#This Row],[Final_Bill]]&gt;=20000,"Medium","low"))</f>
        <v>low</v>
      </c>
    </row>
    <row r="493" spans="1:20" x14ac:dyDescent="0.3">
      <c r="A493" t="s">
        <v>548</v>
      </c>
      <c r="B493">
        <v>45836</v>
      </c>
      <c r="C493" t="s">
        <v>48</v>
      </c>
      <c r="D493" t="s">
        <v>19</v>
      </c>
      <c r="E493" t="s">
        <v>20</v>
      </c>
      <c r="F493" t="s">
        <v>21</v>
      </c>
      <c r="G493">
        <v>65</v>
      </c>
      <c r="H493" t="s">
        <v>35</v>
      </c>
      <c r="I493" t="s">
        <v>30</v>
      </c>
      <c r="J493" t="s">
        <v>58</v>
      </c>
      <c r="K493">
        <v>0</v>
      </c>
      <c r="L493">
        <v>6789</v>
      </c>
      <c r="M493">
        <v>1500</v>
      </c>
      <c r="N493">
        <v>5289</v>
      </c>
      <c r="O493" t="s">
        <v>59</v>
      </c>
      <c r="P493">
        <v>3.8</v>
      </c>
      <c r="Q493">
        <v>88</v>
      </c>
      <c r="R493" t="s">
        <v>1073</v>
      </c>
      <c r="S493">
        <v>6</v>
      </c>
      <c r="T493" t="str">
        <f>IF(Healthcare_Data[[#This Row],[Final_Bill]]&gt;=50000,"High",IF(Healthcare_Data[[#This Row],[Final_Bill]]&gt;=20000,"Medium","low"))</f>
        <v>low</v>
      </c>
    </row>
    <row r="494" spans="1:20" x14ac:dyDescent="0.3">
      <c r="A494" t="s">
        <v>549</v>
      </c>
      <c r="B494">
        <v>45837</v>
      </c>
      <c r="C494" t="s">
        <v>50</v>
      </c>
      <c r="D494" t="s">
        <v>34</v>
      </c>
      <c r="E494" t="s">
        <v>20</v>
      </c>
      <c r="F494" t="s">
        <v>21</v>
      </c>
      <c r="G494">
        <v>59</v>
      </c>
      <c r="H494" t="s">
        <v>65</v>
      </c>
      <c r="I494" t="s">
        <v>63</v>
      </c>
      <c r="J494" t="s">
        <v>31</v>
      </c>
      <c r="K494">
        <v>0</v>
      </c>
      <c r="L494">
        <v>13800</v>
      </c>
      <c r="M494">
        <v>500</v>
      </c>
      <c r="N494">
        <v>13300</v>
      </c>
      <c r="O494" t="s">
        <v>25</v>
      </c>
      <c r="P494">
        <v>3.9</v>
      </c>
      <c r="Q494">
        <v>9</v>
      </c>
      <c r="R494" t="s">
        <v>1073</v>
      </c>
      <c r="S494">
        <v>6</v>
      </c>
      <c r="T494" t="str">
        <f>IF(Healthcare_Data[[#This Row],[Final_Bill]]&gt;=50000,"High",IF(Healthcare_Data[[#This Row],[Final_Bill]]&gt;=20000,"Medium","low"))</f>
        <v>low</v>
      </c>
    </row>
    <row r="495" spans="1:20" x14ac:dyDescent="0.3">
      <c r="A495" t="s">
        <v>550</v>
      </c>
      <c r="B495">
        <v>45837</v>
      </c>
      <c r="C495" t="s">
        <v>67</v>
      </c>
      <c r="D495" t="s">
        <v>28</v>
      </c>
      <c r="E495" t="s">
        <v>54</v>
      </c>
      <c r="F495" t="s">
        <v>40</v>
      </c>
      <c r="G495">
        <v>33</v>
      </c>
      <c r="H495" t="s">
        <v>22</v>
      </c>
      <c r="I495" t="s">
        <v>72</v>
      </c>
      <c r="J495" t="s">
        <v>58</v>
      </c>
      <c r="K495">
        <v>0</v>
      </c>
      <c r="L495">
        <v>35328</v>
      </c>
      <c r="M495">
        <v>2000</v>
      </c>
      <c r="N495">
        <v>33328</v>
      </c>
      <c r="O495" t="s">
        <v>25</v>
      </c>
      <c r="P495">
        <v>4.2</v>
      </c>
      <c r="Q495">
        <v>22</v>
      </c>
      <c r="R495" t="s">
        <v>1073</v>
      </c>
      <c r="S495">
        <v>6</v>
      </c>
      <c r="T495" t="str">
        <f>IF(Healthcare_Data[[#This Row],[Final_Bill]]&gt;=50000,"High",IF(Healthcare_Data[[#This Row],[Final_Bill]]&gt;=20000,"Medium","low"))</f>
        <v>Medium</v>
      </c>
    </row>
    <row r="496" spans="1:20" x14ac:dyDescent="0.3">
      <c r="A496" t="s">
        <v>551</v>
      </c>
      <c r="B496">
        <v>45837</v>
      </c>
      <c r="C496" t="s">
        <v>38</v>
      </c>
      <c r="D496" t="s">
        <v>51</v>
      </c>
      <c r="E496" t="s">
        <v>52</v>
      </c>
      <c r="F496" t="s">
        <v>21</v>
      </c>
      <c r="G496">
        <v>71</v>
      </c>
      <c r="H496" t="s">
        <v>65</v>
      </c>
      <c r="I496" t="s">
        <v>69</v>
      </c>
      <c r="J496" t="s">
        <v>31</v>
      </c>
      <c r="K496">
        <v>7</v>
      </c>
      <c r="L496">
        <v>64394</v>
      </c>
      <c r="M496">
        <v>0</v>
      </c>
      <c r="N496">
        <v>64394</v>
      </c>
      <c r="O496" t="s">
        <v>25</v>
      </c>
      <c r="P496">
        <v>4.9000000000000004</v>
      </c>
      <c r="Q496">
        <v>63</v>
      </c>
      <c r="R496" t="s">
        <v>1073</v>
      </c>
      <c r="S496">
        <v>6</v>
      </c>
      <c r="T496" t="str">
        <f>IF(Healthcare_Data[[#This Row],[Final_Bill]]&gt;=50000,"High",IF(Healthcare_Data[[#This Row],[Final_Bill]]&gt;=20000,"Medium","low"))</f>
        <v>High</v>
      </c>
    </row>
    <row r="497" spans="1:20" x14ac:dyDescent="0.3">
      <c r="A497" t="s">
        <v>552</v>
      </c>
      <c r="B497">
        <v>45837</v>
      </c>
      <c r="C497" t="s">
        <v>38</v>
      </c>
      <c r="D497" t="s">
        <v>28</v>
      </c>
      <c r="E497" t="s">
        <v>52</v>
      </c>
      <c r="F497" t="s">
        <v>21</v>
      </c>
      <c r="G497">
        <v>77</v>
      </c>
      <c r="H497" t="s">
        <v>29</v>
      </c>
      <c r="I497" t="s">
        <v>42</v>
      </c>
      <c r="J497" t="s">
        <v>24</v>
      </c>
      <c r="K497">
        <v>4</v>
      </c>
      <c r="L497">
        <v>38572</v>
      </c>
      <c r="M497">
        <v>0</v>
      </c>
      <c r="N497">
        <v>38572</v>
      </c>
      <c r="O497" t="s">
        <v>25</v>
      </c>
      <c r="P497">
        <v>2.7</v>
      </c>
      <c r="Q497">
        <v>78</v>
      </c>
      <c r="R497" t="s">
        <v>1073</v>
      </c>
      <c r="S497">
        <v>6</v>
      </c>
      <c r="T497" t="str">
        <f>IF(Healthcare_Data[[#This Row],[Final_Bill]]&gt;=50000,"High",IF(Healthcare_Data[[#This Row],[Final_Bill]]&gt;=20000,"Medium","low"))</f>
        <v>Medium</v>
      </c>
    </row>
    <row r="498" spans="1:20" x14ac:dyDescent="0.3">
      <c r="A498" t="s">
        <v>553</v>
      </c>
      <c r="B498">
        <v>45837</v>
      </c>
      <c r="C498" t="s">
        <v>50</v>
      </c>
      <c r="D498" t="s">
        <v>19</v>
      </c>
      <c r="E498" t="s">
        <v>20</v>
      </c>
      <c r="F498" t="s">
        <v>21</v>
      </c>
      <c r="G498">
        <v>23</v>
      </c>
      <c r="H498" t="s">
        <v>56</v>
      </c>
      <c r="I498" t="s">
        <v>72</v>
      </c>
      <c r="J498" t="s">
        <v>24</v>
      </c>
      <c r="K498">
        <v>0</v>
      </c>
      <c r="L498">
        <v>5380</v>
      </c>
      <c r="M498">
        <v>0</v>
      </c>
      <c r="N498">
        <v>5380</v>
      </c>
      <c r="O498" t="s">
        <v>25</v>
      </c>
      <c r="P498">
        <v>4.2</v>
      </c>
      <c r="Q498">
        <v>50</v>
      </c>
      <c r="R498" t="s">
        <v>1073</v>
      </c>
      <c r="S498">
        <v>6</v>
      </c>
      <c r="T498" t="str">
        <f>IF(Healthcare_Data[[#This Row],[Final_Bill]]&gt;=50000,"High",IF(Healthcare_Data[[#This Row],[Final_Bill]]&gt;=20000,"Medium","low"))</f>
        <v>low</v>
      </c>
    </row>
    <row r="499" spans="1:20" x14ac:dyDescent="0.3">
      <c r="A499" t="s">
        <v>554</v>
      </c>
      <c r="B499">
        <v>45838</v>
      </c>
      <c r="C499" t="s">
        <v>48</v>
      </c>
      <c r="D499" t="s">
        <v>51</v>
      </c>
      <c r="E499" t="s">
        <v>52</v>
      </c>
      <c r="F499" t="s">
        <v>21</v>
      </c>
      <c r="G499">
        <v>52</v>
      </c>
      <c r="H499" t="s">
        <v>29</v>
      </c>
      <c r="I499" t="s">
        <v>30</v>
      </c>
      <c r="J499" t="s">
        <v>36</v>
      </c>
      <c r="K499">
        <v>7</v>
      </c>
      <c r="L499">
        <v>60948</v>
      </c>
      <c r="M499">
        <v>1000</v>
      </c>
      <c r="N499">
        <v>59948</v>
      </c>
      <c r="O499" t="s">
        <v>32</v>
      </c>
      <c r="P499">
        <v>4</v>
      </c>
      <c r="Q499">
        <v>18</v>
      </c>
      <c r="R499" t="s">
        <v>1073</v>
      </c>
      <c r="S499">
        <v>6</v>
      </c>
      <c r="T499" t="str">
        <f>IF(Healthcare_Data[[#This Row],[Final_Bill]]&gt;=50000,"High",IF(Healthcare_Data[[#This Row],[Final_Bill]]&gt;=20000,"Medium","low"))</f>
        <v>High</v>
      </c>
    </row>
    <row r="500" spans="1:20" x14ac:dyDescent="0.3">
      <c r="A500" t="s">
        <v>555</v>
      </c>
      <c r="B500">
        <v>45838</v>
      </c>
      <c r="C500" t="s">
        <v>38</v>
      </c>
      <c r="D500" t="s">
        <v>51</v>
      </c>
      <c r="E500" t="s">
        <v>20</v>
      </c>
      <c r="F500" t="s">
        <v>40</v>
      </c>
      <c r="G500">
        <v>18</v>
      </c>
      <c r="H500" t="s">
        <v>46</v>
      </c>
      <c r="I500" t="s">
        <v>42</v>
      </c>
      <c r="J500" t="s">
        <v>24</v>
      </c>
      <c r="K500">
        <v>0</v>
      </c>
      <c r="L500">
        <v>2541</v>
      </c>
      <c r="M500">
        <v>0</v>
      </c>
      <c r="N500">
        <v>2541</v>
      </c>
      <c r="O500" t="s">
        <v>25</v>
      </c>
      <c r="P500">
        <v>4.4000000000000004</v>
      </c>
      <c r="Q500">
        <v>107</v>
      </c>
      <c r="R500" t="s">
        <v>1073</v>
      </c>
      <c r="S500">
        <v>6</v>
      </c>
      <c r="T500" t="str">
        <f>IF(Healthcare_Data[[#This Row],[Final_Bill]]&gt;=50000,"High",IF(Healthcare_Data[[#This Row],[Final_Bill]]&gt;=20000,"Medium","low"))</f>
        <v>low</v>
      </c>
    </row>
    <row r="501" spans="1:20" x14ac:dyDescent="0.3">
      <c r="A501" t="s">
        <v>556</v>
      </c>
      <c r="B501">
        <v>45839</v>
      </c>
      <c r="C501" t="s">
        <v>54</v>
      </c>
      <c r="D501" t="s">
        <v>39</v>
      </c>
      <c r="E501" t="s">
        <v>54</v>
      </c>
      <c r="F501" t="s">
        <v>21</v>
      </c>
      <c r="G501">
        <v>59</v>
      </c>
      <c r="H501" t="s">
        <v>41</v>
      </c>
      <c r="I501" t="s">
        <v>69</v>
      </c>
      <c r="J501" t="s">
        <v>58</v>
      </c>
      <c r="K501">
        <v>0</v>
      </c>
      <c r="L501">
        <v>37545</v>
      </c>
      <c r="M501">
        <v>0</v>
      </c>
      <c r="N501">
        <v>37545</v>
      </c>
      <c r="O501" t="s">
        <v>25</v>
      </c>
      <c r="P501">
        <v>4.8</v>
      </c>
      <c r="Q501">
        <v>59</v>
      </c>
      <c r="R501" t="s">
        <v>1074</v>
      </c>
      <c r="S501">
        <v>7</v>
      </c>
      <c r="T501" t="str">
        <f>IF(Healthcare_Data[[#This Row],[Final_Bill]]&gt;=50000,"High",IF(Healthcare_Data[[#This Row],[Final_Bill]]&gt;=20000,"Medium","low"))</f>
        <v>Medium</v>
      </c>
    </row>
    <row r="502" spans="1:20" x14ac:dyDescent="0.3">
      <c r="A502" t="s">
        <v>557</v>
      </c>
      <c r="B502">
        <v>45840</v>
      </c>
      <c r="C502" t="s">
        <v>38</v>
      </c>
      <c r="D502" t="s">
        <v>51</v>
      </c>
      <c r="E502" t="s">
        <v>20</v>
      </c>
      <c r="F502" t="s">
        <v>40</v>
      </c>
      <c r="G502">
        <v>35</v>
      </c>
      <c r="H502" t="s">
        <v>29</v>
      </c>
      <c r="I502" t="s">
        <v>23</v>
      </c>
      <c r="J502" t="s">
        <v>58</v>
      </c>
      <c r="K502">
        <v>0</v>
      </c>
      <c r="L502">
        <v>16183</v>
      </c>
      <c r="M502">
        <v>1500</v>
      </c>
      <c r="N502">
        <v>14683</v>
      </c>
      <c r="O502" t="s">
        <v>25</v>
      </c>
      <c r="P502">
        <v>4</v>
      </c>
      <c r="Q502">
        <v>111</v>
      </c>
      <c r="R502" t="s">
        <v>1074</v>
      </c>
      <c r="S502">
        <v>7</v>
      </c>
      <c r="T502" t="str">
        <f>IF(Healthcare_Data[[#This Row],[Final_Bill]]&gt;=50000,"High",IF(Healthcare_Data[[#This Row],[Final_Bill]]&gt;=20000,"Medium","low"))</f>
        <v>low</v>
      </c>
    </row>
    <row r="503" spans="1:20" x14ac:dyDescent="0.3">
      <c r="A503" t="s">
        <v>558</v>
      </c>
      <c r="B503">
        <v>45840</v>
      </c>
      <c r="C503" t="s">
        <v>67</v>
      </c>
      <c r="D503" t="s">
        <v>28</v>
      </c>
      <c r="E503" t="s">
        <v>52</v>
      </c>
      <c r="F503" t="s">
        <v>40</v>
      </c>
      <c r="G503">
        <v>21</v>
      </c>
      <c r="H503" t="s">
        <v>115</v>
      </c>
      <c r="I503" t="s">
        <v>30</v>
      </c>
      <c r="J503" t="s">
        <v>58</v>
      </c>
      <c r="K503">
        <v>5</v>
      </c>
      <c r="L503">
        <v>79680</v>
      </c>
      <c r="M503">
        <v>2000</v>
      </c>
      <c r="N503">
        <v>77680</v>
      </c>
      <c r="O503" t="s">
        <v>25</v>
      </c>
      <c r="P503">
        <v>4.5</v>
      </c>
      <c r="Q503">
        <v>43</v>
      </c>
      <c r="R503" t="s">
        <v>1074</v>
      </c>
      <c r="S503">
        <v>7</v>
      </c>
      <c r="T503" t="str">
        <f>IF(Healthcare_Data[[#This Row],[Final_Bill]]&gt;=50000,"High",IF(Healthcare_Data[[#This Row],[Final_Bill]]&gt;=20000,"Medium","low"))</f>
        <v>High</v>
      </c>
    </row>
    <row r="504" spans="1:20" x14ac:dyDescent="0.3">
      <c r="A504" t="s">
        <v>559</v>
      </c>
      <c r="B504">
        <v>45841</v>
      </c>
      <c r="C504" t="s">
        <v>44</v>
      </c>
      <c r="D504" t="s">
        <v>34</v>
      </c>
      <c r="E504" t="s">
        <v>52</v>
      </c>
      <c r="F504" t="s">
        <v>21</v>
      </c>
      <c r="G504">
        <v>36</v>
      </c>
      <c r="H504" t="s">
        <v>22</v>
      </c>
      <c r="I504" t="s">
        <v>72</v>
      </c>
      <c r="J504" t="s">
        <v>24</v>
      </c>
      <c r="K504">
        <v>12</v>
      </c>
      <c r="L504">
        <v>45990</v>
      </c>
      <c r="M504">
        <v>1000</v>
      </c>
      <c r="N504">
        <v>44990</v>
      </c>
      <c r="O504" t="s">
        <v>25</v>
      </c>
      <c r="P504">
        <v>3</v>
      </c>
      <c r="Q504">
        <v>10</v>
      </c>
      <c r="R504" t="s">
        <v>1074</v>
      </c>
      <c r="S504">
        <v>7</v>
      </c>
      <c r="T504" t="str">
        <f>IF(Healthcare_Data[[#This Row],[Final_Bill]]&gt;=50000,"High",IF(Healthcare_Data[[#This Row],[Final_Bill]]&gt;=20000,"Medium","low"))</f>
        <v>Medium</v>
      </c>
    </row>
    <row r="505" spans="1:20" x14ac:dyDescent="0.3">
      <c r="A505" t="s">
        <v>560</v>
      </c>
      <c r="B505">
        <v>45841</v>
      </c>
      <c r="C505" t="s">
        <v>38</v>
      </c>
      <c r="D505" t="s">
        <v>51</v>
      </c>
      <c r="E505" t="s">
        <v>20</v>
      </c>
      <c r="F505" t="s">
        <v>21</v>
      </c>
      <c r="G505">
        <v>78</v>
      </c>
      <c r="H505" t="s">
        <v>35</v>
      </c>
      <c r="I505" t="s">
        <v>69</v>
      </c>
      <c r="J505" t="s">
        <v>58</v>
      </c>
      <c r="K505">
        <v>0</v>
      </c>
      <c r="L505">
        <v>15328</v>
      </c>
      <c r="M505">
        <v>2000</v>
      </c>
      <c r="N505">
        <v>13328</v>
      </c>
      <c r="O505" t="s">
        <v>25</v>
      </c>
      <c r="P505">
        <v>3.6</v>
      </c>
      <c r="Q505">
        <v>72</v>
      </c>
      <c r="R505" t="s">
        <v>1074</v>
      </c>
      <c r="S505">
        <v>7</v>
      </c>
      <c r="T505" t="str">
        <f>IF(Healthcare_Data[[#This Row],[Final_Bill]]&gt;=50000,"High",IF(Healthcare_Data[[#This Row],[Final_Bill]]&gt;=20000,"Medium","low"))</f>
        <v>low</v>
      </c>
    </row>
    <row r="506" spans="1:20" x14ac:dyDescent="0.3">
      <c r="A506" t="s">
        <v>561</v>
      </c>
      <c r="B506">
        <v>45841</v>
      </c>
      <c r="C506" t="s">
        <v>54</v>
      </c>
      <c r="D506" t="s">
        <v>28</v>
      </c>
      <c r="E506" t="s">
        <v>52</v>
      </c>
      <c r="F506" t="s">
        <v>21</v>
      </c>
      <c r="G506">
        <v>49</v>
      </c>
      <c r="H506" t="s">
        <v>41</v>
      </c>
      <c r="I506" t="s">
        <v>63</v>
      </c>
      <c r="J506" t="s">
        <v>24</v>
      </c>
      <c r="K506">
        <v>11</v>
      </c>
      <c r="L506">
        <v>69796</v>
      </c>
      <c r="M506">
        <v>0</v>
      </c>
      <c r="N506">
        <v>69796</v>
      </c>
      <c r="O506" t="s">
        <v>25</v>
      </c>
      <c r="P506">
        <v>4.7</v>
      </c>
      <c r="Q506">
        <v>10</v>
      </c>
      <c r="R506" t="s">
        <v>1074</v>
      </c>
      <c r="S506">
        <v>7</v>
      </c>
      <c r="T506" t="str">
        <f>IF(Healthcare_Data[[#This Row],[Final_Bill]]&gt;=50000,"High",IF(Healthcare_Data[[#This Row],[Final_Bill]]&gt;=20000,"Medium","low"))</f>
        <v>High</v>
      </c>
    </row>
    <row r="507" spans="1:20" x14ac:dyDescent="0.3">
      <c r="A507" t="s">
        <v>562</v>
      </c>
      <c r="B507">
        <v>45842</v>
      </c>
      <c r="C507" t="s">
        <v>48</v>
      </c>
      <c r="D507" t="s">
        <v>51</v>
      </c>
      <c r="E507" t="s">
        <v>52</v>
      </c>
      <c r="F507" t="s">
        <v>40</v>
      </c>
      <c r="G507">
        <v>31</v>
      </c>
      <c r="H507" t="s">
        <v>41</v>
      </c>
      <c r="I507" t="s">
        <v>72</v>
      </c>
      <c r="J507" t="s">
        <v>31</v>
      </c>
      <c r="K507">
        <v>2</v>
      </c>
      <c r="L507">
        <v>25532</v>
      </c>
      <c r="M507">
        <v>0</v>
      </c>
      <c r="N507">
        <v>25532</v>
      </c>
      <c r="O507" t="s">
        <v>25</v>
      </c>
      <c r="P507">
        <v>3.4</v>
      </c>
      <c r="Q507">
        <v>78</v>
      </c>
      <c r="R507" t="s">
        <v>1074</v>
      </c>
      <c r="S507">
        <v>7</v>
      </c>
      <c r="T507" t="str">
        <f>IF(Healthcare_Data[[#This Row],[Final_Bill]]&gt;=50000,"High",IF(Healthcare_Data[[#This Row],[Final_Bill]]&gt;=20000,"Medium","low"))</f>
        <v>Medium</v>
      </c>
    </row>
    <row r="508" spans="1:20" x14ac:dyDescent="0.3">
      <c r="A508" t="s">
        <v>563</v>
      </c>
      <c r="B508">
        <v>45843</v>
      </c>
      <c r="C508" t="s">
        <v>48</v>
      </c>
      <c r="D508" t="s">
        <v>34</v>
      </c>
      <c r="E508" t="s">
        <v>54</v>
      </c>
      <c r="F508" t="s">
        <v>40</v>
      </c>
      <c r="G508">
        <v>34</v>
      </c>
      <c r="H508" t="s">
        <v>65</v>
      </c>
      <c r="I508" t="s">
        <v>23</v>
      </c>
      <c r="J508" t="s">
        <v>36</v>
      </c>
      <c r="K508">
        <v>0</v>
      </c>
      <c r="L508">
        <v>13829</v>
      </c>
      <c r="M508">
        <v>2000</v>
      </c>
      <c r="N508">
        <v>11829</v>
      </c>
      <c r="O508" t="s">
        <v>25</v>
      </c>
      <c r="P508">
        <v>3.1</v>
      </c>
      <c r="Q508">
        <v>119</v>
      </c>
      <c r="R508" t="s">
        <v>1074</v>
      </c>
      <c r="S508">
        <v>7</v>
      </c>
      <c r="T508" t="str">
        <f>IF(Healthcare_Data[[#This Row],[Final_Bill]]&gt;=50000,"High",IF(Healthcare_Data[[#This Row],[Final_Bill]]&gt;=20000,"Medium","low"))</f>
        <v>low</v>
      </c>
    </row>
    <row r="509" spans="1:20" x14ac:dyDescent="0.3">
      <c r="A509" t="s">
        <v>564</v>
      </c>
      <c r="B509">
        <v>45843</v>
      </c>
      <c r="C509" t="s">
        <v>27</v>
      </c>
      <c r="D509" t="s">
        <v>34</v>
      </c>
      <c r="E509" t="s">
        <v>20</v>
      </c>
      <c r="F509" t="s">
        <v>21</v>
      </c>
      <c r="G509">
        <v>68</v>
      </c>
      <c r="H509" t="s">
        <v>115</v>
      </c>
      <c r="I509" t="s">
        <v>72</v>
      </c>
      <c r="J509" t="s">
        <v>31</v>
      </c>
      <c r="K509">
        <v>0</v>
      </c>
      <c r="L509">
        <v>19439</v>
      </c>
      <c r="M509">
        <v>0</v>
      </c>
      <c r="N509">
        <v>19439</v>
      </c>
      <c r="O509" t="s">
        <v>25</v>
      </c>
      <c r="P509">
        <v>3.5</v>
      </c>
      <c r="Q509">
        <v>115</v>
      </c>
      <c r="R509" t="s">
        <v>1074</v>
      </c>
      <c r="S509">
        <v>7</v>
      </c>
      <c r="T509" t="str">
        <f>IF(Healthcare_Data[[#This Row],[Final_Bill]]&gt;=50000,"High",IF(Healthcare_Data[[#This Row],[Final_Bill]]&gt;=20000,"Medium","low"))</f>
        <v>low</v>
      </c>
    </row>
    <row r="510" spans="1:20" x14ac:dyDescent="0.3">
      <c r="A510" t="s">
        <v>565</v>
      </c>
      <c r="B510">
        <v>45843</v>
      </c>
      <c r="C510" t="s">
        <v>67</v>
      </c>
      <c r="D510" t="s">
        <v>34</v>
      </c>
      <c r="E510" t="s">
        <v>54</v>
      </c>
      <c r="F510" t="s">
        <v>21</v>
      </c>
      <c r="G510">
        <v>77</v>
      </c>
      <c r="H510" t="s">
        <v>56</v>
      </c>
      <c r="I510" t="s">
        <v>42</v>
      </c>
      <c r="J510" t="s">
        <v>24</v>
      </c>
      <c r="K510">
        <v>0</v>
      </c>
      <c r="L510">
        <v>40624</v>
      </c>
      <c r="M510">
        <v>0</v>
      </c>
      <c r="N510">
        <v>40624</v>
      </c>
      <c r="O510" t="s">
        <v>25</v>
      </c>
      <c r="P510">
        <v>3.6</v>
      </c>
      <c r="Q510">
        <v>12</v>
      </c>
      <c r="R510" t="s">
        <v>1074</v>
      </c>
      <c r="S510">
        <v>7</v>
      </c>
      <c r="T510" t="str">
        <f>IF(Healthcare_Data[[#This Row],[Final_Bill]]&gt;=50000,"High",IF(Healthcare_Data[[#This Row],[Final_Bill]]&gt;=20000,"Medium","low"))</f>
        <v>Medium</v>
      </c>
    </row>
    <row r="511" spans="1:20" x14ac:dyDescent="0.3">
      <c r="A511" t="s">
        <v>566</v>
      </c>
      <c r="B511">
        <v>45844</v>
      </c>
      <c r="C511" t="s">
        <v>38</v>
      </c>
      <c r="D511" t="s">
        <v>34</v>
      </c>
      <c r="E511" t="s">
        <v>20</v>
      </c>
      <c r="F511" t="s">
        <v>40</v>
      </c>
      <c r="G511">
        <v>49</v>
      </c>
      <c r="H511" t="s">
        <v>29</v>
      </c>
      <c r="I511" t="s">
        <v>72</v>
      </c>
      <c r="J511" t="s">
        <v>24</v>
      </c>
      <c r="K511">
        <v>0</v>
      </c>
      <c r="L511">
        <v>5914</v>
      </c>
      <c r="M511">
        <v>1000</v>
      </c>
      <c r="N511">
        <v>4914</v>
      </c>
      <c r="O511" t="s">
        <v>25</v>
      </c>
      <c r="P511">
        <v>3.9</v>
      </c>
      <c r="Q511">
        <v>105</v>
      </c>
      <c r="R511" t="s">
        <v>1074</v>
      </c>
      <c r="S511">
        <v>7</v>
      </c>
      <c r="T511" t="str">
        <f>IF(Healthcare_Data[[#This Row],[Final_Bill]]&gt;=50000,"High",IF(Healthcare_Data[[#This Row],[Final_Bill]]&gt;=20000,"Medium","low"))</f>
        <v>low</v>
      </c>
    </row>
    <row r="512" spans="1:20" x14ac:dyDescent="0.3">
      <c r="A512" t="s">
        <v>567</v>
      </c>
      <c r="B512">
        <v>45844</v>
      </c>
      <c r="C512" t="s">
        <v>54</v>
      </c>
      <c r="D512" t="s">
        <v>19</v>
      </c>
      <c r="E512" t="s">
        <v>20</v>
      </c>
      <c r="F512" t="s">
        <v>40</v>
      </c>
      <c r="G512">
        <v>69</v>
      </c>
      <c r="H512" t="s">
        <v>65</v>
      </c>
      <c r="I512" t="s">
        <v>42</v>
      </c>
      <c r="J512" t="s">
        <v>58</v>
      </c>
      <c r="K512">
        <v>0</v>
      </c>
      <c r="L512">
        <v>17426</v>
      </c>
      <c r="M512">
        <v>500</v>
      </c>
      <c r="N512">
        <v>16926</v>
      </c>
      <c r="O512" t="s">
        <v>25</v>
      </c>
      <c r="P512">
        <v>3.6</v>
      </c>
      <c r="Q512">
        <v>16</v>
      </c>
      <c r="R512" t="s">
        <v>1074</v>
      </c>
      <c r="S512">
        <v>7</v>
      </c>
      <c r="T512" t="str">
        <f>IF(Healthcare_Data[[#This Row],[Final_Bill]]&gt;=50000,"High",IF(Healthcare_Data[[#This Row],[Final_Bill]]&gt;=20000,"Medium","low"))</f>
        <v>low</v>
      </c>
    </row>
    <row r="513" spans="1:20" x14ac:dyDescent="0.3">
      <c r="A513" t="s">
        <v>568</v>
      </c>
      <c r="B513">
        <v>45844</v>
      </c>
      <c r="C513" t="s">
        <v>38</v>
      </c>
      <c r="D513" t="s">
        <v>28</v>
      </c>
      <c r="E513" t="s">
        <v>20</v>
      </c>
      <c r="F513" t="s">
        <v>40</v>
      </c>
      <c r="G513">
        <v>30</v>
      </c>
      <c r="H513" t="s">
        <v>65</v>
      </c>
      <c r="I513" t="s">
        <v>63</v>
      </c>
      <c r="J513" t="s">
        <v>1057</v>
      </c>
      <c r="K513">
        <v>0</v>
      </c>
      <c r="L513">
        <v>10156</v>
      </c>
      <c r="M513">
        <v>1000</v>
      </c>
      <c r="N513">
        <v>9156</v>
      </c>
      <c r="O513" t="s">
        <v>25</v>
      </c>
      <c r="P513">
        <v>3.8</v>
      </c>
      <c r="Q513">
        <v>107</v>
      </c>
      <c r="R513" t="s">
        <v>1074</v>
      </c>
      <c r="S513">
        <v>7</v>
      </c>
      <c r="T513" t="str">
        <f>IF(Healthcare_Data[[#This Row],[Final_Bill]]&gt;=50000,"High",IF(Healthcare_Data[[#This Row],[Final_Bill]]&gt;=20000,"Medium","low"))</f>
        <v>low</v>
      </c>
    </row>
    <row r="514" spans="1:20" x14ac:dyDescent="0.3">
      <c r="A514" t="s">
        <v>569</v>
      </c>
      <c r="B514">
        <v>45844</v>
      </c>
      <c r="C514" t="s">
        <v>54</v>
      </c>
      <c r="D514" t="s">
        <v>28</v>
      </c>
      <c r="E514" t="s">
        <v>52</v>
      </c>
      <c r="F514" t="s">
        <v>40</v>
      </c>
      <c r="G514">
        <v>76</v>
      </c>
      <c r="H514" t="s">
        <v>46</v>
      </c>
      <c r="I514" t="s">
        <v>69</v>
      </c>
      <c r="J514" t="s">
        <v>31</v>
      </c>
      <c r="K514">
        <v>8</v>
      </c>
      <c r="L514">
        <v>19535</v>
      </c>
      <c r="M514">
        <v>1500</v>
      </c>
      <c r="N514">
        <v>18035</v>
      </c>
      <c r="O514" t="s">
        <v>32</v>
      </c>
      <c r="P514">
        <v>3.9</v>
      </c>
      <c r="Q514">
        <v>91</v>
      </c>
      <c r="R514" t="s">
        <v>1074</v>
      </c>
      <c r="S514">
        <v>7</v>
      </c>
      <c r="T514" t="str">
        <f>IF(Healthcare_Data[[#This Row],[Final_Bill]]&gt;=50000,"High",IF(Healthcare_Data[[#This Row],[Final_Bill]]&gt;=20000,"Medium","low"))</f>
        <v>low</v>
      </c>
    </row>
    <row r="515" spans="1:20" x14ac:dyDescent="0.3">
      <c r="A515" t="s">
        <v>570</v>
      </c>
      <c r="B515">
        <v>45844</v>
      </c>
      <c r="C515" t="s">
        <v>50</v>
      </c>
      <c r="D515" t="s">
        <v>19</v>
      </c>
      <c r="E515" t="s">
        <v>54</v>
      </c>
      <c r="F515" t="s">
        <v>40</v>
      </c>
      <c r="G515">
        <v>51</v>
      </c>
      <c r="H515" t="s">
        <v>22</v>
      </c>
      <c r="I515" t="s">
        <v>42</v>
      </c>
      <c r="J515" t="s">
        <v>24</v>
      </c>
      <c r="K515">
        <v>0</v>
      </c>
      <c r="L515">
        <v>35610</v>
      </c>
      <c r="M515">
        <v>0</v>
      </c>
      <c r="N515">
        <v>35610</v>
      </c>
      <c r="O515" t="s">
        <v>25</v>
      </c>
      <c r="P515">
        <v>3</v>
      </c>
      <c r="Q515">
        <v>6</v>
      </c>
      <c r="R515" t="s">
        <v>1074</v>
      </c>
      <c r="S515">
        <v>7</v>
      </c>
      <c r="T515" t="str">
        <f>IF(Healthcare_Data[[#This Row],[Final_Bill]]&gt;=50000,"High",IF(Healthcare_Data[[#This Row],[Final_Bill]]&gt;=20000,"Medium","low"))</f>
        <v>Medium</v>
      </c>
    </row>
    <row r="516" spans="1:20" x14ac:dyDescent="0.3">
      <c r="A516" t="s">
        <v>571</v>
      </c>
      <c r="B516">
        <v>45845</v>
      </c>
      <c r="C516" t="s">
        <v>44</v>
      </c>
      <c r="D516" t="s">
        <v>34</v>
      </c>
      <c r="E516" t="s">
        <v>20</v>
      </c>
      <c r="F516" t="s">
        <v>40</v>
      </c>
      <c r="G516">
        <v>33</v>
      </c>
      <c r="H516" t="s">
        <v>22</v>
      </c>
      <c r="I516" t="s">
        <v>30</v>
      </c>
      <c r="J516" t="s">
        <v>58</v>
      </c>
      <c r="K516">
        <v>0</v>
      </c>
      <c r="L516">
        <v>18993</v>
      </c>
      <c r="M516">
        <v>2000</v>
      </c>
      <c r="N516">
        <v>16993</v>
      </c>
      <c r="O516" t="s">
        <v>25</v>
      </c>
      <c r="P516">
        <v>3.2</v>
      </c>
      <c r="Q516">
        <v>67</v>
      </c>
      <c r="R516" t="s">
        <v>1074</v>
      </c>
      <c r="S516">
        <v>7</v>
      </c>
      <c r="T516" t="str">
        <f>IF(Healthcare_Data[[#This Row],[Final_Bill]]&gt;=50000,"High",IF(Healthcare_Data[[#This Row],[Final_Bill]]&gt;=20000,"Medium","low"))</f>
        <v>low</v>
      </c>
    </row>
    <row r="517" spans="1:20" x14ac:dyDescent="0.3">
      <c r="A517" t="s">
        <v>572</v>
      </c>
      <c r="B517">
        <v>45845</v>
      </c>
      <c r="C517" t="s">
        <v>54</v>
      </c>
      <c r="D517" t="s">
        <v>39</v>
      </c>
      <c r="E517" t="s">
        <v>20</v>
      </c>
      <c r="F517" t="s">
        <v>40</v>
      </c>
      <c r="G517">
        <v>53</v>
      </c>
      <c r="H517" t="s">
        <v>115</v>
      </c>
      <c r="I517" t="s">
        <v>57</v>
      </c>
      <c r="J517" t="s">
        <v>24</v>
      </c>
      <c r="K517">
        <v>0</v>
      </c>
      <c r="L517">
        <v>14801</v>
      </c>
      <c r="M517">
        <v>1000</v>
      </c>
      <c r="N517">
        <v>13801</v>
      </c>
      <c r="O517" t="s">
        <v>25</v>
      </c>
      <c r="P517">
        <v>2.5</v>
      </c>
      <c r="Q517">
        <v>8</v>
      </c>
      <c r="R517" t="s">
        <v>1074</v>
      </c>
      <c r="S517">
        <v>7</v>
      </c>
      <c r="T517" t="str">
        <f>IF(Healthcare_Data[[#This Row],[Final_Bill]]&gt;=50000,"High",IF(Healthcare_Data[[#This Row],[Final_Bill]]&gt;=20000,"Medium","low"))</f>
        <v>low</v>
      </c>
    </row>
    <row r="518" spans="1:20" x14ac:dyDescent="0.3">
      <c r="A518" t="s">
        <v>573</v>
      </c>
      <c r="B518">
        <v>45845</v>
      </c>
      <c r="C518" t="s">
        <v>44</v>
      </c>
      <c r="D518" t="s">
        <v>51</v>
      </c>
      <c r="E518" t="s">
        <v>52</v>
      </c>
      <c r="F518" t="s">
        <v>21</v>
      </c>
      <c r="G518">
        <v>37</v>
      </c>
      <c r="H518" t="s">
        <v>56</v>
      </c>
      <c r="I518" t="s">
        <v>57</v>
      </c>
      <c r="J518" t="s">
        <v>31</v>
      </c>
      <c r="K518">
        <v>10</v>
      </c>
      <c r="L518">
        <v>57718</v>
      </c>
      <c r="M518">
        <v>1500</v>
      </c>
      <c r="N518">
        <v>56218</v>
      </c>
      <c r="O518" t="s">
        <v>25</v>
      </c>
      <c r="P518">
        <v>3</v>
      </c>
      <c r="Q518">
        <v>116</v>
      </c>
      <c r="R518" t="s">
        <v>1074</v>
      </c>
      <c r="S518">
        <v>7</v>
      </c>
      <c r="T518" t="str">
        <f>IF(Healthcare_Data[[#This Row],[Final_Bill]]&gt;=50000,"High",IF(Healthcare_Data[[#This Row],[Final_Bill]]&gt;=20000,"Medium","low"))</f>
        <v>High</v>
      </c>
    </row>
    <row r="519" spans="1:20" x14ac:dyDescent="0.3">
      <c r="A519" t="s">
        <v>574</v>
      </c>
      <c r="B519">
        <v>45846</v>
      </c>
      <c r="C519" t="s">
        <v>67</v>
      </c>
      <c r="D519" t="s">
        <v>51</v>
      </c>
      <c r="E519" t="s">
        <v>52</v>
      </c>
      <c r="F519" t="s">
        <v>40</v>
      </c>
      <c r="G519">
        <v>61</v>
      </c>
      <c r="H519" t="s">
        <v>22</v>
      </c>
      <c r="I519" t="s">
        <v>57</v>
      </c>
      <c r="J519" t="s">
        <v>58</v>
      </c>
      <c r="K519">
        <v>6</v>
      </c>
      <c r="L519">
        <v>46824</v>
      </c>
      <c r="M519">
        <v>1000</v>
      </c>
      <c r="N519">
        <v>45824</v>
      </c>
      <c r="O519" t="s">
        <v>25</v>
      </c>
      <c r="P519">
        <v>3.1</v>
      </c>
      <c r="Q519">
        <v>11</v>
      </c>
      <c r="R519" t="s">
        <v>1074</v>
      </c>
      <c r="S519">
        <v>7</v>
      </c>
      <c r="T519" t="str">
        <f>IF(Healthcare_Data[[#This Row],[Final_Bill]]&gt;=50000,"High",IF(Healthcare_Data[[#This Row],[Final_Bill]]&gt;=20000,"Medium","low"))</f>
        <v>Medium</v>
      </c>
    </row>
    <row r="520" spans="1:20" x14ac:dyDescent="0.3">
      <c r="A520" t="s">
        <v>575</v>
      </c>
      <c r="B520">
        <v>45846</v>
      </c>
      <c r="C520" t="s">
        <v>18</v>
      </c>
      <c r="D520" t="s">
        <v>51</v>
      </c>
      <c r="E520" t="s">
        <v>20</v>
      </c>
      <c r="F520" t="s">
        <v>40</v>
      </c>
      <c r="G520">
        <v>62</v>
      </c>
      <c r="H520" t="s">
        <v>22</v>
      </c>
      <c r="I520" t="s">
        <v>42</v>
      </c>
      <c r="J520" t="s">
        <v>24</v>
      </c>
      <c r="K520">
        <v>0</v>
      </c>
      <c r="L520">
        <v>5508</v>
      </c>
      <c r="M520">
        <v>1000</v>
      </c>
      <c r="N520">
        <v>4508</v>
      </c>
      <c r="O520" t="s">
        <v>25</v>
      </c>
      <c r="P520">
        <v>4.4000000000000004</v>
      </c>
      <c r="Q520">
        <v>11</v>
      </c>
      <c r="R520" t="s">
        <v>1074</v>
      </c>
      <c r="S520">
        <v>7</v>
      </c>
      <c r="T520" t="str">
        <f>IF(Healthcare_Data[[#This Row],[Final_Bill]]&gt;=50000,"High",IF(Healthcare_Data[[#This Row],[Final_Bill]]&gt;=20000,"Medium","low"))</f>
        <v>low</v>
      </c>
    </row>
    <row r="521" spans="1:20" x14ac:dyDescent="0.3">
      <c r="A521" t="s">
        <v>576</v>
      </c>
      <c r="B521">
        <v>45847</v>
      </c>
      <c r="C521" t="s">
        <v>27</v>
      </c>
      <c r="D521" t="s">
        <v>19</v>
      </c>
      <c r="E521" t="s">
        <v>52</v>
      </c>
      <c r="F521" t="s">
        <v>21</v>
      </c>
      <c r="G521">
        <v>64</v>
      </c>
      <c r="H521" t="s">
        <v>65</v>
      </c>
      <c r="I521" t="s">
        <v>57</v>
      </c>
      <c r="J521" t="s">
        <v>36</v>
      </c>
      <c r="K521">
        <v>10</v>
      </c>
      <c r="L521">
        <v>57036</v>
      </c>
      <c r="M521">
        <v>1000</v>
      </c>
      <c r="N521">
        <v>56036</v>
      </c>
      <c r="O521" t="s">
        <v>25</v>
      </c>
      <c r="P521">
        <v>2.5</v>
      </c>
      <c r="Q521">
        <v>70</v>
      </c>
      <c r="R521" t="s">
        <v>1074</v>
      </c>
      <c r="S521">
        <v>7</v>
      </c>
      <c r="T521" t="str">
        <f>IF(Healthcare_Data[[#This Row],[Final_Bill]]&gt;=50000,"High",IF(Healthcare_Data[[#This Row],[Final_Bill]]&gt;=20000,"Medium","low"))</f>
        <v>High</v>
      </c>
    </row>
    <row r="522" spans="1:20" x14ac:dyDescent="0.3">
      <c r="A522" t="s">
        <v>577</v>
      </c>
      <c r="B522">
        <v>45847</v>
      </c>
      <c r="C522" t="s">
        <v>18</v>
      </c>
      <c r="D522" t="s">
        <v>34</v>
      </c>
      <c r="E522" t="s">
        <v>20</v>
      </c>
      <c r="F522" t="s">
        <v>40</v>
      </c>
      <c r="G522">
        <v>73</v>
      </c>
      <c r="H522" t="s">
        <v>29</v>
      </c>
      <c r="I522" t="s">
        <v>69</v>
      </c>
      <c r="J522" t="s">
        <v>36</v>
      </c>
      <c r="K522">
        <v>0</v>
      </c>
      <c r="L522">
        <v>14063</v>
      </c>
      <c r="M522">
        <v>1500</v>
      </c>
      <c r="N522">
        <v>12563</v>
      </c>
      <c r="O522" t="s">
        <v>25</v>
      </c>
      <c r="P522">
        <v>3.2</v>
      </c>
      <c r="Q522">
        <v>5</v>
      </c>
      <c r="R522" t="s">
        <v>1074</v>
      </c>
      <c r="S522">
        <v>7</v>
      </c>
      <c r="T522" t="str">
        <f>IF(Healthcare_Data[[#This Row],[Final_Bill]]&gt;=50000,"High",IF(Healthcare_Data[[#This Row],[Final_Bill]]&gt;=20000,"Medium","low"))</f>
        <v>low</v>
      </c>
    </row>
    <row r="523" spans="1:20" x14ac:dyDescent="0.3">
      <c r="A523" t="s">
        <v>578</v>
      </c>
      <c r="B523">
        <v>45847</v>
      </c>
      <c r="C523" t="s">
        <v>27</v>
      </c>
      <c r="D523" t="s">
        <v>51</v>
      </c>
      <c r="E523" t="s">
        <v>20</v>
      </c>
      <c r="F523" t="s">
        <v>21</v>
      </c>
      <c r="G523">
        <v>80</v>
      </c>
      <c r="H523" t="s">
        <v>115</v>
      </c>
      <c r="I523" t="s">
        <v>57</v>
      </c>
      <c r="J523" t="s">
        <v>58</v>
      </c>
      <c r="K523">
        <v>0</v>
      </c>
      <c r="L523">
        <v>5687</v>
      </c>
      <c r="M523">
        <v>1000</v>
      </c>
      <c r="N523">
        <v>4687</v>
      </c>
      <c r="O523" t="s">
        <v>25</v>
      </c>
      <c r="P523">
        <v>4.0999999999999996</v>
      </c>
      <c r="Q523">
        <v>22</v>
      </c>
      <c r="R523" t="s">
        <v>1074</v>
      </c>
      <c r="S523">
        <v>7</v>
      </c>
      <c r="T523" t="str">
        <f>IF(Healthcare_Data[[#This Row],[Final_Bill]]&gt;=50000,"High",IF(Healthcare_Data[[#This Row],[Final_Bill]]&gt;=20000,"Medium","low"))</f>
        <v>low</v>
      </c>
    </row>
    <row r="524" spans="1:20" x14ac:dyDescent="0.3">
      <c r="A524" t="s">
        <v>579</v>
      </c>
      <c r="B524">
        <v>45847</v>
      </c>
      <c r="C524" t="s">
        <v>48</v>
      </c>
      <c r="D524" t="s">
        <v>28</v>
      </c>
      <c r="E524" t="s">
        <v>54</v>
      </c>
      <c r="F524" t="s">
        <v>40</v>
      </c>
      <c r="G524">
        <v>34</v>
      </c>
      <c r="H524" t="s">
        <v>22</v>
      </c>
      <c r="I524" t="s">
        <v>57</v>
      </c>
      <c r="J524" t="s">
        <v>24</v>
      </c>
      <c r="K524">
        <v>0</v>
      </c>
      <c r="L524">
        <v>40345</v>
      </c>
      <c r="M524">
        <v>1000</v>
      </c>
      <c r="N524">
        <v>39345</v>
      </c>
      <c r="O524" t="s">
        <v>25</v>
      </c>
      <c r="P524">
        <v>3.9</v>
      </c>
      <c r="Q524">
        <v>27</v>
      </c>
      <c r="R524" t="s">
        <v>1074</v>
      </c>
      <c r="S524">
        <v>7</v>
      </c>
      <c r="T524" t="str">
        <f>IF(Healthcare_Data[[#This Row],[Final_Bill]]&gt;=50000,"High",IF(Healthcare_Data[[#This Row],[Final_Bill]]&gt;=20000,"Medium","low"))</f>
        <v>Medium</v>
      </c>
    </row>
    <row r="525" spans="1:20" x14ac:dyDescent="0.3">
      <c r="A525" t="s">
        <v>580</v>
      </c>
      <c r="B525">
        <v>45847</v>
      </c>
      <c r="C525" t="s">
        <v>44</v>
      </c>
      <c r="D525" t="s">
        <v>39</v>
      </c>
      <c r="E525" t="s">
        <v>20</v>
      </c>
      <c r="F525" t="s">
        <v>40</v>
      </c>
      <c r="G525">
        <v>52</v>
      </c>
      <c r="H525" t="s">
        <v>65</v>
      </c>
      <c r="I525" t="s">
        <v>23</v>
      </c>
      <c r="J525" t="s">
        <v>24</v>
      </c>
      <c r="K525">
        <v>0</v>
      </c>
      <c r="L525">
        <v>19825</v>
      </c>
      <c r="M525">
        <v>500</v>
      </c>
      <c r="N525">
        <v>19325</v>
      </c>
      <c r="O525" t="s">
        <v>59</v>
      </c>
      <c r="P525">
        <v>4.7</v>
      </c>
      <c r="Q525">
        <v>60</v>
      </c>
      <c r="R525" t="s">
        <v>1074</v>
      </c>
      <c r="S525">
        <v>7</v>
      </c>
      <c r="T525" t="str">
        <f>IF(Healthcare_Data[[#This Row],[Final_Bill]]&gt;=50000,"High",IF(Healthcare_Data[[#This Row],[Final_Bill]]&gt;=20000,"Medium","low"))</f>
        <v>low</v>
      </c>
    </row>
    <row r="526" spans="1:20" x14ac:dyDescent="0.3">
      <c r="A526" t="s">
        <v>581</v>
      </c>
      <c r="B526">
        <v>45847</v>
      </c>
      <c r="C526" t="s">
        <v>38</v>
      </c>
      <c r="D526" t="s">
        <v>51</v>
      </c>
      <c r="E526" t="s">
        <v>54</v>
      </c>
      <c r="F526" t="s">
        <v>40</v>
      </c>
      <c r="G526">
        <v>56</v>
      </c>
      <c r="H526" t="s">
        <v>35</v>
      </c>
      <c r="I526" t="s">
        <v>42</v>
      </c>
      <c r="J526" t="s">
        <v>1057</v>
      </c>
      <c r="K526">
        <v>0</v>
      </c>
      <c r="L526">
        <v>44536</v>
      </c>
      <c r="M526">
        <v>500</v>
      </c>
      <c r="N526">
        <v>44036</v>
      </c>
      <c r="O526" t="s">
        <v>25</v>
      </c>
      <c r="P526">
        <v>4.0999999999999996</v>
      </c>
      <c r="Q526">
        <v>36</v>
      </c>
      <c r="R526" t="s">
        <v>1074</v>
      </c>
      <c r="S526">
        <v>7</v>
      </c>
      <c r="T526" t="str">
        <f>IF(Healthcare_Data[[#This Row],[Final_Bill]]&gt;=50000,"High",IF(Healthcare_Data[[#This Row],[Final_Bill]]&gt;=20000,"Medium","low"))</f>
        <v>Medium</v>
      </c>
    </row>
    <row r="527" spans="1:20" x14ac:dyDescent="0.3">
      <c r="A527" t="s">
        <v>582</v>
      </c>
      <c r="B527">
        <v>45848</v>
      </c>
      <c r="C527" t="s">
        <v>38</v>
      </c>
      <c r="D527" t="s">
        <v>39</v>
      </c>
      <c r="E527" t="s">
        <v>20</v>
      </c>
      <c r="F527" t="s">
        <v>40</v>
      </c>
      <c r="G527">
        <v>25</v>
      </c>
      <c r="H527" t="s">
        <v>46</v>
      </c>
      <c r="I527" t="s">
        <v>57</v>
      </c>
      <c r="J527" t="s">
        <v>24</v>
      </c>
      <c r="K527">
        <v>0</v>
      </c>
      <c r="L527">
        <v>5470</v>
      </c>
      <c r="M527">
        <v>0</v>
      </c>
      <c r="N527">
        <v>5470</v>
      </c>
      <c r="O527" t="s">
        <v>25</v>
      </c>
      <c r="P527">
        <v>3.8</v>
      </c>
      <c r="Q527">
        <v>20</v>
      </c>
      <c r="R527" t="s">
        <v>1074</v>
      </c>
      <c r="S527">
        <v>7</v>
      </c>
      <c r="T527" t="str">
        <f>IF(Healthcare_Data[[#This Row],[Final_Bill]]&gt;=50000,"High",IF(Healthcare_Data[[#This Row],[Final_Bill]]&gt;=20000,"Medium","low"))</f>
        <v>low</v>
      </c>
    </row>
    <row r="528" spans="1:20" x14ac:dyDescent="0.3">
      <c r="A528" t="s">
        <v>583</v>
      </c>
      <c r="B528">
        <v>45848</v>
      </c>
      <c r="C528" t="s">
        <v>38</v>
      </c>
      <c r="D528" t="s">
        <v>51</v>
      </c>
      <c r="E528" t="s">
        <v>20</v>
      </c>
      <c r="F528" t="s">
        <v>40</v>
      </c>
      <c r="G528">
        <v>49</v>
      </c>
      <c r="H528" t="s">
        <v>56</v>
      </c>
      <c r="I528" t="s">
        <v>23</v>
      </c>
      <c r="J528" t="s">
        <v>31</v>
      </c>
      <c r="K528">
        <v>0</v>
      </c>
      <c r="L528">
        <v>19134</v>
      </c>
      <c r="M528">
        <v>0</v>
      </c>
      <c r="N528">
        <v>19134</v>
      </c>
      <c r="O528" t="s">
        <v>25</v>
      </c>
      <c r="P528">
        <v>3.3</v>
      </c>
      <c r="Q528">
        <v>20</v>
      </c>
      <c r="R528" t="s">
        <v>1074</v>
      </c>
      <c r="S528">
        <v>7</v>
      </c>
      <c r="T528" t="str">
        <f>IF(Healthcare_Data[[#This Row],[Final_Bill]]&gt;=50000,"High",IF(Healthcare_Data[[#This Row],[Final_Bill]]&gt;=20000,"Medium","low"))</f>
        <v>low</v>
      </c>
    </row>
    <row r="529" spans="1:20" x14ac:dyDescent="0.3">
      <c r="A529" t="s">
        <v>584</v>
      </c>
      <c r="B529">
        <v>45848</v>
      </c>
      <c r="C529" t="s">
        <v>27</v>
      </c>
      <c r="D529" t="s">
        <v>28</v>
      </c>
      <c r="E529" t="s">
        <v>20</v>
      </c>
      <c r="F529" t="s">
        <v>21</v>
      </c>
      <c r="G529">
        <v>55</v>
      </c>
      <c r="H529" t="s">
        <v>46</v>
      </c>
      <c r="I529" t="s">
        <v>72</v>
      </c>
      <c r="J529" t="s">
        <v>31</v>
      </c>
      <c r="K529">
        <v>0</v>
      </c>
      <c r="L529">
        <v>11205</v>
      </c>
      <c r="M529">
        <v>0</v>
      </c>
      <c r="N529">
        <v>11205</v>
      </c>
      <c r="O529" t="s">
        <v>25</v>
      </c>
      <c r="P529">
        <v>4.7</v>
      </c>
      <c r="Q529">
        <v>9</v>
      </c>
      <c r="R529" t="s">
        <v>1074</v>
      </c>
      <c r="S529">
        <v>7</v>
      </c>
      <c r="T529" t="str">
        <f>IF(Healthcare_Data[[#This Row],[Final_Bill]]&gt;=50000,"High",IF(Healthcare_Data[[#This Row],[Final_Bill]]&gt;=20000,"Medium","low"))</f>
        <v>low</v>
      </c>
    </row>
    <row r="530" spans="1:20" x14ac:dyDescent="0.3">
      <c r="A530" t="s">
        <v>585</v>
      </c>
      <c r="B530">
        <v>45849</v>
      </c>
      <c r="C530" t="s">
        <v>54</v>
      </c>
      <c r="D530" t="s">
        <v>28</v>
      </c>
      <c r="E530" t="s">
        <v>20</v>
      </c>
      <c r="F530" t="s">
        <v>40</v>
      </c>
      <c r="G530">
        <v>79</v>
      </c>
      <c r="H530" t="s">
        <v>41</v>
      </c>
      <c r="I530" t="s">
        <v>23</v>
      </c>
      <c r="J530" t="s">
        <v>24</v>
      </c>
      <c r="K530">
        <v>0</v>
      </c>
      <c r="L530">
        <v>16337</v>
      </c>
      <c r="M530">
        <v>1000</v>
      </c>
      <c r="N530">
        <v>15337</v>
      </c>
      <c r="O530" t="s">
        <v>25</v>
      </c>
      <c r="P530">
        <v>4.5999999999999996</v>
      </c>
      <c r="Q530">
        <v>57</v>
      </c>
      <c r="R530" t="s">
        <v>1074</v>
      </c>
      <c r="S530">
        <v>7</v>
      </c>
      <c r="T530" t="str">
        <f>IF(Healthcare_Data[[#This Row],[Final_Bill]]&gt;=50000,"High",IF(Healthcare_Data[[#This Row],[Final_Bill]]&gt;=20000,"Medium","low"))</f>
        <v>low</v>
      </c>
    </row>
    <row r="531" spans="1:20" x14ac:dyDescent="0.3">
      <c r="A531" t="s">
        <v>586</v>
      </c>
      <c r="B531">
        <v>45849</v>
      </c>
      <c r="C531" t="s">
        <v>54</v>
      </c>
      <c r="D531" t="s">
        <v>28</v>
      </c>
      <c r="E531" t="s">
        <v>20</v>
      </c>
      <c r="F531" t="s">
        <v>21</v>
      </c>
      <c r="G531">
        <v>34</v>
      </c>
      <c r="H531" t="s">
        <v>35</v>
      </c>
      <c r="I531" t="s">
        <v>57</v>
      </c>
      <c r="J531" t="s">
        <v>24</v>
      </c>
      <c r="K531">
        <v>0</v>
      </c>
      <c r="L531">
        <v>5850</v>
      </c>
      <c r="M531">
        <v>500</v>
      </c>
      <c r="N531">
        <v>5350</v>
      </c>
      <c r="O531" t="s">
        <v>59</v>
      </c>
      <c r="P531" t="s">
        <v>1057</v>
      </c>
      <c r="Q531">
        <v>67</v>
      </c>
      <c r="R531" t="s">
        <v>1074</v>
      </c>
      <c r="S531">
        <v>7</v>
      </c>
      <c r="T531" t="str">
        <f>IF(Healthcare_Data[[#This Row],[Final_Bill]]&gt;=50000,"High",IF(Healthcare_Data[[#This Row],[Final_Bill]]&gt;=20000,"Medium","low"))</f>
        <v>low</v>
      </c>
    </row>
    <row r="532" spans="1:20" x14ac:dyDescent="0.3">
      <c r="A532" t="s">
        <v>587</v>
      </c>
      <c r="B532">
        <v>45849</v>
      </c>
      <c r="C532" t="s">
        <v>18</v>
      </c>
      <c r="D532" t="s">
        <v>34</v>
      </c>
      <c r="E532" t="s">
        <v>20</v>
      </c>
      <c r="F532" t="s">
        <v>21</v>
      </c>
      <c r="G532">
        <v>74</v>
      </c>
      <c r="H532" t="s">
        <v>46</v>
      </c>
      <c r="I532" t="s">
        <v>61</v>
      </c>
      <c r="J532" t="s">
        <v>31</v>
      </c>
      <c r="K532">
        <v>0</v>
      </c>
      <c r="L532">
        <v>11747</v>
      </c>
      <c r="M532">
        <v>500</v>
      </c>
      <c r="N532">
        <v>11247</v>
      </c>
      <c r="O532" t="s">
        <v>25</v>
      </c>
      <c r="P532">
        <v>3.2</v>
      </c>
      <c r="Q532">
        <v>28</v>
      </c>
      <c r="R532" t="s">
        <v>1074</v>
      </c>
      <c r="S532">
        <v>7</v>
      </c>
      <c r="T532" t="str">
        <f>IF(Healthcare_Data[[#This Row],[Final_Bill]]&gt;=50000,"High",IF(Healthcare_Data[[#This Row],[Final_Bill]]&gt;=20000,"Medium","low"))</f>
        <v>low</v>
      </c>
    </row>
    <row r="533" spans="1:20" x14ac:dyDescent="0.3">
      <c r="A533" t="s">
        <v>588</v>
      </c>
      <c r="B533">
        <v>45849</v>
      </c>
      <c r="C533" t="s">
        <v>54</v>
      </c>
      <c r="D533" t="s">
        <v>34</v>
      </c>
      <c r="E533" t="s">
        <v>20</v>
      </c>
      <c r="F533" t="s">
        <v>21</v>
      </c>
      <c r="G533">
        <v>44</v>
      </c>
      <c r="H533" t="s">
        <v>56</v>
      </c>
      <c r="I533" t="s">
        <v>30</v>
      </c>
      <c r="J533" t="s">
        <v>58</v>
      </c>
      <c r="K533">
        <v>0</v>
      </c>
      <c r="L533">
        <v>17991</v>
      </c>
      <c r="M533">
        <v>2000</v>
      </c>
      <c r="N533">
        <v>15991</v>
      </c>
      <c r="O533" t="s">
        <v>25</v>
      </c>
      <c r="P533">
        <v>4.8</v>
      </c>
      <c r="Q533">
        <v>21</v>
      </c>
      <c r="R533" t="s">
        <v>1074</v>
      </c>
      <c r="S533">
        <v>7</v>
      </c>
      <c r="T533" t="str">
        <f>IF(Healthcare_Data[[#This Row],[Final_Bill]]&gt;=50000,"High",IF(Healthcare_Data[[#This Row],[Final_Bill]]&gt;=20000,"Medium","low"))</f>
        <v>low</v>
      </c>
    </row>
    <row r="534" spans="1:20" x14ac:dyDescent="0.3">
      <c r="A534" t="s">
        <v>589</v>
      </c>
      <c r="B534">
        <v>45849</v>
      </c>
      <c r="C534" t="s">
        <v>67</v>
      </c>
      <c r="D534" t="s">
        <v>34</v>
      </c>
      <c r="E534" t="s">
        <v>20</v>
      </c>
      <c r="F534" t="s">
        <v>40</v>
      </c>
      <c r="G534">
        <v>32</v>
      </c>
      <c r="H534" t="s">
        <v>35</v>
      </c>
      <c r="I534" t="s">
        <v>23</v>
      </c>
      <c r="J534" t="s">
        <v>24</v>
      </c>
      <c r="K534">
        <v>0</v>
      </c>
      <c r="L534">
        <v>3025</v>
      </c>
      <c r="M534">
        <v>0</v>
      </c>
      <c r="N534">
        <v>3025</v>
      </c>
      <c r="O534" t="s">
        <v>32</v>
      </c>
      <c r="P534">
        <v>3.1</v>
      </c>
      <c r="Q534">
        <v>94</v>
      </c>
      <c r="R534" t="s">
        <v>1074</v>
      </c>
      <c r="S534">
        <v>7</v>
      </c>
      <c r="T534" t="str">
        <f>IF(Healthcare_Data[[#This Row],[Final_Bill]]&gt;=50000,"High",IF(Healthcare_Data[[#This Row],[Final_Bill]]&gt;=20000,"Medium","low"))</f>
        <v>low</v>
      </c>
    </row>
    <row r="535" spans="1:20" x14ac:dyDescent="0.3">
      <c r="A535" t="s">
        <v>590</v>
      </c>
      <c r="B535">
        <v>45849</v>
      </c>
      <c r="C535" t="s">
        <v>54</v>
      </c>
      <c r="D535" t="s">
        <v>39</v>
      </c>
      <c r="E535" t="s">
        <v>52</v>
      </c>
      <c r="F535" t="s">
        <v>40</v>
      </c>
      <c r="G535">
        <v>61</v>
      </c>
      <c r="H535" t="s">
        <v>46</v>
      </c>
      <c r="I535" t="s">
        <v>69</v>
      </c>
      <c r="J535" t="s">
        <v>24</v>
      </c>
      <c r="K535">
        <v>8</v>
      </c>
      <c r="L535">
        <v>41617</v>
      </c>
      <c r="M535">
        <v>0</v>
      </c>
      <c r="N535">
        <v>41617</v>
      </c>
      <c r="O535" t="s">
        <v>32</v>
      </c>
      <c r="P535">
        <v>3.9</v>
      </c>
      <c r="Q535">
        <v>26</v>
      </c>
      <c r="R535" t="s">
        <v>1074</v>
      </c>
      <c r="S535">
        <v>7</v>
      </c>
      <c r="T535" t="str">
        <f>IF(Healthcare_Data[[#This Row],[Final_Bill]]&gt;=50000,"High",IF(Healthcare_Data[[#This Row],[Final_Bill]]&gt;=20000,"Medium","low"))</f>
        <v>Medium</v>
      </c>
    </row>
    <row r="536" spans="1:20" x14ac:dyDescent="0.3">
      <c r="A536" t="s">
        <v>591</v>
      </c>
      <c r="B536">
        <v>45849</v>
      </c>
      <c r="C536" t="s">
        <v>44</v>
      </c>
      <c r="D536" t="s">
        <v>51</v>
      </c>
      <c r="E536" t="s">
        <v>52</v>
      </c>
      <c r="F536" t="s">
        <v>21</v>
      </c>
      <c r="G536">
        <v>60</v>
      </c>
      <c r="H536" t="s">
        <v>65</v>
      </c>
      <c r="I536" t="s">
        <v>61</v>
      </c>
      <c r="J536" t="s">
        <v>58</v>
      </c>
      <c r="K536">
        <v>8</v>
      </c>
      <c r="L536">
        <v>76599</v>
      </c>
      <c r="M536">
        <v>0</v>
      </c>
      <c r="N536">
        <v>76599</v>
      </c>
      <c r="O536" t="s">
        <v>25</v>
      </c>
      <c r="P536">
        <v>4.5</v>
      </c>
      <c r="Q536">
        <v>120</v>
      </c>
      <c r="R536" t="s">
        <v>1074</v>
      </c>
      <c r="S536">
        <v>7</v>
      </c>
      <c r="T536" t="str">
        <f>IF(Healthcare_Data[[#This Row],[Final_Bill]]&gt;=50000,"High",IF(Healthcare_Data[[#This Row],[Final_Bill]]&gt;=20000,"Medium","low"))</f>
        <v>High</v>
      </c>
    </row>
    <row r="537" spans="1:20" x14ac:dyDescent="0.3">
      <c r="A537" t="s">
        <v>592</v>
      </c>
      <c r="B537">
        <v>45851</v>
      </c>
      <c r="C537" t="s">
        <v>38</v>
      </c>
      <c r="D537" t="s">
        <v>34</v>
      </c>
      <c r="E537" t="s">
        <v>20</v>
      </c>
      <c r="F537" t="s">
        <v>40</v>
      </c>
      <c r="G537">
        <v>66</v>
      </c>
      <c r="H537" t="s">
        <v>35</v>
      </c>
      <c r="I537" t="s">
        <v>72</v>
      </c>
      <c r="J537" t="s">
        <v>24</v>
      </c>
      <c r="K537">
        <v>0</v>
      </c>
      <c r="L537">
        <v>15915</v>
      </c>
      <c r="M537">
        <v>1000</v>
      </c>
      <c r="N537">
        <v>14915</v>
      </c>
      <c r="O537" t="s">
        <v>25</v>
      </c>
      <c r="P537">
        <v>4.0999999999999996</v>
      </c>
      <c r="Q537">
        <v>68</v>
      </c>
      <c r="R537" t="s">
        <v>1074</v>
      </c>
      <c r="S537">
        <v>7</v>
      </c>
      <c r="T537" t="str">
        <f>IF(Healthcare_Data[[#This Row],[Final_Bill]]&gt;=50000,"High",IF(Healthcare_Data[[#This Row],[Final_Bill]]&gt;=20000,"Medium","low"))</f>
        <v>low</v>
      </c>
    </row>
    <row r="538" spans="1:20" x14ac:dyDescent="0.3">
      <c r="A538" t="s">
        <v>593</v>
      </c>
      <c r="B538">
        <v>45851</v>
      </c>
      <c r="C538" t="s">
        <v>48</v>
      </c>
      <c r="D538" t="s">
        <v>34</v>
      </c>
      <c r="E538" t="s">
        <v>20</v>
      </c>
      <c r="F538" t="s">
        <v>40</v>
      </c>
      <c r="G538">
        <v>47</v>
      </c>
      <c r="H538" t="s">
        <v>56</v>
      </c>
      <c r="I538" t="s">
        <v>42</v>
      </c>
      <c r="J538" t="s">
        <v>24</v>
      </c>
      <c r="K538">
        <v>0</v>
      </c>
      <c r="L538">
        <v>2082</v>
      </c>
      <c r="M538">
        <v>500</v>
      </c>
      <c r="N538">
        <v>1582</v>
      </c>
      <c r="O538" t="s">
        <v>25</v>
      </c>
      <c r="P538">
        <v>4.3</v>
      </c>
      <c r="Q538">
        <v>67</v>
      </c>
      <c r="R538" t="s">
        <v>1074</v>
      </c>
      <c r="S538">
        <v>7</v>
      </c>
      <c r="T538" t="str">
        <f>IF(Healthcare_Data[[#This Row],[Final_Bill]]&gt;=50000,"High",IF(Healthcare_Data[[#This Row],[Final_Bill]]&gt;=20000,"Medium","low"))</f>
        <v>low</v>
      </c>
    </row>
    <row r="539" spans="1:20" x14ac:dyDescent="0.3">
      <c r="A539" t="s">
        <v>594</v>
      </c>
      <c r="B539">
        <v>45851</v>
      </c>
      <c r="C539" t="s">
        <v>44</v>
      </c>
      <c r="D539" t="s">
        <v>39</v>
      </c>
      <c r="E539" t="s">
        <v>52</v>
      </c>
      <c r="F539" t="s">
        <v>40</v>
      </c>
      <c r="G539">
        <v>38</v>
      </c>
      <c r="H539" t="s">
        <v>29</v>
      </c>
      <c r="I539" t="s">
        <v>61</v>
      </c>
      <c r="J539" t="s">
        <v>36</v>
      </c>
      <c r="K539">
        <v>7</v>
      </c>
      <c r="L539">
        <v>16079</v>
      </c>
      <c r="M539">
        <v>1000</v>
      </c>
      <c r="N539">
        <v>15079</v>
      </c>
      <c r="O539" t="s">
        <v>25</v>
      </c>
      <c r="P539">
        <v>4.3</v>
      </c>
      <c r="Q539">
        <v>9</v>
      </c>
      <c r="R539" t="s">
        <v>1074</v>
      </c>
      <c r="S539">
        <v>7</v>
      </c>
      <c r="T539" t="str">
        <f>IF(Healthcare_Data[[#This Row],[Final_Bill]]&gt;=50000,"High",IF(Healthcare_Data[[#This Row],[Final_Bill]]&gt;=20000,"Medium","low"))</f>
        <v>low</v>
      </c>
    </row>
    <row r="540" spans="1:20" x14ac:dyDescent="0.3">
      <c r="A540" t="s">
        <v>595</v>
      </c>
      <c r="B540">
        <v>45852</v>
      </c>
      <c r="C540" t="s">
        <v>48</v>
      </c>
      <c r="D540" t="s">
        <v>34</v>
      </c>
      <c r="E540" t="s">
        <v>20</v>
      </c>
      <c r="F540" t="s">
        <v>40</v>
      </c>
      <c r="G540">
        <v>49</v>
      </c>
      <c r="H540" t="s">
        <v>65</v>
      </c>
      <c r="I540" t="s">
        <v>69</v>
      </c>
      <c r="J540" t="s">
        <v>36</v>
      </c>
      <c r="K540">
        <v>0</v>
      </c>
      <c r="L540">
        <v>5036</v>
      </c>
      <c r="M540">
        <v>0</v>
      </c>
      <c r="N540">
        <v>5036</v>
      </c>
      <c r="O540" t="s">
        <v>25</v>
      </c>
      <c r="P540">
        <v>3.3</v>
      </c>
      <c r="Q540">
        <v>34</v>
      </c>
      <c r="R540" t="s">
        <v>1074</v>
      </c>
      <c r="S540">
        <v>7</v>
      </c>
      <c r="T540" t="str">
        <f>IF(Healthcare_Data[[#This Row],[Final_Bill]]&gt;=50000,"High",IF(Healthcare_Data[[#This Row],[Final_Bill]]&gt;=20000,"Medium","low"))</f>
        <v>low</v>
      </c>
    </row>
    <row r="541" spans="1:20" x14ac:dyDescent="0.3">
      <c r="A541" t="s">
        <v>596</v>
      </c>
      <c r="B541">
        <v>45852</v>
      </c>
      <c r="C541" t="s">
        <v>54</v>
      </c>
      <c r="D541" t="s">
        <v>51</v>
      </c>
      <c r="E541" t="s">
        <v>20</v>
      </c>
      <c r="F541" t="s">
        <v>21</v>
      </c>
      <c r="G541">
        <v>73</v>
      </c>
      <c r="H541" t="s">
        <v>115</v>
      </c>
      <c r="I541" t="s">
        <v>63</v>
      </c>
      <c r="J541" t="s">
        <v>31</v>
      </c>
      <c r="K541">
        <v>0</v>
      </c>
      <c r="L541">
        <v>13342</v>
      </c>
      <c r="M541">
        <v>500</v>
      </c>
      <c r="N541">
        <v>12842</v>
      </c>
      <c r="O541" t="s">
        <v>25</v>
      </c>
      <c r="P541">
        <v>4.9000000000000004</v>
      </c>
      <c r="Q541">
        <v>103</v>
      </c>
      <c r="R541" t="s">
        <v>1074</v>
      </c>
      <c r="S541">
        <v>7</v>
      </c>
      <c r="T541" t="str">
        <f>IF(Healthcare_Data[[#This Row],[Final_Bill]]&gt;=50000,"High",IF(Healthcare_Data[[#This Row],[Final_Bill]]&gt;=20000,"Medium","low"))</f>
        <v>low</v>
      </c>
    </row>
    <row r="542" spans="1:20" x14ac:dyDescent="0.3">
      <c r="A542" t="s">
        <v>597</v>
      </c>
      <c r="B542">
        <v>45852</v>
      </c>
      <c r="C542" t="s">
        <v>50</v>
      </c>
      <c r="D542" t="s">
        <v>28</v>
      </c>
      <c r="E542" t="s">
        <v>52</v>
      </c>
      <c r="F542" t="s">
        <v>40</v>
      </c>
      <c r="G542">
        <v>47</v>
      </c>
      <c r="H542" t="s">
        <v>35</v>
      </c>
      <c r="I542" t="s">
        <v>57</v>
      </c>
      <c r="J542" t="s">
        <v>24</v>
      </c>
      <c r="K542">
        <v>2</v>
      </c>
      <c r="L542">
        <v>27076</v>
      </c>
      <c r="M542">
        <v>500</v>
      </c>
      <c r="N542">
        <v>26576</v>
      </c>
      <c r="O542" t="s">
        <v>32</v>
      </c>
      <c r="P542">
        <v>3.1</v>
      </c>
      <c r="Q542">
        <v>34</v>
      </c>
      <c r="R542" t="s">
        <v>1074</v>
      </c>
      <c r="S542">
        <v>7</v>
      </c>
      <c r="T542" t="str">
        <f>IF(Healthcare_Data[[#This Row],[Final_Bill]]&gt;=50000,"High",IF(Healthcare_Data[[#This Row],[Final_Bill]]&gt;=20000,"Medium","low"))</f>
        <v>Medium</v>
      </c>
    </row>
    <row r="543" spans="1:20" x14ac:dyDescent="0.3">
      <c r="A543" t="s">
        <v>598</v>
      </c>
      <c r="B543">
        <v>45853</v>
      </c>
      <c r="C543" t="s">
        <v>27</v>
      </c>
      <c r="D543" t="s">
        <v>51</v>
      </c>
      <c r="E543" t="s">
        <v>20</v>
      </c>
      <c r="F543" t="s">
        <v>40</v>
      </c>
      <c r="G543">
        <v>39</v>
      </c>
      <c r="H543" t="s">
        <v>46</v>
      </c>
      <c r="I543" t="s">
        <v>30</v>
      </c>
      <c r="J543" t="s">
        <v>24</v>
      </c>
      <c r="K543">
        <v>0</v>
      </c>
      <c r="L543">
        <v>9387</v>
      </c>
      <c r="M543">
        <v>500</v>
      </c>
      <c r="N543">
        <v>8887</v>
      </c>
      <c r="O543" t="s">
        <v>25</v>
      </c>
      <c r="P543">
        <v>4.9000000000000004</v>
      </c>
      <c r="Q543">
        <v>90</v>
      </c>
      <c r="R543" t="s">
        <v>1074</v>
      </c>
      <c r="S543">
        <v>7</v>
      </c>
      <c r="T543" t="str">
        <f>IF(Healthcare_Data[[#This Row],[Final_Bill]]&gt;=50000,"High",IF(Healthcare_Data[[#This Row],[Final_Bill]]&gt;=20000,"Medium","low"))</f>
        <v>low</v>
      </c>
    </row>
    <row r="544" spans="1:20" x14ac:dyDescent="0.3">
      <c r="A544" t="s">
        <v>599</v>
      </c>
      <c r="B544">
        <v>45853</v>
      </c>
      <c r="C544" t="s">
        <v>54</v>
      </c>
      <c r="D544" t="s">
        <v>28</v>
      </c>
      <c r="E544" t="s">
        <v>52</v>
      </c>
      <c r="F544" t="s">
        <v>21</v>
      </c>
      <c r="G544">
        <v>75</v>
      </c>
      <c r="H544" t="s">
        <v>46</v>
      </c>
      <c r="I544" t="s">
        <v>57</v>
      </c>
      <c r="J544" t="s">
        <v>58</v>
      </c>
      <c r="K544">
        <v>12</v>
      </c>
      <c r="L544">
        <v>45285</v>
      </c>
      <c r="M544">
        <v>1500</v>
      </c>
      <c r="N544">
        <v>43785</v>
      </c>
      <c r="O544" t="s">
        <v>25</v>
      </c>
      <c r="P544">
        <v>2.7</v>
      </c>
      <c r="Q544">
        <v>92</v>
      </c>
      <c r="R544" t="s">
        <v>1074</v>
      </c>
      <c r="S544">
        <v>7</v>
      </c>
      <c r="T544" t="str">
        <f>IF(Healthcare_Data[[#This Row],[Final_Bill]]&gt;=50000,"High",IF(Healthcare_Data[[#This Row],[Final_Bill]]&gt;=20000,"Medium","low"))</f>
        <v>Medium</v>
      </c>
    </row>
    <row r="545" spans="1:20" x14ac:dyDescent="0.3">
      <c r="A545" t="s">
        <v>600</v>
      </c>
      <c r="B545">
        <v>45854</v>
      </c>
      <c r="C545" t="s">
        <v>44</v>
      </c>
      <c r="D545" t="s">
        <v>19</v>
      </c>
      <c r="E545" t="s">
        <v>20</v>
      </c>
      <c r="F545" t="s">
        <v>21</v>
      </c>
      <c r="G545">
        <v>33</v>
      </c>
      <c r="H545" t="s">
        <v>41</v>
      </c>
      <c r="I545" t="s">
        <v>63</v>
      </c>
      <c r="J545" t="s">
        <v>24</v>
      </c>
      <c r="K545">
        <v>0</v>
      </c>
      <c r="L545">
        <v>14186</v>
      </c>
      <c r="M545">
        <v>1000</v>
      </c>
      <c r="N545">
        <v>13186</v>
      </c>
      <c r="O545" t="s">
        <v>25</v>
      </c>
      <c r="P545">
        <v>2.8</v>
      </c>
      <c r="Q545">
        <v>76</v>
      </c>
      <c r="R545" t="s">
        <v>1074</v>
      </c>
      <c r="S545">
        <v>7</v>
      </c>
      <c r="T545" t="str">
        <f>IF(Healthcare_Data[[#This Row],[Final_Bill]]&gt;=50000,"High",IF(Healthcare_Data[[#This Row],[Final_Bill]]&gt;=20000,"Medium","low"))</f>
        <v>low</v>
      </c>
    </row>
    <row r="546" spans="1:20" x14ac:dyDescent="0.3">
      <c r="A546" t="s">
        <v>601</v>
      </c>
      <c r="B546">
        <v>45854</v>
      </c>
      <c r="C546" t="s">
        <v>44</v>
      </c>
      <c r="D546" t="s">
        <v>19</v>
      </c>
      <c r="E546" t="s">
        <v>20</v>
      </c>
      <c r="F546" t="s">
        <v>21</v>
      </c>
      <c r="G546">
        <v>53</v>
      </c>
      <c r="H546" t="s">
        <v>35</v>
      </c>
      <c r="I546" t="s">
        <v>30</v>
      </c>
      <c r="J546" t="s">
        <v>58</v>
      </c>
      <c r="K546">
        <v>0</v>
      </c>
      <c r="L546">
        <v>17454</v>
      </c>
      <c r="M546">
        <v>0</v>
      </c>
      <c r="N546">
        <v>17454</v>
      </c>
      <c r="O546" t="s">
        <v>25</v>
      </c>
      <c r="P546">
        <v>4</v>
      </c>
      <c r="Q546">
        <v>66</v>
      </c>
      <c r="R546" t="s">
        <v>1074</v>
      </c>
      <c r="S546">
        <v>7</v>
      </c>
      <c r="T546" t="str">
        <f>IF(Healthcare_Data[[#This Row],[Final_Bill]]&gt;=50000,"High",IF(Healthcare_Data[[#This Row],[Final_Bill]]&gt;=20000,"Medium","low"))</f>
        <v>low</v>
      </c>
    </row>
    <row r="547" spans="1:20" x14ac:dyDescent="0.3">
      <c r="A547" t="s">
        <v>602</v>
      </c>
      <c r="B547">
        <v>45855</v>
      </c>
      <c r="C547" t="s">
        <v>27</v>
      </c>
      <c r="D547" t="s">
        <v>34</v>
      </c>
      <c r="E547" t="s">
        <v>20</v>
      </c>
      <c r="F547" t="s">
        <v>40</v>
      </c>
      <c r="G547">
        <v>23</v>
      </c>
      <c r="H547" t="s">
        <v>35</v>
      </c>
      <c r="I547" t="s">
        <v>72</v>
      </c>
      <c r="J547" t="s">
        <v>58</v>
      </c>
      <c r="K547">
        <v>0</v>
      </c>
      <c r="L547">
        <v>11377</v>
      </c>
      <c r="M547">
        <v>1000</v>
      </c>
      <c r="N547">
        <v>10377</v>
      </c>
      <c r="O547" t="s">
        <v>25</v>
      </c>
      <c r="P547">
        <v>2.6</v>
      </c>
      <c r="Q547">
        <v>70</v>
      </c>
      <c r="R547" t="s">
        <v>1074</v>
      </c>
      <c r="S547">
        <v>7</v>
      </c>
      <c r="T547" t="str">
        <f>IF(Healthcare_Data[[#This Row],[Final_Bill]]&gt;=50000,"High",IF(Healthcare_Data[[#This Row],[Final_Bill]]&gt;=20000,"Medium","low"))</f>
        <v>low</v>
      </c>
    </row>
    <row r="548" spans="1:20" x14ac:dyDescent="0.3">
      <c r="A548" t="s">
        <v>603</v>
      </c>
      <c r="B548">
        <v>45855</v>
      </c>
      <c r="C548" t="s">
        <v>67</v>
      </c>
      <c r="D548" t="s">
        <v>39</v>
      </c>
      <c r="E548" t="s">
        <v>54</v>
      </c>
      <c r="F548" t="s">
        <v>40</v>
      </c>
      <c r="G548">
        <v>51</v>
      </c>
      <c r="H548" t="s">
        <v>35</v>
      </c>
      <c r="I548" t="s">
        <v>61</v>
      </c>
      <c r="J548" t="s">
        <v>31</v>
      </c>
      <c r="K548">
        <v>0</v>
      </c>
      <c r="L548">
        <v>27131</v>
      </c>
      <c r="M548">
        <v>1500</v>
      </c>
      <c r="N548">
        <v>25631</v>
      </c>
      <c r="O548" t="s">
        <v>25</v>
      </c>
      <c r="P548">
        <v>4.7</v>
      </c>
      <c r="Q548">
        <v>39</v>
      </c>
      <c r="R548" t="s">
        <v>1074</v>
      </c>
      <c r="S548">
        <v>7</v>
      </c>
      <c r="T548" t="str">
        <f>IF(Healthcare_Data[[#This Row],[Final_Bill]]&gt;=50000,"High",IF(Healthcare_Data[[#This Row],[Final_Bill]]&gt;=20000,"Medium","low"))</f>
        <v>Medium</v>
      </c>
    </row>
    <row r="549" spans="1:20" x14ac:dyDescent="0.3">
      <c r="A549" t="s">
        <v>604</v>
      </c>
      <c r="B549">
        <v>45855</v>
      </c>
      <c r="C549" t="s">
        <v>18</v>
      </c>
      <c r="D549" t="s">
        <v>51</v>
      </c>
      <c r="E549" t="s">
        <v>52</v>
      </c>
      <c r="F549" t="s">
        <v>40</v>
      </c>
      <c r="G549">
        <v>80</v>
      </c>
      <c r="H549" t="s">
        <v>46</v>
      </c>
      <c r="I549" t="s">
        <v>30</v>
      </c>
      <c r="J549" t="s">
        <v>36</v>
      </c>
      <c r="K549">
        <v>12</v>
      </c>
      <c r="L549">
        <v>55631</v>
      </c>
      <c r="M549">
        <v>500</v>
      </c>
      <c r="N549">
        <v>55131</v>
      </c>
      <c r="O549" t="s">
        <v>25</v>
      </c>
      <c r="P549">
        <v>3.5</v>
      </c>
      <c r="Q549">
        <v>58</v>
      </c>
      <c r="R549" t="s">
        <v>1074</v>
      </c>
      <c r="S549">
        <v>7</v>
      </c>
      <c r="T549" t="str">
        <f>IF(Healthcare_Data[[#This Row],[Final_Bill]]&gt;=50000,"High",IF(Healthcare_Data[[#This Row],[Final_Bill]]&gt;=20000,"Medium","low"))</f>
        <v>High</v>
      </c>
    </row>
    <row r="550" spans="1:20" x14ac:dyDescent="0.3">
      <c r="A550" t="s">
        <v>605</v>
      </c>
      <c r="B550">
        <v>45855</v>
      </c>
      <c r="C550" t="s">
        <v>48</v>
      </c>
      <c r="D550" t="s">
        <v>19</v>
      </c>
      <c r="E550" t="s">
        <v>54</v>
      </c>
      <c r="F550" t="s">
        <v>40</v>
      </c>
      <c r="G550">
        <v>42</v>
      </c>
      <c r="H550" t="s">
        <v>115</v>
      </c>
      <c r="I550" t="s">
        <v>30</v>
      </c>
      <c r="J550" t="s">
        <v>58</v>
      </c>
      <c r="K550">
        <v>0</v>
      </c>
      <c r="L550">
        <v>16572</v>
      </c>
      <c r="M550">
        <v>0</v>
      </c>
      <c r="N550">
        <v>16572</v>
      </c>
      <c r="O550" t="s">
        <v>25</v>
      </c>
      <c r="P550">
        <v>4.7</v>
      </c>
      <c r="Q550">
        <v>85</v>
      </c>
      <c r="R550" t="s">
        <v>1074</v>
      </c>
      <c r="S550">
        <v>7</v>
      </c>
      <c r="T550" t="str">
        <f>IF(Healthcare_Data[[#This Row],[Final_Bill]]&gt;=50000,"High",IF(Healthcare_Data[[#This Row],[Final_Bill]]&gt;=20000,"Medium","low"))</f>
        <v>low</v>
      </c>
    </row>
    <row r="551" spans="1:20" x14ac:dyDescent="0.3">
      <c r="A551" t="s">
        <v>606</v>
      </c>
      <c r="B551">
        <v>45856</v>
      </c>
      <c r="C551" t="s">
        <v>27</v>
      </c>
      <c r="D551" t="s">
        <v>51</v>
      </c>
      <c r="E551" t="s">
        <v>52</v>
      </c>
      <c r="F551" t="s">
        <v>40</v>
      </c>
      <c r="G551">
        <v>42</v>
      </c>
      <c r="H551" t="s">
        <v>22</v>
      </c>
      <c r="I551" t="s">
        <v>23</v>
      </c>
      <c r="J551" t="s">
        <v>24</v>
      </c>
      <c r="K551">
        <v>10</v>
      </c>
      <c r="L551">
        <v>29746</v>
      </c>
      <c r="M551">
        <v>1000</v>
      </c>
      <c r="N551">
        <v>28746</v>
      </c>
      <c r="O551" t="s">
        <v>32</v>
      </c>
      <c r="P551">
        <v>2.7</v>
      </c>
      <c r="Q551">
        <v>116</v>
      </c>
      <c r="R551" t="s">
        <v>1074</v>
      </c>
      <c r="S551">
        <v>7</v>
      </c>
      <c r="T551" t="str">
        <f>IF(Healthcare_Data[[#This Row],[Final_Bill]]&gt;=50000,"High",IF(Healthcare_Data[[#This Row],[Final_Bill]]&gt;=20000,"Medium","low"))</f>
        <v>Medium</v>
      </c>
    </row>
    <row r="552" spans="1:20" x14ac:dyDescent="0.3">
      <c r="A552" t="s">
        <v>607</v>
      </c>
      <c r="B552">
        <v>45858</v>
      </c>
      <c r="C552" t="s">
        <v>27</v>
      </c>
      <c r="D552" t="s">
        <v>28</v>
      </c>
      <c r="E552" t="s">
        <v>20</v>
      </c>
      <c r="F552" t="s">
        <v>21</v>
      </c>
      <c r="G552">
        <v>22</v>
      </c>
      <c r="H552" t="s">
        <v>22</v>
      </c>
      <c r="I552" t="s">
        <v>30</v>
      </c>
      <c r="J552" t="s">
        <v>36</v>
      </c>
      <c r="K552">
        <v>0</v>
      </c>
      <c r="L552">
        <v>17051</v>
      </c>
      <c r="M552">
        <v>0</v>
      </c>
      <c r="N552">
        <v>17051</v>
      </c>
      <c r="O552" t="s">
        <v>25</v>
      </c>
      <c r="P552">
        <v>4.9000000000000004</v>
      </c>
      <c r="Q552">
        <v>13</v>
      </c>
      <c r="R552" t="s">
        <v>1074</v>
      </c>
      <c r="S552">
        <v>7</v>
      </c>
      <c r="T552" t="str">
        <f>IF(Healthcare_Data[[#This Row],[Final_Bill]]&gt;=50000,"High",IF(Healthcare_Data[[#This Row],[Final_Bill]]&gt;=20000,"Medium","low"))</f>
        <v>low</v>
      </c>
    </row>
    <row r="553" spans="1:20" x14ac:dyDescent="0.3">
      <c r="A553" t="s">
        <v>608</v>
      </c>
      <c r="B553">
        <v>45858</v>
      </c>
      <c r="C553" t="s">
        <v>48</v>
      </c>
      <c r="D553" t="s">
        <v>34</v>
      </c>
      <c r="E553" t="s">
        <v>52</v>
      </c>
      <c r="F553" t="s">
        <v>21</v>
      </c>
      <c r="G553">
        <v>80</v>
      </c>
      <c r="H553" t="s">
        <v>22</v>
      </c>
      <c r="I553" t="s">
        <v>23</v>
      </c>
      <c r="J553" t="s">
        <v>24</v>
      </c>
      <c r="K553">
        <v>8</v>
      </c>
      <c r="L553">
        <v>52973</v>
      </c>
      <c r="M553">
        <v>1000</v>
      </c>
      <c r="N553">
        <v>51973</v>
      </c>
      <c r="O553" t="s">
        <v>25</v>
      </c>
      <c r="P553">
        <v>4.0999999999999996</v>
      </c>
      <c r="Q553">
        <v>98</v>
      </c>
      <c r="R553" t="s">
        <v>1074</v>
      </c>
      <c r="S553">
        <v>7</v>
      </c>
      <c r="T553" t="str">
        <f>IF(Healthcare_Data[[#This Row],[Final_Bill]]&gt;=50000,"High",IF(Healthcare_Data[[#This Row],[Final_Bill]]&gt;=20000,"Medium","low"))</f>
        <v>High</v>
      </c>
    </row>
    <row r="554" spans="1:20" x14ac:dyDescent="0.3">
      <c r="A554" t="s">
        <v>609</v>
      </c>
      <c r="B554">
        <v>45858</v>
      </c>
      <c r="C554" t="s">
        <v>67</v>
      </c>
      <c r="D554" t="s">
        <v>34</v>
      </c>
      <c r="E554" t="s">
        <v>20</v>
      </c>
      <c r="F554" t="s">
        <v>21</v>
      </c>
      <c r="G554">
        <v>27</v>
      </c>
      <c r="H554" t="s">
        <v>35</v>
      </c>
      <c r="I554" t="s">
        <v>30</v>
      </c>
      <c r="J554" t="s">
        <v>31</v>
      </c>
      <c r="K554">
        <v>0</v>
      </c>
      <c r="L554">
        <v>7961</v>
      </c>
      <c r="M554">
        <v>2000</v>
      </c>
      <c r="N554">
        <v>5961</v>
      </c>
      <c r="O554" t="s">
        <v>25</v>
      </c>
      <c r="P554">
        <v>3.3</v>
      </c>
      <c r="Q554">
        <v>41</v>
      </c>
      <c r="R554" t="s">
        <v>1074</v>
      </c>
      <c r="S554">
        <v>7</v>
      </c>
      <c r="T554" t="str">
        <f>IF(Healthcare_Data[[#This Row],[Final_Bill]]&gt;=50000,"High",IF(Healthcare_Data[[#This Row],[Final_Bill]]&gt;=20000,"Medium","low"))</f>
        <v>low</v>
      </c>
    </row>
    <row r="555" spans="1:20" x14ac:dyDescent="0.3">
      <c r="A555" t="s">
        <v>610</v>
      </c>
      <c r="B555">
        <v>45859</v>
      </c>
      <c r="C555" t="s">
        <v>54</v>
      </c>
      <c r="D555" t="s">
        <v>39</v>
      </c>
      <c r="E555" t="s">
        <v>20</v>
      </c>
      <c r="F555" t="s">
        <v>21</v>
      </c>
      <c r="G555">
        <v>40</v>
      </c>
      <c r="H555" t="s">
        <v>41</v>
      </c>
      <c r="I555" t="s">
        <v>23</v>
      </c>
      <c r="J555" t="s">
        <v>24</v>
      </c>
      <c r="K555">
        <v>0</v>
      </c>
      <c r="L555">
        <v>6260</v>
      </c>
      <c r="M555">
        <v>1500</v>
      </c>
      <c r="N555">
        <v>4760</v>
      </c>
      <c r="O555" t="s">
        <v>59</v>
      </c>
      <c r="P555">
        <v>2.9</v>
      </c>
      <c r="Q555">
        <v>62</v>
      </c>
      <c r="R555" t="s">
        <v>1074</v>
      </c>
      <c r="S555">
        <v>7</v>
      </c>
      <c r="T555" t="str">
        <f>IF(Healthcare_Data[[#This Row],[Final_Bill]]&gt;=50000,"High",IF(Healthcare_Data[[#This Row],[Final_Bill]]&gt;=20000,"Medium","low"))</f>
        <v>low</v>
      </c>
    </row>
    <row r="556" spans="1:20" x14ac:dyDescent="0.3">
      <c r="A556" t="s">
        <v>611</v>
      </c>
      <c r="B556">
        <v>45859</v>
      </c>
      <c r="C556" t="s">
        <v>54</v>
      </c>
      <c r="D556" t="s">
        <v>19</v>
      </c>
      <c r="E556" t="s">
        <v>54</v>
      </c>
      <c r="F556" t="s">
        <v>21</v>
      </c>
      <c r="G556">
        <v>49</v>
      </c>
      <c r="H556" t="s">
        <v>46</v>
      </c>
      <c r="I556" t="s">
        <v>42</v>
      </c>
      <c r="J556" t="s">
        <v>36</v>
      </c>
      <c r="K556">
        <v>0</v>
      </c>
      <c r="L556">
        <v>25290</v>
      </c>
      <c r="M556">
        <v>0</v>
      </c>
      <c r="N556">
        <v>25290</v>
      </c>
      <c r="O556" t="s">
        <v>25</v>
      </c>
      <c r="P556">
        <v>4.3</v>
      </c>
      <c r="Q556">
        <v>29</v>
      </c>
      <c r="R556" t="s">
        <v>1074</v>
      </c>
      <c r="S556">
        <v>7</v>
      </c>
      <c r="T556" t="str">
        <f>IF(Healthcare_Data[[#This Row],[Final_Bill]]&gt;=50000,"High",IF(Healthcare_Data[[#This Row],[Final_Bill]]&gt;=20000,"Medium","low"))</f>
        <v>Medium</v>
      </c>
    </row>
    <row r="557" spans="1:20" x14ac:dyDescent="0.3">
      <c r="A557" t="s">
        <v>612</v>
      </c>
      <c r="B557">
        <v>45859</v>
      </c>
      <c r="C557" t="s">
        <v>67</v>
      </c>
      <c r="D557" t="s">
        <v>19</v>
      </c>
      <c r="E557" t="s">
        <v>20</v>
      </c>
      <c r="F557" t="s">
        <v>21</v>
      </c>
      <c r="G557">
        <v>38</v>
      </c>
      <c r="H557" t="s">
        <v>35</v>
      </c>
      <c r="I557" t="s">
        <v>69</v>
      </c>
      <c r="J557" t="s">
        <v>24</v>
      </c>
      <c r="K557">
        <v>0</v>
      </c>
      <c r="L557">
        <v>6246</v>
      </c>
      <c r="M557">
        <v>0</v>
      </c>
      <c r="N557">
        <v>6246</v>
      </c>
      <c r="O557" t="s">
        <v>25</v>
      </c>
      <c r="P557">
        <v>4.0999999999999996</v>
      </c>
      <c r="Q557">
        <v>8</v>
      </c>
      <c r="R557" t="s">
        <v>1074</v>
      </c>
      <c r="S557">
        <v>7</v>
      </c>
      <c r="T557" t="str">
        <f>IF(Healthcare_Data[[#This Row],[Final_Bill]]&gt;=50000,"High",IF(Healthcare_Data[[#This Row],[Final_Bill]]&gt;=20000,"Medium","low"))</f>
        <v>low</v>
      </c>
    </row>
    <row r="558" spans="1:20" x14ac:dyDescent="0.3">
      <c r="A558" t="s">
        <v>613</v>
      </c>
      <c r="B558">
        <v>45859</v>
      </c>
      <c r="C558" t="s">
        <v>38</v>
      </c>
      <c r="D558" t="s">
        <v>34</v>
      </c>
      <c r="E558" t="s">
        <v>20</v>
      </c>
      <c r="F558" t="s">
        <v>40</v>
      </c>
      <c r="G558">
        <v>74</v>
      </c>
      <c r="H558" t="s">
        <v>29</v>
      </c>
      <c r="I558" t="s">
        <v>61</v>
      </c>
      <c r="J558" t="s">
        <v>36</v>
      </c>
      <c r="K558">
        <v>0</v>
      </c>
      <c r="L558">
        <v>14262</v>
      </c>
      <c r="M558">
        <v>500</v>
      </c>
      <c r="N558">
        <v>13762</v>
      </c>
      <c r="O558" t="s">
        <v>25</v>
      </c>
      <c r="P558">
        <v>4.4000000000000004</v>
      </c>
      <c r="Q558">
        <v>101</v>
      </c>
      <c r="R558" t="s">
        <v>1074</v>
      </c>
      <c r="S558">
        <v>7</v>
      </c>
      <c r="T558" t="str">
        <f>IF(Healthcare_Data[[#This Row],[Final_Bill]]&gt;=50000,"High",IF(Healthcare_Data[[#This Row],[Final_Bill]]&gt;=20000,"Medium","low"))</f>
        <v>low</v>
      </c>
    </row>
    <row r="559" spans="1:20" x14ac:dyDescent="0.3">
      <c r="A559" t="s">
        <v>614</v>
      </c>
      <c r="B559">
        <v>45860</v>
      </c>
      <c r="C559" t="s">
        <v>44</v>
      </c>
      <c r="D559" t="s">
        <v>39</v>
      </c>
      <c r="E559" t="s">
        <v>52</v>
      </c>
      <c r="F559" t="s">
        <v>40</v>
      </c>
      <c r="G559">
        <v>49</v>
      </c>
      <c r="H559" t="s">
        <v>115</v>
      </c>
      <c r="I559" t="s">
        <v>30</v>
      </c>
      <c r="J559" t="s">
        <v>36</v>
      </c>
      <c r="K559">
        <v>4</v>
      </c>
      <c r="L559">
        <v>16756</v>
      </c>
      <c r="M559">
        <v>0</v>
      </c>
      <c r="N559">
        <v>16756</v>
      </c>
      <c r="O559" t="s">
        <v>25</v>
      </c>
      <c r="P559">
        <v>3.6</v>
      </c>
      <c r="Q559">
        <v>7</v>
      </c>
      <c r="R559" t="s">
        <v>1074</v>
      </c>
      <c r="S559">
        <v>7</v>
      </c>
      <c r="T559" t="str">
        <f>IF(Healthcare_Data[[#This Row],[Final_Bill]]&gt;=50000,"High",IF(Healthcare_Data[[#This Row],[Final_Bill]]&gt;=20000,"Medium","low"))</f>
        <v>low</v>
      </c>
    </row>
    <row r="560" spans="1:20" x14ac:dyDescent="0.3">
      <c r="A560" t="s">
        <v>615</v>
      </c>
      <c r="B560">
        <v>45860</v>
      </c>
      <c r="C560" t="s">
        <v>50</v>
      </c>
      <c r="D560" t="s">
        <v>28</v>
      </c>
      <c r="E560" t="s">
        <v>20</v>
      </c>
      <c r="F560" t="s">
        <v>21</v>
      </c>
      <c r="G560">
        <v>33</v>
      </c>
      <c r="H560" t="s">
        <v>41</v>
      </c>
      <c r="I560" t="s">
        <v>63</v>
      </c>
      <c r="J560" t="s">
        <v>24</v>
      </c>
      <c r="K560">
        <v>0</v>
      </c>
      <c r="L560">
        <v>17031</v>
      </c>
      <c r="M560">
        <v>0</v>
      </c>
      <c r="N560">
        <v>17031</v>
      </c>
      <c r="O560" t="s">
        <v>25</v>
      </c>
      <c r="P560">
        <v>4.9000000000000004</v>
      </c>
      <c r="Q560">
        <v>95</v>
      </c>
      <c r="R560" t="s">
        <v>1074</v>
      </c>
      <c r="S560">
        <v>7</v>
      </c>
      <c r="T560" t="str">
        <f>IF(Healthcare_Data[[#This Row],[Final_Bill]]&gt;=50000,"High",IF(Healthcare_Data[[#This Row],[Final_Bill]]&gt;=20000,"Medium","low"))</f>
        <v>low</v>
      </c>
    </row>
    <row r="561" spans="1:20" x14ac:dyDescent="0.3">
      <c r="A561" t="s">
        <v>616</v>
      </c>
      <c r="B561">
        <v>45860</v>
      </c>
      <c r="C561" t="s">
        <v>38</v>
      </c>
      <c r="D561" t="s">
        <v>19</v>
      </c>
      <c r="E561" t="s">
        <v>20</v>
      </c>
      <c r="F561" t="s">
        <v>21</v>
      </c>
      <c r="G561">
        <v>78</v>
      </c>
      <c r="H561" t="s">
        <v>56</v>
      </c>
      <c r="I561" t="s">
        <v>30</v>
      </c>
      <c r="J561" t="s">
        <v>31</v>
      </c>
      <c r="K561">
        <v>0</v>
      </c>
      <c r="L561">
        <v>5369</v>
      </c>
      <c r="M561">
        <v>500</v>
      </c>
      <c r="N561">
        <v>4869</v>
      </c>
      <c r="O561" t="s">
        <v>25</v>
      </c>
      <c r="P561">
        <v>3.6</v>
      </c>
      <c r="Q561">
        <v>41</v>
      </c>
      <c r="R561" t="s">
        <v>1074</v>
      </c>
      <c r="S561">
        <v>7</v>
      </c>
      <c r="T561" t="str">
        <f>IF(Healthcare_Data[[#This Row],[Final_Bill]]&gt;=50000,"High",IF(Healthcare_Data[[#This Row],[Final_Bill]]&gt;=20000,"Medium","low"))</f>
        <v>low</v>
      </c>
    </row>
    <row r="562" spans="1:20" x14ac:dyDescent="0.3">
      <c r="A562" t="s">
        <v>617</v>
      </c>
      <c r="B562">
        <v>45861</v>
      </c>
      <c r="C562" t="s">
        <v>44</v>
      </c>
      <c r="D562" t="s">
        <v>51</v>
      </c>
      <c r="E562" t="s">
        <v>20</v>
      </c>
      <c r="F562" t="s">
        <v>21</v>
      </c>
      <c r="G562">
        <v>41</v>
      </c>
      <c r="H562" t="s">
        <v>35</v>
      </c>
      <c r="I562" t="s">
        <v>69</v>
      </c>
      <c r="J562" t="s">
        <v>24</v>
      </c>
      <c r="K562">
        <v>0</v>
      </c>
      <c r="L562">
        <v>7777</v>
      </c>
      <c r="M562">
        <v>500</v>
      </c>
      <c r="N562">
        <v>7277</v>
      </c>
      <c r="O562" t="s">
        <v>25</v>
      </c>
      <c r="P562">
        <v>4.9000000000000004</v>
      </c>
      <c r="Q562">
        <v>55</v>
      </c>
      <c r="R562" t="s">
        <v>1074</v>
      </c>
      <c r="S562">
        <v>7</v>
      </c>
      <c r="T562" t="str">
        <f>IF(Healthcare_Data[[#This Row],[Final_Bill]]&gt;=50000,"High",IF(Healthcare_Data[[#This Row],[Final_Bill]]&gt;=20000,"Medium","low"))</f>
        <v>low</v>
      </c>
    </row>
    <row r="563" spans="1:20" x14ac:dyDescent="0.3">
      <c r="A563" t="s">
        <v>618</v>
      </c>
      <c r="B563">
        <v>45862</v>
      </c>
      <c r="C563" t="s">
        <v>48</v>
      </c>
      <c r="D563" t="s">
        <v>39</v>
      </c>
      <c r="E563" t="s">
        <v>52</v>
      </c>
      <c r="F563" t="s">
        <v>40</v>
      </c>
      <c r="G563">
        <v>32</v>
      </c>
      <c r="H563" t="s">
        <v>115</v>
      </c>
      <c r="I563" t="s">
        <v>30</v>
      </c>
      <c r="J563" t="s">
        <v>58</v>
      </c>
      <c r="K563">
        <v>13</v>
      </c>
      <c r="L563">
        <v>44754</v>
      </c>
      <c r="M563">
        <v>0</v>
      </c>
      <c r="N563">
        <v>44754</v>
      </c>
      <c r="O563" t="s">
        <v>25</v>
      </c>
      <c r="P563">
        <v>3.3</v>
      </c>
      <c r="Q563">
        <v>5</v>
      </c>
      <c r="R563" t="s">
        <v>1074</v>
      </c>
      <c r="S563">
        <v>7</v>
      </c>
      <c r="T563" t="str">
        <f>IF(Healthcare_Data[[#This Row],[Final_Bill]]&gt;=50000,"High",IF(Healthcare_Data[[#This Row],[Final_Bill]]&gt;=20000,"Medium","low"))</f>
        <v>Medium</v>
      </c>
    </row>
    <row r="564" spans="1:20" x14ac:dyDescent="0.3">
      <c r="A564" t="s">
        <v>619</v>
      </c>
      <c r="B564">
        <v>45862</v>
      </c>
      <c r="C564" t="s">
        <v>54</v>
      </c>
      <c r="D564" t="s">
        <v>19</v>
      </c>
      <c r="E564" t="s">
        <v>20</v>
      </c>
      <c r="F564" t="s">
        <v>40</v>
      </c>
      <c r="G564">
        <v>76</v>
      </c>
      <c r="H564" t="s">
        <v>65</v>
      </c>
      <c r="I564" t="s">
        <v>72</v>
      </c>
      <c r="J564" t="s">
        <v>58</v>
      </c>
      <c r="K564">
        <v>0</v>
      </c>
      <c r="L564">
        <v>2410</v>
      </c>
      <c r="M564">
        <v>500</v>
      </c>
      <c r="N564">
        <v>1910</v>
      </c>
      <c r="O564" t="s">
        <v>25</v>
      </c>
      <c r="P564">
        <v>3.5</v>
      </c>
      <c r="Q564">
        <v>116</v>
      </c>
      <c r="R564" t="s">
        <v>1074</v>
      </c>
      <c r="S564">
        <v>7</v>
      </c>
      <c r="T564" t="str">
        <f>IF(Healthcare_Data[[#This Row],[Final_Bill]]&gt;=50000,"High",IF(Healthcare_Data[[#This Row],[Final_Bill]]&gt;=20000,"Medium","low"))</f>
        <v>low</v>
      </c>
    </row>
    <row r="565" spans="1:20" x14ac:dyDescent="0.3">
      <c r="A565" t="s">
        <v>620</v>
      </c>
      <c r="B565">
        <v>45863</v>
      </c>
      <c r="C565" t="s">
        <v>18</v>
      </c>
      <c r="D565" t="s">
        <v>39</v>
      </c>
      <c r="E565" t="s">
        <v>54</v>
      </c>
      <c r="F565" t="s">
        <v>40</v>
      </c>
      <c r="G565">
        <v>62</v>
      </c>
      <c r="H565" t="s">
        <v>29</v>
      </c>
      <c r="I565" t="s">
        <v>30</v>
      </c>
      <c r="J565" t="s">
        <v>24</v>
      </c>
      <c r="K565">
        <v>0</v>
      </c>
      <c r="L565">
        <v>19415</v>
      </c>
      <c r="M565">
        <v>0</v>
      </c>
      <c r="N565">
        <v>19415</v>
      </c>
      <c r="O565" t="s">
        <v>25</v>
      </c>
      <c r="P565">
        <v>3.7</v>
      </c>
      <c r="Q565">
        <v>93</v>
      </c>
      <c r="R565" t="s">
        <v>1074</v>
      </c>
      <c r="S565">
        <v>7</v>
      </c>
      <c r="T565" t="str">
        <f>IF(Healthcare_Data[[#This Row],[Final_Bill]]&gt;=50000,"High",IF(Healthcare_Data[[#This Row],[Final_Bill]]&gt;=20000,"Medium","low"))</f>
        <v>low</v>
      </c>
    </row>
    <row r="566" spans="1:20" x14ac:dyDescent="0.3">
      <c r="A566" t="s">
        <v>621</v>
      </c>
      <c r="B566">
        <v>45863</v>
      </c>
      <c r="C566" t="s">
        <v>50</v>
      </c>
      <c r="D566" t="s">
        <v>51</v>
      </c>
      <c r="E566" t="s">
        <v>20</v>
      </c>
      <c r="F566" t="s">
        <v>21</v>
      </c>
      <c r="G566">
        <v>69</v>
      </c>
      <c r="H566" t="s">
        <v>29</v>
      </c>
      <c r="I566" t="s">
        <v>30</v>
      </c>
      <c r="J566" t="s">
        <v>24</v>
      </c>
      <c r="K566">
        <v>0</v>
      </c>
      <c r="L566">
        <v>19301</v>
      </c>
      <c r="M566">
        <v>1500</v>
      </c>
      <c r="N566">
        <v>17801</v>
      </c>
      <c r="O566" t="s">
        <v>32</v>
      </c>
      <c r="P566">
        <v>4.5999999999999996</v>
      </c>
      <c r="Q566">
        <v>8</v>
      </c>
      <c r="R566" t="s">
        <v>1074</v>
      </c>
      <c r="S566">
        <v>7</v>
      </c>
      <c r="T566" t="str">
        <f>IF(Healthcare_Data[[#This Row],[Final_Bill]]&gt;=50000,"High",IF(Healthcare_Data[[#This Row],[Final_Bill]]&gt;=20000,"Medium","low"))</f>
        <v>low</v>
      </c>
    </row>
    <row r="567" spans="1:20" x14ac:dyDescent="0.3">
      <c r="A567" t="s">
        <v>622</v>
      </c>
      <c r="B567">
        <v>45864</v>
      </c>
      <c r="C567" t="s">
        <v>48</v>
      </c>
      <c r="D567" t="s">
        <v>39</v>
      </c>
      <c r="E567" t="s">
        <v>52</v>
      </c>
      <c r="F567" t="s">
        <v>40</v>
      </c>
      <c r="G567">
        <v>74</v>
      </c>
      <c r="H567" t="s">
        <v>65</v>
      </c>
      <c r="I567" t="s">
        <v>61</v>
      </c>
      <c r="J567" t="s">
        <v>58</v>
      </c>
      <c r="K567">
        <v>13</v>
      </c>
      <c r="L567">
        <v>79405</v>
      </c>
      <c r="M567">
        <v>0</v>
      </c>
      <c r="N567">
        <v>79405</v>
      </c>
      <c r="O567" t="s">
        <v>32</v>
      </c>
      <c r="P567">
        <v>3.5</v>
      </c>
      <c r="Q567">
        <v>71</v>
      </c>
      <c r="R567" t="s">
        <v>1074</v>
      </c>
      <c r="S567">
        <v>7</v>
      </c>
      <c r="T567" t="str">
        <f>IF(Healthcare_Data[[#This Row],[Final_Bill]]&gt;=50000,"High",IF(Healthcare_Data[[#This Row],[Final_Bill]]&gt;=20000,"Medium","low"))</f>
        <v>High</v>
      </c>
    </row>
    <row r="568" spans="1:20" x14ac:dyDescent="0.3">
      <c r="A568" t="s">
        <v>623</v>
      </c>
      <c r="B568">
        <v>45864</v>
      </c>
      <c r="C568" t="s">
        <v>67</v>
      </c>
      <c r="D568" t="s">
        <v>19</v>
      </c>
      <c r="E568" t="s">
        <v>20</v>
      </c>
      <c r="F568" t="s">
        <v>40</v>
      </c>
      <c r="G568">
        <v>22</v>
      </c>
      <c r="H568" t="s">
        <v>56</v>
      </c>
      <c r="I568" t="s">
        <v>42</v>
      </c>
      <c r="J568" t="s">
        <v>58</v>
      </c>
      <c r="K568">
        <v>0</v>
      </c>
      <c r="L568">
        <v>3696</v>
      </c>
      <c r="M568">
        <v>1500</v>
      </c>
      <c r="N568">
        <v>2196</v>
      </c>
      <c r="O568" t="s">
        <v>32</v>
      </c>
      <c r="P568">
        <v>3</v>
      </c>
      <c r="Q568">
        <v>93</v>
      </c>
      <c r="R568" t="s">
        <v>1074</v>
      </c>
      <c r="S568">
        <v>7</v>
      </c>
      <c r="T568" t="str">
        <f>IF(Healthcare_Data[[#This Row],[Final_Bill]]&gt;=50000,"High",IF(Healthcare_Data[[#This Row],[Final_Bill]]&gt;=20000,"Medium","low"))</f>
        <v>low</v>
      </c>
    </row>
    <row r="569" spans="1:20" x14ac:dyDescent="0.3">
      <c r="A569" t="s">
        <v>624</v>
      </c>
      <c r="B569">
        <v>45864</v>
      </c>
      <c r="C569" t="s">
        <v>67</v>
      </c>
      <c r="D569" t="s">
        <v>51</v>
      </c>
      <c r="E569" t="s">
        <v>20</v>
      </c>
      <c r="F569" t="s">
        <v>21</v>
      </c>
      <c r="G569">
        <v>73</v>
      </c>
      <c r="H569" t="s">
        <v>22</v>
      </c>
      <c r="I569" t="s">
        <v>61</v>
      </c>
      <c r="J569" t="s">
        <v>31</v>
      </c>
      <c r="K569">
        <v>0</v>
      </c>
      <c r="L569">
        <v>6755</v>
      </c>
      <c r="M569">
        <v>500</v>
      </c>
      <c r="N569">
        <v>6255</v>
      </c>
      <c r="O569" t="s">
        <v>25</v>
      </c>
      <c r="P569">
        <v>4.8</v>
      </c>
      <c r="Q569">
        <v>55</v>
      </c>
      <c r="R569" t="s">
        <v>1074</v>
      </c>
      <c r="S569">
        <v>7</v>
      </c>
      <c r="T569" t="str">
        <f>IF(Healthcare_Data[[#This Row],[Final_Bill]]&gt;=50000,"High",IF(Healthcare_Data[[#This Row],[Final_Bill]]&gt;=20000,"Medium","low"))</f>
        <v>low</v>
      </c>
    </row>
    <row r="570" spans="1:20" x14ac:dyDescent="0.3">
      <c r="A570" t="s">
        <v>625</v>
      </c>
      <c r="B570">
        <v>45865</v>
      </c>
      <c r="C570" t="s">
        <v>18</v>
      </c>
      <c r="D570" t="s">
        <v>28</v>
      </c>
      <c r="E570" t="s">
        <v>52</v>
      </c>
      <c r="F570" t="s">
        <v>21</v>
      </c>
      <c r="G570">
        <v>78</v>
      </c>
      <c r="H570" t="s">
        <v>65</v>
      </c>
      <c r="I570" t="s">
        <v>63</v>
      </c>
      <c r="J570" t="s">
        <v>58</v>
      </c>
      <c r="K570">
        <v>6</v>
      </c>
      <c r="L570">
        <v>53165</v>
      </c>
      <c r="M570">
        <v>2000</v>
      </c>
      <c r="N570">
        <v>51165</v>
      </c>
      <c r="O570" t="s">
        <v>25</v>
      </c>
      <c r="P570">
        <v>3.8</v>
      </c>
      <c r="Q570">
        <v>116</v>
      </c>
      <c r="R570" t="s">
        <v>1074</v>
      </c>
      <c r="S570">
        <v>7</v>
      </c>
      <c r="T570" t="str">
        <f>IF(Healthcare_Data[[#This Row],[Final_Bill]]&gt;=50000,"High",IF(Healthcare_Data[[#This Row],[Final_Bill]]&gt;=20000,"Medium","low"))</f>
        <v>High</v>
      </c>
    </row>
    <row r="571" spans="1:20" x14ac:dyDescent="0.3">
      <c r="A571" t="s">
        <v>626</v>
      </c>
      <c r="B571">
        <v>45865</v>
      </c>
      <c r="C571" t="s">
        <v>44</v>
      </c>
      <c r="D571" t="s">
        <v>28</v>
      </c>
      <c r="E571" t="s">
        <v>20</v>
      </c>
      <c r="F571" t="s">
        <v>40</v>
      </c>
      <c r="G571">
        <v>56</v>
      </c>
      <c r="H571" t="s">
        <v>29</v>
      </c>
      <c r="I571" t="s">
        <v>72</v>
      </c>
      <c r="J571" t="s">
        <v>36</v>
      </c>
      <c r="K571">
        <v>0</v>
      </c>
      <c r="L571">
        <v>2422</v>
      </c>
      <c r="M571">
        <v>0</v>
      </c>
      <c r="N571">
        <v>2422</v>
      </c>
      <c r="O571" t="s">
        <v>25</v>
      </c>
      <c r="P571">
        <v>3.8</v>
      </c>
      <c r="Q571">
        <v>85</v>
      </c>
      <c r="R571" t="s">
        <v>1074</v>
      </c>
      <c r="S571">
        <v>7</v>
      </c>
      <c r="T571" t="str">
        <f>IF(Healthcare_Data[[#This Row],[Final_Bill]]&gt;=50000,"High",IF(Healthcare_Data[[#This Row],[Final_Bill]]&gt;=20000,"Medium","low"))</f>
        <v>low</v>
      </c>
    </row>
    <row r="572" spans="1:20" x14ac:dyDescent="0.3">
      <c r="A572" t="s">
        <v>627</v>
      </c>
      <c r="B572">
        <v>45865</v>
      </c>
      <c r="C572" t="s">
        <v>54</v>
      </c>
      <c r="D572" t="s">
        <v>51</v>
      </c>
      <c r="E572" t="s">
        <v>52</v>
      </c>
      <c r="F572" t="s">
        <v>21</v>
      </c>
      <c r="G572">
        <v>34</v>
      </c>
      <c r="H572" t="s">
        <v>35</v>
      </c>
      <c r="I572" t="s">
        <v>61</v>
      </c>
      <c r="J572" t="s">
        <v>24</v>
      </c>
      <c r="K572">
        <v>5</v>
      </c>
      <c r="L572">
        <v>26219</v>
      </c>
      <c r="M572">
        <v>500</v>
      </c>
      <c r="N572">
        <v>25719</v>
      </c>
      <c r="O572" t="s">
        <v>25</v>
      </c>
      <c r="P572">
        <v>2.6</v>
      </c>
      <c r="Q572">
        <v>24</v>
      </c>
      <c r="R572" t="s">
        <v>1074</v>
      </c>
      <c r="S572">
        <v>7</v>
      </c>
      <c r="T572" t="str">
        <f>IF(Healthcare_Data[[#This Row],[Final_Bill]]&gt;=50000,"High",IF(Healthcare_Data[[#This Row],[Final_Bill]]&gt;=20000,"Medium","low"))</f>
        <v>Medium</v>
      </c>
    </row>
    <row r="573" spans="1:20" x14ac:dyDescent="0.3">
      <c r="A573" t="s">
        <v>628</v>
      </c>
      <c r="B573">
        <v>45869</v>
      </c>
      <c r="C573" t="s">
        <v>18</v>
      </c>
      <c r="D573" t="s">
        <v>34</v>
      </c>
      <c r="E573" t="s">
        <v>20</v>
      </c>
      <c r="F573" t="s">
        <v>21</v>
      </c>
      <c r="G573">
        <v>60</v>
      </c>
      <c r="H573" t="s">
        <v>115</v>
      </c>
      <c r="I573" t="s">
        <v>72</v>
      </c>
      <c r="J573" t="s">
        <v>36</v>
      </c>
      <c r="K573">
        <v>0</v>
      </c>
      <c r="L573">
        <v>19162</v>
      </c>
      <c r="M573">
        <v>1000</v>
      </c>
      <c r="N573">
        <v>18162</v>
      </c>
      <c r="O573" t="s">
        <v>59</v>
      </c>
      <c r="P573">
        <v>3.9</v>
      </c>
      <c r="Q573">
        <v>61</v>
      </c>
      <c r="R573" t="s">
        <v>1074</v>
      </c>
      <c r="S573">
        <v>7</v>
      </c>
      <c r="T573" t="str">
        <f>IF(Healthcare_Data[[#This Row],[Final_Bill]]&gt;=50000,"High",IF(Healthcare_Data[[#This Row],[Final_Bill]]&gt;=20000,"Medium","low"))</f>
        <v>low</v>
      </c>
    </row>
    <row r="574" spans="1:20" x14ac:dyDescent="0.3">
      <c r="A574" t="s">
        <v>629</v>
      </c>
      <c r="B574">
        <v>45869</v>
      </c>
      <c r="C574" t="s">
        <v>54</v>
      </c>
      <c r="D574" t="s">
        <v>51</v>
      </c>
      <c r="E574" t="s">
        <v>54</v>
      </c>
      <c r="F574" t="s">
        <v>21</v>
      </c>
      <c r="G574">
        <v>52</v>
      </c>
      <c r="H574" t="s">
        <v>35</v>
      </c>
      <c r="I574" t="s">
        <v>23</v>
      </c>
      <c r="J574" t="s">
        <v>58</v>
      </c>
      <c r="K574">
        <v>0</v>
      </c>
      <c r="L574">
        <v>11499</v>
      </c>
      <c r="M574">
        <v>1000</v>
      </c>
      <c r="N574">
        <v>10499</v>
      </c>
      <c r="O574" t="s">
        <v>25</v>
      </c>
      <c r="P574">
        <v>2.6</v>
      </c>
      <c r="Q574">
        <v>5</v>
      </c>
      <c r="R574" t="s">
        <v>1074</v>
      </c>
      <c r="S574">
        <v>7</v>
      </c>
      <c r="T574" t="str">
        <f>IF(Healthcare_Data[[#This Row],[Final_Bill]]&gt;=50000,"High",IF(Healthcare_Data[[#This Row],[Final_Bill]]&gt;=20000,"Medium","low"))</f>
        <v>low</v>
      </c>
    </row>
    <row r="575" spans="1:20" x14ac:dyDescent="0.3">
      <c r="A575" t="s">
        <v>630</v>
      </c>
      <c r="B575">
        <v>45869</v>
      </c>
      <c r="C575" t="s">
        <v>44</v>
      </c>
      <c r="D575" t="s">
        <v>34</v>
      </c>
      <c r="E575" t="s">
        <v>52</v>
      </c>
      <c r="F575" t="s">
        <v>40</v>
      </c>
      <c r="G575">
        <v>46</v>
      </c>
      <c r="H575" t="s">
        <v>41</v>
      </c>
      <c r="I575" t="s">
        <v>42</v>
      </c>
      <c r="J575" t="s">
        <v>58</v>
      </c>
      <c r="K575">
        <v>5</v>
      </c>
      <c r="L575">
        <v>29691</v>
      </c>
      <c r="M575">
        <v>0</v>
      </c>
      <c r="N575">
        <v>29691</v>
      </c>
      <c r="O575" t="s">
        <v>25</v>
      </c>
      <c r="P575">
        <v>3.9</v>
      </c>
      <c r="Q575">
        <v>99</v>
      </c>
      <c r="R575" t="s">
        <v>1074</v>
      </c>
      <c r="S575">
        <v>7</v>
      </c>
      <c r="T575" t="str">
        <f>IF(Healthcare_Data[[#This Row],[Final_Bill]]&gt;=50000,"High",IF(Healthcare_Data[[#This Row],[Final_Bill]]&gt;=20000,"Medium","low"))</f>
        <v>Medium</v>
      </c>
    </row>
    <row r="576" spans="1:20" x14ac:dyDescent="0.3">
      <c r="A576" t="s">
        <v>631</v>
      </c>
      <c r="B576">
        <v>45870</v>
      </c>
      <c r="C576" t="s">
        <v>50</v>
      </c>
      <c r="D576" t="s">
        <v>51</v>
      </c>
      <c r="E576" t="s">
        <v>52</v>
      </c>
      <c r="F576" t="s">
        <v>40</v>
      </c>
      <c r="G576">
        <v>71</v>
      </c>
      <c r="H576" t="s">
        <v>29</v>
      </c>
      <c r="I576" t="s">
        <v>63</v>
      </c>
      <c r="J576" t="s">
        <v>36</v>
      </c>
      <c r="K576">
        <v>7</v>
      </c>
      <c r="L576">
        <v>46218</v>
      </c>
      <c r="M576">
        <v>0</v>
      </c>
      <c r="N576">
        <v>46218</v>
      </c>
      <c r="O576" t="s">
        <v>25</v>
      </c>
      <c r="P576">
        <v>2.8</v>
      </c>
      <c r="Q576">
        <v>35</v>
      </c>
      <c r="R576" t="s">
        <v>1075</v>
      </c>
      <c r="S576">
        <v>8</v>
      </c>
      <c r="T576" t="str">
        <f>IF(Healthcare_Data[[#This Row],[Final_Bill]]&gt;=50000,"High",IF(Healthcare_Data[[#This Row],[Final_Bill]]&gt;=20000,"Medium","low"))</f>
        <v>Medium</v>
      </c>
    </row>
    <row r="577" spans="1:20" x14ac:dyDescent="0.3">
      <c r="A577" t="s">
        <v>632</v>
      </c>
      <c r="B577">
        <v>45870</v>
      </c>
      <c r="C577" t="s">
        <v>67</v>
      </c>
      <c r="D577" t="s">
        <v>34</v>
      </c>
      <c r="E577" t="s">
        <v>20</v>
      </c>
      <c r="F577" t="s">
        <v>21</v>
      </c>
      <c r="G577">
        <v>27</v>
      </c>
      <c r="H577" t="s">
        <v>22</v>
      </c>
      <c r="I577" t="s">
        <v>69</v>
      </c>
      <c r="J577" t="s">
        <v>24</v>
      </c>
      <c r="K577">
        <v>0</v>
      </c>
      <c r="L577">
        <v>17658</v>
      </c>
      <c r="M577">
        <v>1500</v>
      </c>
      <c r="N577">
        <v>16158</v>
      </c>
      <c r="O577" t="s">
        <v>25</v>
      </c>
      <c r="P577">
        <v>4</v>
      </c>
      <c r="Q577">
        <v>19</v>
      </c>
      <c r="R577" t="s">
        <v>1075</v>
      </c>
      <c r="S577">
        <v>8</v>
      </c>
      <c r="T577" t="str">
        <f>IF(Healthcare_Data[[#This Row],[Final_Bill]]&gt;=50000,"High",IF(Healthcare_Data[[#This Row],[Final_Bill]]&gt;=20000,"Medium","low"))</f>
        <v>low</v>
      </c>
    </row>
    <row r="578" spans="1:20" x14ac:dyDescent="0.3">
      <c r="A578" t="s">
        <v>633</v>
      </c>
      <c r="B578">
        <v>45871</v>
      </c>
      <c r="C578" t="s">
        <v>54</v>
      </c>
      <c r="D578" t="s">
        <v>51</v>
      </c>
      <c r="E578" t="s">
        <v>20</v>
      </c>
      <c r="F578" t="s">
        <v>40</v>
      </c>
      <c r="G578">
        <v>40</v>
      </c>
      <c r="H578" t="s">
        <v>22</v>
      </c>
      <c r="I578" t="s">
        <v>61</v>
      </c>
      <c r="J578" t="s">
        <v>24</v>
      </c>
      <c r="K578">
        <v>0</v>
      </c>
      <c r="L578">
        <v>3025</v>
      </c>
      <c r="M578">
        <v>0</v>
      </c>
      <c r="N578">
        <v>3025</v>
      </c>
      <c r="O578" t="s">
        <v>25</v>
      </c>
      <c r="P578">
        <v>4.8</v>
      </c>
      <c r="Q578">
        <v>30</v>
      </c>
      <c r="R578" t="s">
        <v>1075</v>
      </c>
      <c r="S578">
        <v>8</v>
      </c>
      <c r="T578" t="str">
        <f>IF(Healthcare_Data[[#This Row],[Final_Bill]]&gt;=50000,"High",IF(Healthcare_Data[[#This Row],[Final_Bill]]&gt;=20000,"Medium","low"))</f>
        <v>low</v>
      </c>
    </row>
    <row r="579" spans="1:20" x14ac:dyDescent="0.3">
      <c r="A579" t="s">
        <v>634</v>
      </c>
      <c r="B579">
        <v>45871</v>
      </c>
      <c r="C579" t="s">
        <v>48</v>
      </c>
      <c r="D579" t="s">
        <v>28</v>
      </c>
      <c r="E579" t="s">
        <v>20</v>
      </c>
      <c r="F579" t="s">
        <v>21</v>
      </c>
      <c r="G579">
        <v>72</v>
      </c>
      <c r="H579" t="s">
        <v>35</v>
      </c>
      <c r="I579" t="s">
        <v>42</v>
      </c>
      <c r="J579" t="s">
        <v>36</v>
      </c>
      <c r="K579">
        <v>0</v>
      </c>
      <c r="L579">
        <v>3311</v>
      </c>
      <c r="M579">
        <v>0</v>
      </c>
      <c r="N579">
        <v>3311</v>
      </c>
      <c r="O579" t="s">
        <v>25</v>
      </c>
      <c r="P579">
        <v>3.8</v>
      </c>
      <c r="Q579">
        <v>9</v>
      </c>
      <c r="R579" t="s">
        <v>1075</v>
      </c>
      <c r="S579">
        <v>8</v>
      </c>
      <c r="T579" t="str">
        <f>IF(Healthcare_Data[[#This Row],[Final_Bill]]&gt;=50000,"High",IF(Healthcare_Data[[#This Row],[Final_Bill]]&gt;=20000,"Medium","low"))</f>
        <v>low</v>
      </c>
    </row>
    <row r="580" spans="1:20" x14ac:dyDescent="0.3">
      <c r="A580" t="s">
        <v>635</v>
      </c>
      <c r="B580">
        <v>45871</v>
      </c>
      <c r="C580" t="s">
        <v>48</v>
      </c>
      <c r="D580" t="s">
        <v>19</v>
      </c>
      <c r="E580" t="s">
        <v>52</v>
      </c>
      <c r="F580" t="s">
        <v>21</v>
      </c>
      <c r="G580">
        <v>64</v>
      </c>
      <c r="H580" t="s">
        <v>29</v>
      </c>
      <c r="I580" t="s">
        <v>30</v>
      </c>
      <c r="J580" t="s">
        <v>24</v>
      </c>
      <c r="K580">
        <v>10</v>
      </c>
      <c r="L580">
        <v>72478</v>
      </c>
      <c r="M580">
        <v>500</v>
      </c>
      <c r="N580">
        <v>71978</v>
      </c>
      <c r="O580" t="s">
        <v>25</v>
      </c>
      <c r="P580">
        <v>2.8</v>
      </c>
      <c r="Q580">
        <v>68</v>
      </c>
      <c r="R580" t="s">
        <v>1075</v>
      </c>
      <c r="S580">
        <v>8</v>
      </c>
      <c r="T580" t="str">
        <f>IF(Healthcare_Data[[#This Row],[Final_Bill]]&gt;=50000,"High",IF(Healthcare_Data[[#This Row],[Final_Bill]]&gt;=20000,"Medium","low"))</f>
        <v>High</v>
      </c>
    </row>
    <row r="581" spans="1:20" x14ac:dyDescent="0.3">
      <c r="A581" t="s">
        <v>636</v>
      </c>
      <c r="B581">
        <v>45872</v>
      </c>
      <c r="C581" t="s">
        <v>48</v>
      </c>
      <c r="D581" t="s">
        <v>28</v>
      </c>
      <c r="E581" t="s">
        <v>54</v>
      </c>
      <c r="F581" t="s">
        <v>40</v>
      </c>
      <c r="G581">
        <v>38</v>
      </c>
      <c r="H581" t="s">
        <v>35</v>
      </c>
      <c r="I581" t="s">
        <v>57</v>
      </c>
      <c r="J581" t="s">
        <v>36</v>
      </c>
      <c r="K581">
        <v>0</v>
      </c>
      <c r="L581">
        <v>24182</v>
      </c>
      <c r="M581">
        <v>0</v>
      </c>
      <c r="N581">
        <v>24182</v>
      </c>
      <c r="O581" t="s">
        <v>25</v>
      </c>
      <c r="P581">
        <v>4.9000000000000004</v>
      </c>
      <c r="Q581">
        <v>120</v>
      </c>
      <c r="R581" t="s">
        <v>1075</v>
      </c>
      <c r="S581">
        <v>8</v>
      </c>
      <c r="T581" t="str">
        <f>IF(Healthcare_Data[[#This Row],[Final_Bill]]&gt;=50000,"High",IF(Healthcare_Data[[#This Row],[Final_Bill]]&gt;=20000,"Medium","low"))</f>
        <v>Medium</v>
      </c>
    </row>
    <row r="582" spans="1:20" x14ac:dyDescent="0.3">
      <c r="A582" t="s">
        <v>637</v>
      </c>
      <c r="B582">
        <v>45872</v>
      </c>
      <c r="C582" t="s">
        <v>18</v>
      </c>
      <c r="D582" t="s">
        <v>28</v>
      </c>
      <c r="E582" t="s">
        <v>52</v>
      </c>
      <c r="F582" t="s">
        <v>40</v>
      </c>
      <c r="G582">
        <v>46</v>
      </c>
      <c r="H582" t="s">
        <v>41</v>
      </c>
      <c r="I582" t="s">
        <v>69</v>
      </c>
      <c r="J582" t="s">
        <v>31</v>
      </c>
      <c r="K582">
        <v>9</v>
      </c>
      <c r="L582">
        <v>51943</v>
      </c>
      <c r="M582">
        <v>0</v>
      </c>
      <c r="N582">
        <v>51943</v>
      </c>
      <c r="O582" t="s">
        <v>25</v>
      </c>
      <c r="P582">
        <v>3.6</v>
      </c>
      <c r="Q582">
        <v>112</v>
      </c>
      <c r="R582" t="s">
        <v>1075</v>
      </c>
      <c r="S582">
        <v>8</v>
      </c>
      <c r="T582" t="str">
        <f>IF(Healthcare_Data[[#This Row],[Final_Bill]]&gt;=50000,"High",IF(Healthcare_Data[[#This Row],[Final_Bill]]&gt;=20000,"Medium","low"))</f>
        <v>High</v>
      </c>
    </row>
    <row r="583" spans="1:20" x14ac:dyDescent="0.3">
      <c r="A583" t="s">
        <v>638</v>
      </c>
      <c r="B583">
        <v>45872</v>
      </c>
      <c r="C583" t="s">
        <v>48</v>
      </c>
      <c r="D583" t="s">
        <v>28</v>
      </c>
      <c r="E583" t="s">
        <v>52</v>
      </c>
      <c r="F583" t="s">
        <v>21</v>
      </c>
      <c r="G583">
        <v>65</v>
      </c>
      <c r="H583" t="s">
        <v>115</v>
      </c>
      <c r="I583" t="s">
        <v>42</v>
      </c>
      <c r="J583" t="s">
        <v>24</v>
      </c>
      <c r="K583">
        <v>7</v>
      </c>
      <c r="L583">
        <v>64752</v>
      </c>
      <c r="M583">
        <v>0</v>
      </c>
      <c r="N583">
        <v>64752</v>
      </c>
      <c r="O583" t="s">
        <v>32</v>
      </c>
      <c r="P583">
        <v>3.8</v>
      </c>
      <c r="Q583">
        <v>22</v>
      </c>
      <c r="R583" t="s">
        <v>1075</v>
      </c>
      <c r="S583">
        <v>8</v>
      </c>
      <c r="T583" t="str">
        <f>IF(Healthcare_Data[[#This Row],[Final_Bill]]&gt;=50000,"High",IF(Healthcare_Data[[#This Row],[Final_Bill]]&gt;=20000,"Medium","low"))</f>
        <v>High</v>
      </c>
    </row>
    <row r="584" spans="1:20" x14ac:dyDescent="0.3">
      <c r="A584" t="s">
        <v>639</v>
      </c>
      <c r="B584">
        <v>45872</v>
      </c>
      <c r="C584" t="s">
        <v>27</v>
      </c>
      <c r="D584" t="s">
        <v>28</v>
      </c>
      <c r="E584" t="s">
        <v>20</v>
      </c>
      <c r="F584" t="s">
        <v>21</v>
      </c>
      <c r="G584">
        <v>28</v>
      </c>
      <c r="H584" t="s">
        <v>41</v>
      </c>
      <c r="I584" t="s">
        <v>63</v>
      </c>
      <c r="J584" t="s">
        <v>24</v>
      </c>
      <c r="K584">
        <v>0</v>
      </c>
      <c r="L584">
        <v>9192</v>
      </c>
      <c r="M584">
        <v>500</v>
      </c>
      <c r="N584">
        <v>8692</v>
      </c>
      <c r="O584" t="s">
        <v>25</v>
      </c>
      <c r="P584">
        <v>3.2</v>
      </c>
      <c r="Q584">
        <v>116</v>
      </c>
      <c r="R584" t="s">
        <v>1075</v>
      </c>
      <c r="S584">
        <v>8</v>
      </c>
      <c r="T584" t="str">
        <f>IF(Healthcare_Data[[#This Row],[Final_Bill]]&gt;=50000,"High",IF(Healthcare_Data[[#This Row],[Final_Bill]]&gt;=20000,"Medium","low"))</f>
        <v>low</v>
      </c>
    </row>
    <row r="585" spans="1:20" x14ac:dyDescent="0.3">
      <c r="A585" t="s">
        <v>640</v>
      </c>
      <c r="B585">
        <v>45872</v>
      </c>
      <c r="C585" t="s">
        <v>67</v>
      </c>
      <c r="D585" t="s">
        <v>28</v>
      </c>
      <c r="E585" t="s">
        <v>20</v>
      </c>
      <c r="F585" t="s">
        <v>40</v>
      </c>
      <c r="G585">
        <v>61</v>
      </c>
      <c r="H585" t="s">
        <v>46</v>
      </c>
      <c r="I585" t="s">
        <v>57</v>
      </c>
      <c r="J585" t="s">
        <v>31</v>
      </c>
      <c r="K585">
        <v>0</v>
      </c>
      <c r="L585">
        <v>4565</v>
      </c>
      <c r="M585">
        <v>500</v>
      </c>
      <c r="N585">
        <v>4065</v>
      </c>
      <c r="O585" t="s">
        <v>32</v>
      </c>
      <c r="P585">
        <v>4.2</v>
      </c>
      <c r="Q585">
        <v>75</v>
      </c>
      <c r="R585" t="s">
        <v>1075</v>
      </c>
      <c r="S585">
        <v>8</v>
      </c>
      <c r="T585" t="str">
        <f>IF(Healthcare_Data[[#This Row],[Final_Bill]]&gt;=50000,"High",IF(Healthcare_Data[[#This Row],[Final_Bill]]&gt;=20000,"Medium","low"))</f>
        <v>low</v>
      </c>
    </row>
    <row r="586" spans="1:20" x14ac:dyDescent="0.3">
      <c r="A586" t="s">
        <v>641</v>
      </c>
      <c r="B586">
        <v>45873</v>
      </c>
      <c r="C586" t="s">
        <v>67</v>
      </c>
      <c r="D586" t="s">
        <v>39</v>
      </c>
      <c r="E586" t="s">
        <v>20</v>
      </c>
      <c r="F586" t="s">
        <v>21</v>
      </c>
      <c r="G586">
        <v>31</v>
      </c>
      <c r="H586" t="s">
        <v>56</v>
      </c>
      <c r="I586" t="s">
        <v>69</v>
      </c>
      <c r="J586" t="s">
        <v>31</v>
      </c>
      <c r="K586">
        <v>0</v>
      </c>
      <c r="L586">
        <v>9463</v>
      </c>
      <c r="M586">
        <v>500</v>
      </c>
      <c r="N586">
        <v>8963</v>
      </c>
      <c r="O586" t="s">
        <v>25</v>
      </c>
      <c r="P586">
        <v>4.4000000000000004</v>
      </c>
      <c r="Q586">
        <v>29</v>
      </c>
      <c r="R586" t="s">
        <v>1075</v>
      </c>
      <c r="S586">
        <v>8</v>
      </c>
      <c r="T586" t="str">
        <f>IF(Healthcare_Data[[#This Row],[Final_Bill]]&gt;=50000,"High",IF(Healthcare_Data[[#This Row],[Final_Bill]]&gt;=20000,"Medium","low"))</f>
        <v>low</v>
      </c>
    </row>
    <row r="587" spans="1:20" x14ac:dyDescent="0.3">
      <c r="A587" t="s">
        <v>642</v>
      </c>
      <c r="B587">
        <v>45873</v>
      </c>
      <c r="C587" t="s">
        <v>50</v>
      </c>
      <c r="D587" t="s">
        <v>28</v>
      </c>
      <c r="E587" t="s">
        <v>20</v>
      </c>
      <c r="F587" t="s">
        <v>40</v>
      </c>
      <c r="G587">
        <v>52</v>
      </c>
      <c r="H587" t="s">
        <v>29</v>
      </c>
      <c r="I587" t="s">
        <v>61</v>
      </c>
      <c r="J587" t="s">
        <v>24</v>
      </c>
      <c r="K587">
        <v>0</v>
      </c>
      <c r="L587">
        <v>15626</v>
      </c>
      <c r="M587">
        <v>0</v>
      </c>
      <c r="N587">
        <v>15626</v>
      </c>
      <c r="O587" t="s">
        <v>59</v>
      </c>
      <c r="P587">
        <v>3.2</v>
      </c>
      <c r="Q587">
        <v>72</v>
      </c>
      <c r="R587" t="s">
        <v>1075</v>
      </c>
      <c r="S587">
        <v>8</v>
      </c>
      <c r="T587" t="str">
        <f>IF(Healthcare_Data[[#This Row],[Final_Bill]]&gt;=50000,"High",IF(Healthcare_Data[[#This Row],[Final_Bill]]&gt;=20000,"Medium","low"))</f>
        <v>low</v>
      </c>
    </row>
    <row r="588" spans="1:20" x14ac:dyDescent="0.3">
      <c r="A588" t="s">
        <v>643</v>
      </c>
      <c r="B588">
        <v>45874</v>
      </c>
      <c r="C588" t="s">
        <v>54</v>
      </c>
      <c r="D588" t="s">
        <v>39</v>
      </c>
      <c r="E588" t="s">
        <v>20</v>
      </c>
      <c r="F588" t="s">
        <v>40</v>
      </c>
      <c r="G588">
        <v>39</v>
      </c>
      <c r="H588" t="s">
        <v>41</v>
      </c>
      <c r="I588" t="s">
        <v>30</v>
      </c>
      <c r="J588" t="s">
        <v>31</v>
      </c>
      <c r="K588">
        <v>0</v>
      </c>
      <c r="L588">
        <v>9131</v>
      </c>
      <c r="M588">
        <v>1500</v>
      </c>
      <c r="N588">
        <v>7631</v>
      </c>
      <c r="O588" t="s">
        <v>25</v>
      </c>
      <c r="P588">
        <v>3.1</v>
      </c>
      <c r="Q588">
        <v>109</v>
      </c>
      <c r="R588" t="s">
        <v>1075</v>
      </c>
      <c r="S588">
        <v>8</v>
      </c>
      <c r="T588" t="str">
        <f>IF(Healthcare_Data[[#This Row],[Final_Bill]]&gt;=50000,"High",IF(Healthcare_Data[[#This Row],[Final_Bill]]&gt;=20000,"Medium","low"))</f>
        <v>low</v>
      </c>
    </row>
    <row r="589" spans="1:20" x14ac:dyDescent="0.3">
      <c r="A589" t="s">
        <v>644</v>
      </c>
      <c r="B589">
        <v>45874</v>
      </c>
      <c r="C589" t="s">
        <v>44</v>
      </c>
      <c r="D589" t="s">
        <v>39</v>
      </c>
      <c r="E589" t="s">
        <v>54</v>
      </c>
      <c r="F589" t="s">
        <v>40</v>
      </c>
      <c r="G589">
        <v>75</v>
      </c>
      <c r="H589" t="s">
        <v>29</v>
      </c>
      <c r="I589" t="s">
        <v>72</v>
      </c>
      <c r="J589" t="s">
        <v>24</v>
      </c>
      <c r="K589">
        <v>0</v>
      </c>
      <c r="L589">
        <v>17476</v>
      </c>
      <c r="M589">
        <v>0</v>
      </c>
      <c r="N589">
        <v>17476</v>
      </c>
      <c r="O589" t="s">
        <v>25</v>
      </c>
      <c r="P589">
        <v>3.4</v>
      </c>
      <c r="Q589">
        <v>97</v>
      </c>
      <c r="R589" t="s">
        <v>1075</v>
      </c>
      <c r="S589">
        <v>8</v>
      </c>
      <c r="T589" t="str">
        <f>IF(Healthcare_Data[[#This Row],[Final_Bill]]&gt;=50000,"High",IF(Healthcare_Data[[#This Row],[Final_Bill]]&gt;=20000,"Medium","low"))</f>
        <v>low</v>
      </c>
    </row>
    <row r="590" spans="1:20" x14ac:dyDescent="0.3">
      <c r="A590" t="s">
        <v>645</v>
      </c>
      <c r="B590">
        <v>45874</v>
      </c>
      <c r="C590" t="s">
        <v>54</v>
      </c>
      <c r="D590" t="s">
        <v>39</v>
      </c>
      <c r="E590" t="s">
        <v>20</v>
      </c>
      <c r="F590" t="s">
        <v>21</v>
      </c>
      <c r="G590">
        <v>30</v>
      </c>
      <c r="H590" t="s">
        <v>65</v>
      </c>
      <c r="I590" t="s">
        <v>23</v>
      </c>
      <c r="J590" t="s">
        <v>58</v>
      </c>
      <c r="K590">
        <v>0</v>
      </c>
      <c r="L590">
        <v>4222</v>
      </c>
      <c r="M590">
        <v>1500</v>
      </c>
      <c r="N590">
        <v>2722</v>
      </c>
      <c r="O590" t="s">
        <v>25</v>
      </c>
      <c r="P590">
        <v>4.9000000000000004</v>
      </c>
      <c r="Q590">
        <v>45</v>
      </c>
      <c r="R590" t="s">
        <v>1075</v>
      </c>
      <c r="S590">
        <v>8</v>
      </c>
      <c r="T590" t="str">
        <f>IF(Healthcare_Data[[#This Row],[Final_Bill]]&gt;=50000,"High",IF(Healthcare_Data[[#This Row],[Final_Bill]]&gt;=20000,"Medium","low"))</f>
        <v>low</v>
      </c>
    </row>
    <row r="591" spans="1:20" x14ac:dyDescent="0.3">
      <c r="A591" t="s">
        <v>646</v>
      </c>
      <c r="B591">
        <v>45874</v>
      </c>
      <c r="C591" t="s">
        <v>44</v>
      </c>
      <c r="D591" t="s">
        <v>19</v>
      </c>
      <c r="E591" t="s">
        <v>20</v>
      </c>
      <c r="F591" t="s">
        <v>40</v>
      </c>
      <c r="G591">
        <v>52</v>
      </c>
      <c r="H591" t="s">
        <v>22</v>
      </c>
      <c r="I591" t="s">
        <v>42</v>
      </c>
      <c r="J591" t="s">
        <v>24</v>
      </c>
      <c r="K591">
        <v>0</v>
      </c>
      <c r="L591">
        <v>6537</v>
      </c>
      <c r="M591">
        <v>0</v>
      </c>
      <c r="N591">
        <v>6537</v>
      </c>
      <c r="O591" t="s">
        <v>25</v>
      </c>
      <c r="P591">
        <v>3.4</v>
      </c>
      <c r="Q591">
        <v>14</v>
      </c>
      <c r="R591" t="s">
        <v>1075</v>
      </c>
      <c r="S591">
        <v>8</v>
      </c>
      <c r="T591" t="str">
        <f>IF(Healthcare_Data[[#This Row],[Final_Bill]]&gt;=50000,"High",IF(Healthcare_Data[[#This Row],[Final_Bill]]&gt;=20000,"Medium","low"))</f>
        <v>low</v>
      </c>
    </row>
    <row r="592" spans="1:20" x14ac:dyDescent="0.3">
      <c r="A592" t="s">
        <v>647</v>
      </c>
      <c r="B592">
        <v>45874</v>
      </c>
      <c r="C592" t="s">
        <v>48</v>
      </c>
      <c r="D592" t="s">
        <v>34</v>
      </c>
      <c r="E592" t="s">
        <v>54</v>
      </c>
      <c r="F592" t="s">
        <v>21</v>
      </c>
      <c r="G592">
        <v>27</v>
      </c>
      <c r="H592" t="s">
        <v>35</v>
      </c>
      <c r="I592" t="s">
        <v>42</v>
      </c>
      <c r="J592" t="s">
        <v>24</v>
      </c>
      <c r="K592">
        <v>0</v>
      </c>
      <c r="L592">
        <v>30671</v>
      </c>
      <c r="M592">
        <v>500</v>
      </c>
      <c r="N592">
        <v>30171</v>
      </c>
      <c r="O592" t="s">
        <v>25</v>
      </c>
      <c r="P592">
        <v>4.3</v>
      </c>
      <c r="Q592">
        <v>110</v>
      </c>
      <c r="R592" t="s">
        <v>1075</v>
      </c>
      <c r="S592">
        <v>8</v>
      </c>
      <c r="T592" t="str">
        <f>IF(Healthcare_Data[[#This Row],[Final_Bill]]&gt;=50000,"High",IF(Healthcare_Data[[#This Row],[Final_Bill]]&gt;=20000,"Medium","low"))</f>
        <v>Medium</v>
      </c>
    </row>
    <row r="593" spans="1:20" x14ac:dyDescent="0.3">
      <c r="A593" t="s">
        <v>648</v>
      </c>
      <c r="B593">
        <v>45874</v>
      </c>
      <c r="C593" t="s">
        <v>50</v>
      </c>
      <c r="D593" t="s">
        <v>19</v>
      </c>
      <c r="E593" t="s">
        <v>20</v>
      </c>
      <c r="F593" t="s">
        <v>21</v>
      </c>
      <c r="G593">
        <v>32</v>
      </c>
      <c r="H593" t="s">
        <v>65</v>
      </c>
      <c r="I593" t="s">
        <v>30</v>
      </c>
      <c r="J593" t="s">
        <v>24</v>
      </c>
      <c r="K593">
        <v>0</v>
      </c>
      <c r="L593">
        <v>7851</v>
      </c>
      <c r="M593">
        <v>500</v>
      </c>
      <c r="N593">
        <v>7351</v>
      </c>
      <c r="O593" t="s">
        <v>25</v>
      </c>
      <c r="P593">
        <v>3</v>
      </c>
      <c r="Q593">
        <v>66</v>
      </c>
      <c r="R593" t="s">
        <v>1075</v>
      </c>
      <c r="S593">
        <v>8</v>
      </c>
      <c r="T593" t="str">
        <f>IF(Healthcare_Data[[#This Row],[Final_Bill]]&gt;=50000,"High",IF(Healthcare_Data[[#This Row],[Final_Bill]]&gt;=20000,"Medium","low"))</f>
        <v>low</v>
      </c>
    </row>
    <row r="594" spans="1:20" x14ac:dyDescent="0.3">
      <c r="A594" t="s">
        <v>649</v>
      </c>
      <c r="B594">
        <v>45875</v>
      </c>
      <c r="C594" t="s">
        <v>48</v>
      </c>
      <c r="D594" t="s">
        <v>19</v>
      </c>
      <c r="E594" t="s">
        <v>54</v>
      </c>
      <c r="F594" t="s">
        <v>40</v>
      </c>
      <c r="G594">
        <v>79</v>
      </c>
      <c r="H594" t="s">
        <v>22</v>
      </c>
      <c r="I594" t="s">
        <v>30</v>
      </c>
      <c r="J594" t="s">
        <v>36</v>
      </c>
      <c r="K594">
        <v>0</v>
      </c>
      <c r="L594">
        <v>15187</v>
      </c>
      <c r="M594">
        <v>1500</v>
      </c>
      <c r="N594">
        <v>13687</v>
      </c>
      <c r="O594" t="s">
        <v>25</v>
      </c>
      <c r="P594">
        <v>5</v>
      </c>
      <c r="Q594">
        <v>110</v>
      </c>
      <c r="R594" t="s">
        <v>1075</v>
      </c>
      <c r="S594">
        <v>8</v>
      </c>
      <c r="T594" t="str">
        <f>IF(Healthcare_Data[[#This Row],[Final_Bill]]&gt;=50000,"High",IF(Healthcare_Data[[#This Row],[Final_Bill]]&gt;=20000,"Medium","low"))</f>
        <v>low</v>
      </c>
    </row>
    <row r="595" spans="1:20" x14ac:dyDescent="0.3">
      <c r="A595" t="s">
        <v>650</v>
      </c>
      <c r="B595">
        <v>45875</v>
      </c>
      <c r="C595" t="s">
        <v>54</v>
      </c>
      <c r="D595" t="s">
        <v>19</v>
      </c>
      <c r="E595" t="s">
        <v>52</v>
      </c>
      <c r="F595" t="s">
        <v>21</v>
      </c>
      <c r="G595">
        <v>62</v>
      </c>
      <c r="H595" t="s">
        <v>29</v>
      </c>
      <c r="I595" t="s">
        <v>23</v>
      </c>
      <c r="J595" t="s">
        <v>24</v>
      </c>
      <c r="K595">
        <v>11</v>
      </c>
      <c r="L595">
        <v>33157</v>
      </c>
      <c r="M595">
        <v>0</v>
      </c>
      <c r="N595">
        <v>33157</v>
      </c>
      <c r="O595" t="s">
        <v>32</v>
      </c>
      <c r="P595">
        <v>4.4000000000000004</v>
      </c>
      <c r="Q595">
        <v>20</v>
      </c>
      <c r="R595" t="s">
        <v>1075</v>
      </c>
      <c r="S595">
        <v>8</v>
      </c>
      <c r="T595" t="str">
        <f>IF(Healthcare_Data[[#This Row],[Final_Bill]]&gt;=50000,"High",IF(Healthcare_Data[[#This Row],[Final_Bill]]&gt;=20000,"Medium","low"))</f>
        <v>Medium</v>
      </c>
    </row>
    <row r="596" spans="1:20" x14ac:dyDescent="0.3">
      <c r="A596" t="s">
        <v>651</v>
      </c>
      <c r="B596">
        <v>45875</v>
      </c>
      <c r="C596" t="s">
        <v>38</v>
      </c>
      <c r="D596" t="s">
        <v>28</v>
      </c>
      <c r="E596" t="s">
        <v>54</v>
      </c>
      <c r="F596" t="s">
        <v>21</v>
      </c>
      <c r="G596">
        <v>74</v>
      </c>
      <c r="H596" t="s">
        <v>56</v>
      </c>
      <c r="I596" t="s">
        <v>72</v>
      </c>
      <c r="J596" t="s">
        <v>36</v>
      </c>
      <c r="K596">
        <v>0</v>
      </c>
      <c r="L596">
        <v>11258</v>
      </c>
      <c r="M596">
        <v>1000</v>
      </c>
      <c r="N596">
        <v>10258</v>
      </c>
      <c r="O596" t="s">
        <v>32</v>
      </c>
      <c r="P596">
        <v>4.7</v>
      </c>
      <c r="Q596">
        <v>48</v>
      </c>
      <c r="R596" t="s">
        <v>1075</v>
      </c>
      <c r="S596">
        <v>8</v>
      </c>
      <c r="T596" t="str">
        <f>IF(Healthcare_Data[[#This Row],[Final_Bill]]&gt;=50000,"High",IF(Healthcare_Data[[#This Row],[Final_Bill]]&gt;=20000,"Medium","low"))</f>
        <v>low</v>
      </c>
    </row>
    <row r="597" spans="1:20" x14ac:dyDescent="0.3">
      <c r="A597" t="s">
        <v>652</v>
      </c>
      <c r="B597">
        <v>45875</v>
      </c>
      <c r="C597" t="s">
        <v>54</v>
      </c>
      <c r="D597" t="s">
        <v>19</v>
      </c>
      <c r="E597" t="s">
        <v>20</v>
      </c>
      <c r="F597" t="s">
        <v>40</v>
      </c>
      <c r="G597">
        <v>57</v>
      </c>
      <c r="H597" t="s">
        <v>115</v>
      </c>
      <c r="I597" t="s">
        <v>1057</v>
      </c>
      <c r="J597" t="s">
        <v>24</v>
      </c>
      <c r="K597">
        <v>0</v>
      </c>
      <c r="L597">
        <v>4907</v>
      </c>
      <c r="M597">
        <v>0</v>
      </c>
      <c r="N597">
        <v>4907</v>
      </c>
      <c r="O597" t="s">
        <v>25</v>
      </c>
      <c r="P597">
        <v>4.5</v>
      </c>
      <c r="Q597">
        <v>71</v>
      </c>
      <c r="R597" t="s">
        <v>1075</v>
      </c>
      <c r="S597">
        <v>8</v>
      </c>
      <c r="T597" t="str">
        <f>IF(Healthcare_Data[[#This Row],[Final_Bill]]&gt;=50000,"High",IF(Healthcare_Data[[#This Row],[Final_Bill]]&gt;=20000,"Medium","low"))</f>
        <v>low</v>
      </c>
    </row>
    <row r="598" spans="1:20" x14ac:dyDescent="0.3">
      <c r="A598" t="s">
        <v>653</v>
      </c>
      <c r="B598">
        <v>45875</v>
      </c>
      <c r="C598" t="s">
        <v>27</v>
      </c>
      <c r="D598" t="s">
        <v>34</v>
      </c>
      <c r="E598" t="s">
        <v>20</v>
      </c>
      <c r="F598" t="s">
        <v>21</v>
      </c>
      <c r="G598">
        <v>76</v>
      </c>
      <c r="H598" t="s">
        <v>41</v>
      </c>
      <c r="I598" t="s">
        <v>42</v>
      </c>
      <c r="J598" t="s">
        <v>58</v>
      </c>
      <c r="K598">
        <v>0</v>
      </c>
      <c r="L598">
        <v>16750</v>
      </c>
      <c r="M598">
        <v>0</v>
      </c>
      <c r="N598">
        <v>16750</v>
      </c>
      <c r="O598" t="s">
        <v>59</v>
      </c>
      <c r="P598">
        <v>4.3</v>
      </c>
      <c r="Q598">
        <v>19</v>
      </c>
      <c r="R598" t="s">
        <v>1075</v>
      </c>
      <c r="S598">
        <v>8</v>
      </c>
      <c r="T598" t="str">
        <f>IF(Healthcare_Data[[#This Row],[Final_Bill]]&gt;=50000,"High",IF(Healthcare_Data[[#This Row],[Final_Bill]]&gt;=20000,"Medium","low"))</f>
        <v>low</v>
      </c>
    </row>
    <row r="599" spans="1:20" x14ac:dyDescent="0.3">
      <c r="A599" t="s">
        <v>654</v>
      </c>
      <c r="B599">
        <v>45877</v>
      </c>
      <c r="C599" t="s">
        <v>54</v>
      </c>
      <c r="D599" t="s">
        <v>34</v>
      </c>
      <c r="E599" t="s">
        <v>20</v>
      </c>
      <c r="F599" t="s">
        <v>40</v>
      </c>
      <c r="G599">
        <v>25</v>
      </c>
      <c r="H599" t="s">
        <v>22</v>
      </c>
      <c r="I599" t="s">
        <v>61</v>
      </c>
      <c r="J599" t="s">
        <v>36</v>
      </c>
      <c r="K599">
        <v>0</v>
      </c>
      <c r="L599">
        <v>14910</v>
      </c>
      <c r="M599">
        <v>1000</v>
      </c>
      <c r="N599">
        <v>13910</v>
      </c>
      <c r="O599" t="s">
        <v>32</v>
      </c>
      <c r="P599">
        <v>3.5</v>
      </c>
      <c r="Q599">
        <v>71</v>
      </c>
      <c r="R599" t="s">
        <v>1075</v>
      </c>
      <c r="S599">
        <v>8</v>
      </c>
      <c r="T599" t="str">
        <f>IF(Healthcare_Data[[#This Row],[Final_Bill]]&gt;=50000,"High",IF(Healthcare_Data[[#This Row],[Final_Bill]]&gt;=20000,"Medium","low"))</f>
        <v>low</v>
      </c>
    </row>
    <row r="600" spans="1:20" x14ac:dyDescent="0.3">
      <c r="A600" t="s">
        <v>655</v>
      </c>
      <c r="B600">
        <v>45877</v>
      </c>
      <c r="C600" t="s">
        <v>48</v>
      </c>
      <c r="D600" t="s">
        <v>28</v>
      </c>
      <c r="E600" t="s">
        <v>54</v>
      </c>
      <c r="F600" t="s">
        <v>40</v>
      </c>
      <c r="G600">
        <v>30</v>
      </c>
      <c r="H600" t="s">
        <v>46</v>
      </c>
      <c r="I600" t="s">
        <v>42</v>
      </c>
      <c r="J600" t="s">
        <v>36</v>
      </c>
      <c r="K600">
        <v>0</v>
      </c>
      <c r="L600">
        <v>33675</v>
      </c>
      <c r="M600">
        <v>2000</v>
      </c>
      <c r="N600">
        <v>31675</v>
      </c>
      <c r="O600" t="s">
        <v>25</v>
      </c>
      <c r="P600">
        <v>2.7</v>
      </c>
      <c r="Q600">
        <v>65</v>
      </c>
      <c r="R600" t="s">
        <v>1075</v>
      </c>
      <c r="S600">
        <v>8</v>
      </c>
      <c r="T600" t="str">
        <f>IF(Healthcare_Data[[#This Row],[Final_Bill]]&gt;=50000,"High",IF(Healthcare_Data[[#This Row],[Final_Bill]]&gt;=20000,"Medium","low"))</f>
        <v>Medium</v>
      </c>
    </row>
    <row r="601" spans="1:20" x14ac:dyDescent="0.3">
      <c r="A601" t="s">
        <v>656</v>
      </c>
      <c r="B601">
        <v>45877</v>
      </c>
      <c r="C601" t="s">
        <v>50</v>
      </c>
      <c r="D601" t="s">
        <v>28</v>
      </c>
      <c r="E601" t="s">
        <v>52</v>
      </c>
      <c r="F601" t="s">
        <v>40</v>
      </c>
      <c r="G601">
        <v>69</v>
      </c>
      <c r="H601" t="s">
        <v>46</v>
      </c>
      <c r="I601" t="s">
        <v>72</v>
      </c>
      <c r="J601" t="s">
        <v>31</v>
      </c>
      <c r="K601">
        <v>8</v>
      </c>
      <c r="L601">
        <v>57678</v>
      </c>
      <c r="M601">
        <v>500</v>
      </c>
      <c r="N601">
        <v>57178</v>
      </c>
      <c r="O601" t="s">
        <v>25</v>
      </c>
      <c r="P601">
        <v>3.4</v>
      </c>
      <c r="Q601">
        <v>22</v>
      </c>
      <c r="R601" t="s">
        <v>1075</v>
      </c>
      <c r="S601">
        <v>8</v>
      </c>
      <c r="T601" t="str">
        <f>IF(Healthcare_Data[[#This Row],[Final_Bill]]&gt;=50000,"High",IF(Healthcare_Data[[#This Row],[Final_Bill]]&gt;=20000,"Medium","low"))</f>
        <v>High</v>
      </c>
    </row>
    <row r="602" spans="1:20" x14ac:dyDescent="0.3">
      <c r="A602" t="s">
        <v>657</v>
      </c>
      <c r="B602">
        <v>45877</v>
      </c>
      <c r="C602" t="s">
        <v>44</v>
      </c>
      <c r="D602" t="s">
        <v>28</v>
      </c>
      <c r="E602" t="s">
        <v>20</v>
      </c>
      <c r="F602" t="s">
        <v>40</v>
      </c>
      <c r="G602">
        <v>80</v>
      </c>
      <c r="H602" t="s">
        <v>46</v>
      </c>
      <c r="I602" t="s">
        <v>63</v>
      </c>
      <c r="J602" t="s">
        <v>31</v>
      </c>
      <c r="K602">
        <v>0</v>
      </c>
      <c r="L602">
        <v>5762</v>
      </c>
      <c r="M602">
        <v>500</v>
      </c>
      <c r="N602">
        <v>5262</v>
      </c>
      <c r="O602" t="s">
        <v>25</v>
      </c>
      <c r="P602">
        <v>3.1</v>
      </c>
      <c r="Q602">
        <v>81</v>
      </c>
      <c r="R602" t="s">
        <v>1075</v>
      </c>
      <c r="S602">
        <v>8</v>
      </c>
      <c r="T602" t="str">
        <f>IF(Healthcare_Data[[#This Row],[Final_Bill]]&gt;=50000,"High",IF(Healthcare_Data[[#This Row],[Final_Bill]]&gt;=20000,"Medium","low"))</f>
        <v>low</v>
      </c>
    </row>
    <row r="603" spans="1:20" x14ac:dyDescent="0.3">
      <c r="A603" t="s">
        <v>658</v>
      </c>
      <c r="B603">
        <v>45877</v>
      </c>
      <c r="C603" t="s">
        <v>44</v>
      </c>
      <c r="D603" t="s">
        <v>34</v>
      </c>
      <c r="E603" t="s">
        <v>20</v>
      </c>
      <c r="F603" t="s">
        <v>40</v>
      </c>
      <c r="G603">
        <v>33</v>
      </c>
      <c r="H603" t="s">
        <v>56</v>
      </c>
      <c r="I603" t="s">
        <v>42</v>
      </c>
      <c r="J603" t="s">
        <v>36</v>
      </c>
      <c r="K603">
        <v>0</v>
      </c>
      <c r="L603">
        <v>9123</v>
      </c>
      <c r="M603">
        <v>0</v>
      </c>
      <c r="N603">
        <v>9123</v>
      </c>
      <c r="O603" t="s">
        <v>25</v>
      </c>
      <c r="P603">
        <v>4.5</v>
      </c>
      <c r="Q603">
        <v>76</v>
      </c>
      <c r="R603" t="s">
        <v>1075</v>
      </c>
      <c r="S603">
        <v>8</v>
      </c>
      <c r="T603" t="str">
        <f>IF(Healthcare_Data[[#This Row],[Final_Bill]]&gt;=50000,"High",IF(Healthcare_Data[[#This Row],[Final_Bill]]&gt;=20000,"Medium","low"))</f>
        <v>low</v>
      </c>
    </row>
    <row r="604" spans="1:20" x14ac:dyDescent="0.3">
      <c r="A604" t="s">
        <v>659</v>
      </c>
      <c r="B604">
        <v>45877</v>
      </c>
      <c r="C604" t="s">
        <v>18</v>
      </c>
      <c r="D604" t="s">
        <v>19</v>
      </c>
      <c r="E604" t="s">
        <v>20</v>
      </c>
      <c r="F604" t="s">
        <v>40</v>
      </c>
      <c r="G604">
        <v>64</v>
      </c>
      <c r="H604" t="s">
        <v>22</v>
      </c>
      <c r="I604" t="s">
        <v>30</v>
      </c>
      <c r="J604" t="s">
        <v>24</v>
      </c>
      <c r="K604">
        <v>0</v>
      </c>
      <c r="L604">
        <v>10205</v>
      </c>
      <c r="M604">
        <v>0</v>
      </c>
      <c r="N604">
        <v>10205</v>
      </c>
      <c r="O604" t="s">
        <v>25</v>
      </c>
      <c r="P604">
        <v>4.4000000000000004</v>
      </c>
      <c r="Q604">
        <v>42</v>
      </c>
      <c r="R604" t="s">
        <v>1075</v>
      </c>
      <c r="S604">
        <v>8</v>
      </c>
      <c r="T604" t="str">
        <f>IF(Healthcare_Data[[#This Row],[Final_Bill]]&gt;=50000,"High",IF(Healthcare_Data[[#This Row],[Final_Bill]]&gt;=20000,"Medium","low"))</f>
        <v>low</v>
      </c>
    </row>
    <row r="605" spans="1:20" x14ac:dyDescent="0.3">
      <c r="A605" t="s">
        <v>660</v>
      </c>
      <c r="B605">
        <v>45877</v>
      </c>
      <c r="C605" t="s">
        <v>67</v>
      </c>
      <c r="D605" t="s">
        <v>28</v>
      </c>
      <c r="E605" t="s">
        <v>20</v>
      </c>
      <c r="F605" t="s">
        <v>21</v>
      </c>
      <c r="G605">
        <v>42</v>
      </c>
      <c r="H605" t="s">
        <v>41</v>
      </c>
      <c r="I605" t="s">
        <v>63</v>
      </c>
      <c r="J605" t="s">
        <v>24</v>
      </c>
      <c r="K605">
        <v>0</v>
      </c>
      <c r="L605">
        <v>10244</v>
      </c>
      <c r="M605">
        <v>0</v>
      </c>
      <c r="N605">
        <v>10244</v>
      </c>
      <c r="O605" t="s">
        <v>25</v>
      </c>
      <c r="P605">
        <v>2.6</v>
      </c>
      <c r="Q605">
        <v>50</v>
      </c>
      <c r="R605" t="s">
        <v>1075</v>
      </c>
      <c r="S605">
        <v>8</v>
      </c>
      <c r="T605" t="str">
        <f>IF(Healthcare_Data[[#This Row],[Final_Bill]]&gt;=50000,"High",IF(Healthcare_Data[[#This Row],[Final_Bill]]&gt;=20000,"Medium","low"))</f>
        <v>low</v>
      </c>
    </row>
    <row r="606" spans="1:20" x14ac:dyDescent="0.3">
      <c r="A606" t="s">
        <v>661</v>
      </c>
      <c r="B606">
        <v>45878</v>
      </c>
      <c r="C606" t="s">
        <v>54</v>
      </c>
      <c r="D606" t="s">
        <v>28</v>
      </c>
      <c r="E606" t="s">
        <v>20</v>
      </c>
      <c r="F606" t="s">
        <v>40</v>
      </c>
      <c r="G606">
        <v>29</v>
      </c>
      <c r="H606" t="s">
        <v>115</v>
      </c>
      <c r="I606" t="s">
        <v>69</v>
      </c>
      <c r="J606" t="s">
        <v>31</v>
      </c>
      <c r="K606">
        <v>0</v>
      </c>
      <c r="L606">
        <v>3536</v>
      </c>
      <c r="M606">
        <v>0</v>
      </c>
      <c r="N606">
        <v>3536</v>
      </c>
      <c r="O606" t="s">
        <v>25</v>
      </c>
      <c r="P606">
        <v>3.4</v>
      </c>
      <c r="Q606">
        <v>51</v>
      </c>
      <c r="R606" t="s">
        <v>1075</v>
      </c>
      <c r="S606">
        <v>8</v>
      </c>
      <c r="T606" t="str">
        <f>IF(Healthcare_Data[[#This Row],[Final_Bill]]&gt;=50000,"High",IF(Healthcare_Data[[#This Row],[Final_Bill]]&gt;=20000,"Medium","low"))</f>
        <v>low</v>
      </c>
    </row>
    <row r="607" spans="1:20" x14ac:dyDescent="0.3">
      <c r="A607" t="s">
        <v>662</v>
      </c>
      <c r="B607">
        <v>45879</v>
      </c>
      <c r="C607" t="s">
        <v>27</v>
      </c>
      <c r="D607" t="s">
        <v>51</v>
      </c>
      <c r="E607" t="s">
        <v>54</v>
      </c>
      <c r="F607" t="s">
        <v>40</v>
      </c>
      <c r="G607">
        <v>52</v>
      </c>
      <c r="H607" t="s">
        <v>115</v>
      </c>
      <c r="I607" t="s">
        <v>30</v>
      </c>
      <c r="J607" t="s">
        <v>36</v>
      </c>
      <c r="K607">
        <v>0</v>
      </c>
      <c r="L607">
        <v>23343</v>
      </c>
      <c r="M607">
        <v>0</v>
      </c>
      <c r="N607">
        <v>23343</v>
      </c>
      <c r="O607" t="s">
        <v>25</v>
      </c>
      <c r="P607">
        <v>2.7</v>
      </c>
      <c r="Q607">
        <v>58</v>
      </c>
      <c r="R607" t="s">
        <v>1075</v>
      </c>
      <c r="S607">
        <v>8</v>
      </c>
      <c r="T607" t="str">
        <f>IF(Healthcare_Data[[#This Row],[Final_Bill]]&gt;=50000,"High",IF(Healthcare_Data[[#This Row],[Final_Bill]]&gt;=20000,"Medium","low"))</f>
        <v>Medium</v>
      </c>
    </row>
    <row r="608" spans="1:20" x14ac:dyDescent="0.3">
      <c r="A608" t="s">
        <v>663</v>
      </c>
      <c r="B608">
        <v>45879</v>
      </c>
      <c r="C608" t="s">
        <v>44</v>
      </c>
      <c r="D608" t="s">
        <v>51</v>
      </c>
      <c r="E608" t="s">
        <v>20</v>
      </c>
      <c r="F608" t="s">
        <v>21</v>
      </c>
      <c r="G608">
        <v>57</v>
      </c>
      <c r="H608" t="s">
        <v>29</v>
      </c>
      <c r="I608" t="s">
        <v>42</v>
      </c>
      <c r="J608" t="s">
        <v>36</v>
      </c>
      <c r="K608">
        <v>0</v>
      </c>
      <c r="L608">
        <v>8369</v>
      </c>
      <c r="M608">
        <v>2000</v>
      </c>
      <c r="N608">
        <v>6369</v>
      </c>
      <c r="O608" t="s">
        <v>25</v>
      </c>
      <c r="P608">
        <v>2.9</v>
      </c>
      <c r="Q608">
        <v>29</v>
      </c>
      <c r="R608" t="s">
        <v>1075</v>
      </c>
      <c r="S608">
        <v>8</v>
      </c>
      <c r="T608" t="str">
        <f>IF(Healthcare_Data[[#This Row],[Final_Bill]]&gt;=50000,"High",IF(Healthcare_Data[[#This Row],[Final_Bill]]&gt;=20000,"Medium","low"))</f>
        <v>low</v>
      </c>
    </row>
    <row r="609" spans="1:20" x14ac:dyDescent="0.3">
      <c r="A609" t="s">
        <v>664</v>
      </c>
      <c r="B609">
        <v>45879</v>
      </c>
      <c r="C609" t="s">
        <v>18</v>
      </c>
      <c r="D609" t="s">
        <v>19</v>
      </c>
      <c r="E609" t="s">
        <v>54</v>
      </c>
      <c r="F609" t="s">
        <v>21</v>
      </c>
      <c r="G609">
        <v>34</v>
      </c>
      <c r="H609" t="s">
        <v>35</v>
      </c>
      <c r="I609" t="s">
        <v>42</v>
      </c>
      <c r="J609" t="s">
        <v>31</v>
      </c>
      <c r="K609">
        <v>0</v>
      </c>
      <c r="L609">
        <v>20663</v>
      </c>
      <c r="M609">
        <v>1000</v>
      </c>
      <c r="N609">
        <v>19663</v>
      </c>
      <c r="O609" t="s">
        <v>25</v>
      </c>
      <c r="P609">
        <v>3.3</v>
      </c>
      <c r="Q609">
        <v>25</v>
      </c>
      <c r="R609" t="s">
        <v>1075</v>
      </c>
      <c r="S609">
        <v>8</v>
      </c>
      <c r="T609" t="str">
        <f>IF(Healthcare_Data[[#This Row],[Final_Bill]]&gt;=50000,"High",IF(Healthcare_Data[[#This Row],[Final_Bill]]&gt;=20000,"Medium","low"))</f>
        <v>low</v>
      </c>
    </row>
    <row r="610" spans="1:20" x14ac:dyDescent="0.3">
      <c r="A610" t="s">
        <v>665</v>
      </c>
      <c r="B610">
        <v>45880</v>
      </c>
      <c r="C610" t="s">
        <v>48</v>
      </c>
      <c r="D610" t="s">
        <v>34</v>
      </c>
      <c r="E610" t="s">
        <v>20</v>
      </c>
      <c r="F610" t="s">
        <v>21</v>
      </c>
      <c r="G610">
        <v>70</v>
      </c>
      <c r="H610" t="s">
        <v>22</v>
      </c>
      <c r="I610" t="s">
        <v>57</v>
      </c>
      <c r="J610" t="s">
        <v>31</v>
      </c>
      <c r="K610">
        <v>0</v>
      </c>
      <c r="L610">
        <v>9144</v>
      </c>
      <c r="M610">
        <v>0</v>
      </c>
      <c r="N610">
        <v>9144</v>
      </c>
      <c r="O610" t="s">
        <v>25</v>
      </c>
      <c r="P610">
        <v>4.7</v>
      </c>
      <c r="Q610">
        <v>68</v>
      </c>
      <c r="R610" t="s">
        <v>1075</v>
      </c>
      <c r="S610">
        <v>8</v>
      </c>
      <c r="T610" t="str">
        <f>IF(Healthcare_Data[[#This Row],[Final_Bill]]&gt;=50000,"High",IF(Healthcare_Data[[#This Row],[Final_Bill]]&gt;=20000,"Medium","low"))</f>
        <v>low</v>
      </c>
    </row>
    <row r="611" spans="1:20" x14ac:dyDescent="0.3">
      <c r="A611" t="s">
        <v>666</v>
      </c>
      <c r="B611">
        <v>45880</v>
      </c>
      <c r="C611" t="s">
        <v>67</v>
      </c>
      <c r="D611" t="s">
        <v>39</v>
      </c>
      <c r="E611" t="s">
        <v>54</v>
      </c>
      <c r="F611" t="s">
        <v>21</v>
      </c>
      <c r="G611">
        <v>25</v>
      </c>
      <c r="H611" t="s">
        <v>29</v>
      </c>
      <c r="I611" t="s">
        <v>23</v>
      </c>
      <c r="J611" t="s">
        <v>24</v>
      </c>
      <c r="K611">
        <v>0</v>
      </c>
      <c r="L611">
        <v>27551</v>
      </c>
      <c r="M611">
        <v>0</v>
      </c>
      <c r="N611">
        <v>27551</v>
      </c>
      <c r="O611" t="s">
        <v>25</v>
      </c>
      <c r="P611">
        <v>4.8</v>
      </c>
      <c r="Q611">
        <v>100</v>
      </c>
      <c r="R611" t="s">
        <v>1075</v>
      </c>
      <c r="S611">
        <v>8</v>
      </c>
      <c r="T611" t="str">
        <f>IF(Healthcare_Data[[#This Row],[Final_Bill]]&gt;=50000,"High",IF(Healthcare_Data[[#This Row],[Final_Bill]]&gt;=20000,"Medium","low"))</f>
        <v>Medium</v>
      </c>
    </row>
    <row r="612" spans="1:20" x14ac:dyDescent="0.3">
      <c r="A612" t="s">
        <v>667</v>
      </c>
      <c r="B612">
        <v>45880</v>
      </c>
      <c r="C612" t="s">
        <v>38</v>
      </c>
      <c r="D612" t="s">
        <v>28</v>
      </c>
      <c r="E612" t="s">
        <v>54</v>
      </c>
      <c r="F612" t="s">
        <v>40</v>
      </c>
      <c r="G612">
        <v>25</v>
      </c>
      <c r="H612" t="s">
        <v>56</v>
      </c>
      <c r="I612" t="s">
        <v>69</v>
      </c>
      <c r="J612" t="s">
        <v>31</v>
      </c>
      <c r="K612">
        <v>0</v>
      </c>
      <c r="L612">
        <v>44656</v>
      </c>
      <c r="M612">
        <v>2000</v>
      </c>
      <c r="N612">
        <v>42656</v>
      </c>
      <c r="O612" t="s">
        <v>25</v>
      </c>
      <c r="P612">
        <v>2.7</v>
      </c>
      <c r="Q612">
        <v>24</v>
      </c>
      <c r="R612" t="s">
        <v>1075</v>
      </c>
      <c r="S612">
        <v>8</v>
      </c>
      <c r="T612" t="str">
        <f>IF(Healthcare_Data[[#This Row],[Final_Bill]]&gt;=50000,"High",IF(Healthcare_Data[[#This Row],[Final_Bill]]&gt;=20000,"Medium","low"))</f>
        <v>Medium</v>
      </c>
    </row>
    <row r="613" spans="1:20" x14ac:dyDescent="0.3">
      <c r="A613" t="s">
        <v>668</v>
      </c>
      <c r="B613">
        <v>45880</v>
      </c>
      <c r="C613" t="s">
        <v>38</v>
      </c>
      <c r="D613" t="s">
        <v>19</v>
      </c>
      <c r="E613" t="s">
        <v>20</v>
      </c>
      <c r="F613" t="s">
        <v>40</v>
      </c>
      <c r="G613">
        <v>68</v>
      </c>
      <c r="H613" t="s">
        <v>46</v>
      </c>
      <c r="I613" t="s">
        <v>63</v>
      </c>
      <c r="J613" t="s">
        <v>36</v>
      </c>
      <c r="K613">
        <v>0</v>
      </c>
      <c r="L613">
        <v>9371</v>
      </c>
      <c r="M613">
        <v>2000</v>
      </c>
      <c r="N613">
        <v>7371</v>
      </c>
      <c r="O613" t="s">
        <v>25</v>
      </c>
      <c r="P613">
        <v>4.2</v>
      </c>
      <c r="Q613">
        <v>77</v>
      </c>
      <c r="R613" t="s">
        <v>1075</v>
      </c>
      <c r="S613">
        <v>8</v>
      </c>
      <c r="T613" t="str">
        <f>IF(Healthcare_Data[[#This Row],[Final_Bill]]&gt;=50000,"High",IF(Healthcare_Data[[#This Row],[Final_Bill]]&gt;=20000,"Medium","low"))</f>
        <v>low</v>
      </c>
    </row>
    <row r="614" spans="1:20" x14ac:dyDescent="0.3">
      <c r="A614" t="s">
        <v>669</v>
      </c>
      <c r="B614">
        <v>45880</v>
      </c>
      <c r="C614" t="s">
        <v>48</v>
      </c>
      <c r="D614" t="s">
        <v>51</v>
      </c>
      <c r="E614" t="s">
        <v>54</v>
      </c>
      <c r="F614" t="s">
        <v>21</v>
      </c>
      <c r="G614">
        <v>66</v>
      </c>
      <c r="H614" t="s">
        <v>56</v>
      </c>
      <c r="I614" t="s">
        <v>61</v>
      </c>
      <c r="J614" t="s">
        <v>24</v>
      </c>
      <c r="K614">
        <v>0</v>
      </c>
      <c r="L614">
        <v>27093</v>
      </c>
      <c r="M614">
        <v>500</v>
      </c>
      <c r="N614">
        <v>26593</v>
      </c>
      <c r="O614" t="s">
        <v>32</v>
      </c>
      <c r="P614">
        <v>2.5</v>
      </c>
      <c r="Q614">
        <v>64</v>
      </c>
      <c r="R614" t="s">
        <v>1075</v>
      </c>
      <c r="S614">
        <v>8</v>
      </c>
      <c r="T614" t="str">
        <f>IF(Healthcare_Data[[#This Row],[Final_Bill]]&gt;=50000,"High",IF(Healthcare_Data[[#This Row],[Final_Bill]]&gt;=20000,"Medium","low"))</f>
        <v>Medium</v>
      </c>
    </row>
    <row r="615" spans="1:20" x14ac:dyDescent="0.3">
      <c r="A615" t="s">
        <v>670</v>
      </c>
      <c r="B615">
        <v>45881</v>
      </c>
      <c r="C615" t="s">
        <v>44</v>
      </c>
      <c r="D615" t="s">
        <v>28</v>
      </c>
      <c r="E615" t="s">
        <v>52</v>
      </c>
      <c r="F615" t="s">
        <v>40</v>
      </c>
      <c r="G615">
        <v>67</v>
      </c>
      <c r="H615" t="s">
        <v>46</v>
      </c>
      <c r="I615" t="s">
        <v>23</v>
      </c>
      <c r="J615" t="s">
        <v>24</v>
      </c>
      <c r="K615">
        <v>12</v>
      </c>
      <c r="L615">
        <v>54894</v>
      </c>
      <c r="M615">
        <v>1000</v>
      </c>
      <c r="N615">
        <v>53894</v>
      </c>
      <c r="O615" t="s">
        <v>25</v>
      </c>
      <c r="P615">
        <v>3.3</v>
      </c>
      <c r="Q615">
        <v>16</v>
      </c>
      <c r="R615" t="s">
        <v>1075</v>
      </c>
      <c r="S615">
        <v>8</v>
      </c>
      <c r="T615" t="str">
        <f>IF(Healthcare_Data[[#This Row],[Final_Bill]]&gt;=50000,"High",IF(Healthcare_Data[[#This Row],[Final_Bill]]&gt;=20000,"Medium","low"))</f>
        <v>High</v>
      </c>
    </row>
    <row r="616" spans="1:20" x14ac:dyDescent="0.3">
      <c r="A616" t="s">
        <v>671</v>
      </c>
      <c r="B616">
        <v>45881</v>
      </c>
      <c r="C616" t="s">
        <v>44</v>
      </c>
      <c r="D616" t="s">
        <v>19</v>
      </c>
      <c r="E616" t="s">
        <v>20</v>
      </c>
      <c r="F616" t="s">
        <v>40</v>
      </c>
      <c r="G616">
        <v>45</v>
      </c>
      <c r="H616" t="s">
        <v>22</v>
      </c>
      <c r="I616" t="s">
        <v>23</v>
      </c>
      <c r="J616" t="s">
        <v>58</v>
      </c>
      <c r="K616">
        <v>0</v>
      </c>
      <c r="L616">
        <v>10094</v>
      </c>
      <c r="M616">
        <v>1000</v>
      </c>
      <c r="N616">
        <v>9094</v>
      </c>
      <c r="O616" t="s">
        <v>25</v>
      </c>
      <c r="P616">
        <v>3.7</v>
      </c>
      <c r="Q616">
        <v>108</v>
      </c>
      <c r="R616" t="s">
        <v>1075</v>
      </c>
      <c r="S616">
        <v>8</v>
      </c>
      <c r="T616" t="str">
        <f>IF(Healthcare_Data[[#This Row],[Final_Bill]]&gt;=50000,"High",IF(Healthcare_Data[[#This Row],[Final_Bill]]&gt;=20000,"Medium","low"))</f>
        <v>low</v>
      </c>
    </row>
    <row r="617" spans="1:20" x14ac:dyDescent="0.3">
      <c r="A617" t="s">
        <v>672</v>
      </c>
      <c r="B617">
        <v>45881</v>
      </c>
      <c r="C617" t="s">
        <v>38</v>
      </c>
      <c r="D617" t="s">
        <v>51</v>
      </c>
      <c r="E617" t="s">
        <v>20</v>
      </c>
      <c r="F617" t="s">
        <v>21</v>
      </c>
      <c r="G617">
        <v>40</v>
      </c>
      <c r="H617" t="s">
        <v>22</v>
      </c>
      <c r="I617" t="s">
        <v>57</v>
      </c>
      <c r="J617" t="s">
        <v>36</v>
      </c>
      <c r="K617">
        <v>0</v>
      </c>
      <c r="L617">
        <v>7414</v>
      </c>
      <c r="M617">
        <v>1000</v>
      </c>
      <c r="N617">
        <v>6414</v>
      </c>
      <c r="O617" t="s">
        <v>25</v>
      </c>
      <c r="P617">
        <v>4.3</v>
      </c>
      <c r="Q617">
        <v>12</v>
      </c>
      <c r="R617" t="s">
        <v>1075</v>
      </c>
      <c r="S617">
        <v>8</v>
      </c>
      <c r="T617" t="str">
        <f>IF(Healthcare_Data[[#This Row],[Final_Bill]]&gt;=50000,"High",IF(Healthcare_Data[[#This Row],[Final_Bill]]&gt;=20000,"Medium","low"))</f>
        <v>low</v>
      </c>
    </row>
    <row r="618" spans="1:20" x14ac:dyDescent="0.3">
      <c r="A618" t="s">
        <v>673</v>
      </c>
      <c r="B618">
        <v>45881</v>
      </c>
      <c r="C618" t="s">
        <v>44</v>
      </c>
      <c r="D618" t="s">
        <v>19</v>
      </c>
      <c r="E618" t="s">
        <v>52</v>
      </c>
      <c r="F618" t="s">
        <v>21</v>
      </c>
      <c r="G618">
        <v>64</v>
      </c>
      <c r="H618" t="s">
        <v>65</v>
      </c>
      <c r="I618" t="s">
        <v>61</v>
      </c>
      <c r="J618" t="s">
        <v>24</v>
      </c>
      <c r="K618">
        <v>10</v>
      </c>
      <c r="L618">
        <v>39134</v>
      </c>
      <c r="M618">
        <v>1000</v>
      </c>
      <c r="N618">
        <v>38134</v>
      </c>
      <c r="O618" t="s">
        <v>25</v>
      </c>
      <c r="P618">
        <v>4.5</v>
      </c>
      <c r="Q618">
        <v>100</v>
      </c>
      <c r="R618" t="s">
        <v>1075</v>
      </c>
      <c r="S618">
        <v>8</v>
      </c>
      <c r="T618" t="str">
        <f>IF(Healthcare_Data[[#This Row],[Final_Bill]]&gt;=50000,"High",IF(Healthcare_Data[[#This Row],[Final_Bill]]&gt;=20000,"Medium","low"))</f>
        <v>Medium</v>
      </c>
    </row>
    <row r="619" spans="1:20" x14ac:dyDescent="0.3">
      <c r="A619" t="s">
        <v>674</v>
      </c>
      <c r="B619">
        <v>45882</v>
      </c>
      <c r="C619" t="s">
        <v>48</v>
      </c>
      <c r="D619" t="s">
        <v>28</v>
      </c>
      <c r="E619" t="s">
        <v>52</v>
      </c>
      <c r="F619" t="s">
        <v>21</v>
      </c>
      <c r="G619">
        <v>20</v>
      </c>
      <c r="H619" t="s">
        <v>65</v>
      </c>
      <c r="I619" t="s">
        <v>30</v>
      </c>
      <c r="J619" t="s">
        <v>24</v>
      </c>
      <c r="K619">
        <v>4</v>
      </c>
      <c r="L619">
        <v>54620</v>
      </c>
      <c r="M619">
        <v>1000</v>
      </c>
      <c r="N619">
        <v>53620</v>
      </c>
      <c r="O619" t="s">
        <v>25</v>
      </c>
      <c r="P619">
        <v>2.7</v>
      </c>
      <c r="Q619">
        <v>94</v>
      </c>
      <c r="R619" t="s">
        <v>1075</v>
      </c>
      <c r="S619">
        <v>8</v>
      </c>
      <c r="T619" t="str">
        <f>IF(Healthcare_Data[[#This Row],[Final_Bill]]&gt;=50000,"High",IF(Healthcare_Data[[#This Row],[Final_Bill]]&gt;=20000,"Medium","low"))</f>
        <v>High</v>
      </c>
    </row>
    <row r="620" spans="1:20" x14ac:dyDescent="0.3">
      <c r="A620" t="s">
        <v>675</v>
      </c>
      <c r="B620">
        <v>45882</v>
      </c>
      <c r="C620" t="s">
        <v>48</v>
      </c>
      <c r="D620" t="s">
        <v>39</v>
      </c>
      <c r="E620" t="s">
        <v>54</v>
      </c>
      <c r="F620" t="s">
        <v>40</v>
      </c>
      <c r="G620">
        <v>30</v>
      </c>
      <c r="H620" t="s">
        <v>65</v>
      </c>
      <c r="I620" t="s">
        <v>61</v>
      </c>
      <c r="J620" t="s">
        <v>58</v>
      </c>
      <c r="K620">
        <v>0</v>
      </c>
      <c r="L620">
        <v>9105</v>
      </c>
      <c r="M620">
        <v>0</v>
      </c>
      <c r="N620">
        <v>9105</v>
      </c>
      <c r="O620" t="s">
        <v>59</v>
      </c>
      <c r="P620">
        <v>2.6</v>
      </c>
      <c r="Q620">
        <v>17</v>
      </c>
      <c r="R620" t="s">
        <v>1075</v>
      </c>
      <c r="S620">
        <v>8</v>
      </c>
      <c r="T620" t="str">
        <f>IF(Healthcare_Data[[#This Row],[Final_Bill]]&gt;=50000,"High",IF(Healthcare_Data[[#This Row],[Final_Bill]]&gt;=20000,"Medium","low"))</f>
        <v>low</v>
      </c>
    </row>
    <row r="621" spans="1:20" x14ac:dyDescent="0.3">
      <c r="A621" t="s">
        <v>676</v>
      </c>
      <c r="B621">
        <v>45882</v>
      </c>
      <c r="C621" t="s">
        <v>18</v>
      </c>
      <c r="D621" t="s">
        <v>34</v>
      </c>
      <c r="E621" t="s">
        <v>52</v>
      </c>
      <c r="F621" t="s">
        <v>21</v>
      </c>
      <c r="G621">
        <v>65</v>
      </c>
      <c r="H621" t="s">
        <v>115</v>
      </c>
      <c r="I621" t="s">
        <v>69</v>
      </c>
      <c r="J621" t="s">
        <v>58</v>
      </c>
      <c r="K621">
        <v>14</v>
      </c>
      <c r="L621">
        <v>73585</v>
      </c>
      <c r="M621">
        <v>0</v>
      </c>
      <c r="N621">
        <v>73585</v>
      </c>
      <c r="O621" t="s">
        <v>25</v>
      </c>
      <c r="P621">
        <v>4.2</v>
      </c>
      <c r="Q621">
        <v>51</v>
      </c>
      <c r="R621" t="s">
        <v>1075</v>
      </c>
      <c r="S621">
        <v>8</v>
      </c>
      <c r="T621" t="str">
        <f>IF(Healthcare_Data[[#This Row],[Final_Bill]]&gt;=50000,"High",IF(Healthcare_Data[[#This Row],[Final_Bill]]&gt;=20000,"Medium","low"))</f>
        <v>High</v>
      </c>
    </row>
    <row r="622" spans="1:20" x14ac:dyDescent="0.3">
      <c r="A622" t="s">
        <v>677</v>
      </c>
      <c r="B622">
        <v>45882</v>
      </c>
      <c r="C622" t="s">
        <v>18</v>
      </c>
      <c r="D622" t="s">
        <v>28</v>
      </c>
      <c r="E622" t="s">
        <v>54</v>
      </c>
      <c r="F622" t="s">
        <v>40</v>
      </c>
      <c r="G622">
        <v>70</v>
      </c>
      <c r="H622" t="s">
        <v>22</v>
      </c>
      <c r="I622" t="s">
        <v>42</v>
      </c>
      <c r="J622" t="s">
        <v>24</v>
      </c>
      <c r="K622">
        <v>0</v>
      </c>
      <c r="L622">
        <v>12331</v>
      </c>
      <c r="M622">
        <v>500</v>
      </c>
      <c r="N622">
        <v>11831</v>
      </c>
      <c r="O622" t="s">
        <v>25</v>
      </c>
      <c r="P622">
        <v>3.3</v>
      </c>
      <c r="Q622">
        <v>90</v>
      </c>
      <c r="R622" t="s">
        <v>1075</v>
      </c>
      <c r="S622">
        <v>8</v>
      </c>
      <c r="T622" t="str">
        <f>IF(Healthcare_Data[[#This Row],[Final_Bill]]&gt;=50000,"High",IF(Healthcare_Data[[#This Row],[Final_Bill]]&gt;=20000,"Medium","low"))</f>
        <v>low</v>
      </c>
    </row>
    <row r="623" spans="1:20" x14ac:dyDescent="0.3">
      <c r="A623" t="s">
        <v>678</v>
      </c>
      <c r="B623">
        <v>45883</v>
      </c>
      <c r="C623" t="s">
        <v>18</v>
      </c>
      <c r="D623" t="s">
        <v>39</v>
      </c>
      <c r="E623" t="s">
        <v>20</v>
      </c>
      <c r="F623" t="s">
        <v>21</v>
      </c>
      <c r="G623">
        <v>76</v>
      </c>
      <c r="H623" t="s">
        <v>35</v>
      </c>
      <c r="I623" t="s">
        <v>57</v>
      </c>
      <c r="J623" t="s">
        <v>36</v>
      </c>
      <c r="K623">
        <v>0</v>
      </c>
      <c r="L623">
        <v>2745</v>
      </c>
      <c r="M623">
        <v>0</v>
      </c>
      <c r="N623">
        <v>2745</v>
      </c>
      <c r="O623" t="s">
        <v>25</v>
      </c>
      <c r="P623">
        <v>4.9000000000000004</v>
      </c>
      <c r="Q623">
        <v>45</v>
      </c>
      <c r="R623" t="s">
        <v>1075</v>
      </c>
      <c r="S623">
        <v>8</v>
      </c>
      <c r="T623" t="str">
        <f>IF(Healthcare_Data[[#This Row],[Final_Bill]]&gt;=50000,"High",IF(Healthcare_Data[[#This Row],[Final_Bill]]&gt;=20000,"Medium","low"))</f>
        <v>low</v>
      </c>
    </row>
    <row r="624" spans="1:20" x14ac:dyDescent="0.3">
      <c r="A624" t="s">
        <v>679</v>
      </c>
      <c r="B624">
        <v>45883</v>
      </c>
      <c r="C624" t="s">
        <v>50</v>
      </c>
      <c r="D624" t="s">
        <v>19</v>
      </c>
      <c r="E624" t="s">
        <v>54</v>
      </c>
      <c r="F624" t="s">
        <v>40</v>
      </c>
      <c r="G624">
        <v>62</v>
      </c>
      <c r="H624" t="s">
        <v>22</v>
      </c>
      <c r="I624" t="s">
        <v>57</v>
      </c>
      <c r="J624" t="s">
        <v>24</v>
      </c>
      <c r="K624">
        <v>0</v>
      </c>
      <c r="L624">
        <v>23082</v>
      </c>
      <c r="M624">
        <v>2000</v>
      </c>
      <c r="N624">
        <v>21082</v>
      </c>
      <c r="O624" t="s">
        <v>25</v>
      </c>
      <c r="P624">
        <v>4.5</v>
      </c>
      <c r="Q624">
        <v>97</v>
      </c>
      <c r="R624" t="s">
        <v>1075</v>
      </c>
      <c r="S624">
        <v>8</v>
      </c>
      <c r="T624" t="str">
        <f>IF(Healthcare_Data[[#This Row],[Final_Bill]]&gt;=50000,"High",IF(Healthcare_Data[[#This Row],[Final_Bill]]&gt;=20000,"Medium","low"))</f>
        <v>Medium</v>
      </c>
    </row>
    <row r="625" spans="1:20" x14ac:dyDescent="0.3">
      <c r="A625" t="s">
        <v>680</v>
      </c>
      <c r="B625">
        <v>45883</v>
      </c>
      <c r="C625" t="s">
        <v>50</v>
      </c>
      <c r="D625" t="s">
        <v>39</v>
      </c>
      <c r="E625" t="s">
        <v>20</v>
      </c>
      <c r="F625" t="s">
        <v>40</v>
      </c>
      <c r="G625">
        <v>65</v>
      </c>
      <c r="H625" t="s">
        <v>65</v>
      </c>
      <c r="I625" t="s">
        <v>63</v>
      </c>
      <c r="J625" t="s">
        <v>36</v>
      </c>
      <c r="K625">
        <v>0</v>
      </c>
      <c r="L625">
        <v>15128</v>
      </c>
      <c r="M625">
        <v>0</v>
      </c>
      <c r="N625">
        <v>15128</v>
      </c>
      <c r="O625" t="s">
        <v>25</v>
      </c>
      <c r="P625">
        <v>2.9</v>
      </c>
      <c r="Q625">
        <v>115</v>
      </c>
      <c r="R625" t="s">
        <v>1075</v>
      </c>
      <c r="S625">
        <v>8</v>
      </c>
      <c r="T625" t="str">
        <f>IF(Healthcare_Data[[#This Row],[Final_Bill]]&gt;=50000,"High",IF(Healthcare_Data[[#This Row],[Final_Bill]]&gt;=20000,"Medium","low"))</f>
        <v>low</v>
      </c>
    </row>
    <row r="626" spans="1:20" x14ac:dyDescent="0.3">
      <c r="A626" t="s">
        <v>681</v>
      </c>
      <c r="B626">
        <v>45884</v>
      </c>
      <c r="C626" t="s">
        <v>50</v>
      </c>
      <c r="D626" t="s">
        <v>28</v>
      </c>
      <c r="E626" t="s">
        <v>20</v>
      </c>
      <c r="F626" t="s">
        <v>40</v>
      </c>
      <c r="G626">
        <v>72</v>
      </c>
      <c r="H626" t="s">
        <v>35</v>
      </c>
      <c r="I626" t="s">
        <v>61</v>
      </c>
      <c r="J626" t="s">
        <v>58</v>
      </c>
      <c r="K626">
        <v>0</v>
      </c>
      <c r="L626">
        <v>13760</v>
      </c>
      <c r="M626">
        <v>1000</v>
      </c>
      <c r="N626">
        <v>12760</v>
      </c>
      <c r="O626" t="s">
        <v>25</v>
      </c>
      <c r="P626">
        <v>3.2</v>
      </c>
      <c r="Q626">
        <v>91</v>
      </c>
      <c r="R626" t="s">
        <v>1075</v>
      </c>
      <c r="S626">
        <v>8</v>
      </c>
      <c r="T626" t="str">
        <f>IF(Healthcare_Data[[#This Row],[Final_Bill]]&gt;=50000,"High",IF(Healthcare_Data[[#This Row],[Final_Bill]]&gt;=20000,"Medium","low"))</f>
        <v>low</v>
      </c>
    </row>
    <row r="627" spans="1:20" x14ac:dyDescent="0.3">
      <c r="A627" t="s">
        <v>682</v>
      </c>
      <c r="B627">
        <v>45884</v>
      </c>
      <c r="C627" t="s">
        <v>50</v>
      </c>
      <c r="D627" t="s">
        <v>39</v>
      </c>
      <c r="E627" t="s">
        <v>52</v>
      </c>
      <c r="F627" t="s">
        <v>21</v>
      </c>
      <c r="G627">
        <v>48</v>
      </c>
      <c r="H627" t="s">
        <v>22</v>
      </c>
      <c r="I627" t="s">
        <v>23</v>
      </c>
      <c r="J627" t="s">
        <v>24</v>
      </c>
      <c r="K627">
        <v>13</v>
      </c>
      <c r="L627">
        <v>71125</v>
      </c>
      <c r="M627">
        <v>2000</v>
      </c>
      <c r="N627">
        <v>69125</v>
      </c>
      <c r="O627" t="s">
        <v>25</v>
      </c>
      <c r="P627">
        <v>3.8</v>
      </c>
      <c r="Q627">
        <v>12</v>
      </c>
      <c r="R627" t="s">
        <v>1075</v>
      </c>
      <c r="S627">
        <v>8</v>
      </c>
      <c r="T627" t="str">
        <f>IF(Healthcare_Data[[#This Row],[Final_Bill]]&gt;=50000,"High",IF(Healthcare_Data[[#This Row],[Final_Bill]]&gt;=20000,"Medium","low"))</f>
        <v>High</v>
      </c>
    </row>
    <row r="628" spans="1:20" x14ac:dyDescent="0.3">
      <c r="A628" t="s">
        <v>683</v>
      </c>
      <c r="B628">
        <v>45884</v>
      </c>
      <c r="C628" t="s">
        <v>67</v>
      </c>
      <c r="D628" t="s">
        <v>39</v>
      </c>
      <c r="E628" t="s">
        <v>54</v>
      </c>
      <c r="F628" t="s">
        <v>40</v>
      </c>
      <c r="G628">
        <v>18</v>
      </c>
      <c r="H628" t="s">
        <v>56</v>
      </c>
      <c r="I628" t="s">
        <v>42</v>
      </c>
      <c r="J628" t="s">
        <v>24</v>
      </c>
      <c r="K628">
        <v>0</v>
      </c>
      <c r="L628">
        <v>42332</v>
      </c>
      <c r="M628">
        <v>0</v>
      </c>
      <c r="N628">
        <v>42332</v>
      </c>
      <c r="O628" t="s">
        <v>32</v>
      </c>
      <c r="P628">
        <v>3.5</v>
      </c>
      <c r="Q628">
        <v>28</v>
      </c>
      <c r="R628" t="s">
        <v>1075</v>
      </c>
      <c r="S628">
        <v>8</v>
      </c>
      <c r="T628" t="str">
        <f>IF(Healthcare_Data[[#This Row],[Final_Bill]]&gt;=50000,"High",IF(Healthcare_Data[[#This Row],[Final_Bill]]&gt;=20000,"Medium","low"))</f>
        <v>Medium</v>
      </c>
    </row>
    <row r="629" spans="1:20" x14ac:dyDescent="0.3">
      <c r="A629" t="s">
        <v>684</v>
      </c>
      <c r="B629">
        <v>45884</v>
      </c>
      <c r="C629" t="s">
        <v>38</v>
      </c>
      <c r="D629" t="s">
        <v>28</v>
      </c>
      <c r="E629" t="s">
        <v>54</v>
      </c>
      <c r="F629" t="s">
        <v>21</v>
      </c>
      <c r="G629">
        <v>43</v>
      </c>
      <c r="H629" t="s">
        <v>56</v>
      </c>
      <c r="I629" t="s">
        <v>42</v>
      </c>
      <c r="J629" t="s">
        <v>36</v>
      </c>
      <c r="K629">
        <v>0</v>
      </c>
      <c r="L629">
        <v>27733</v>
      </c>
      <c r="M629">
        <v>0</v>
      </c>
      <c r="N629">
        <v>27733</v>
      </c>
      <c r="O629" t="s">
        <v>25</v>
      </c>
      <c r="P629">
        <v>2.8</v>
      </c>
      <c r="Q629">
        <v>64</v>
      </c>
      <c r="R629" t="s">
        <v>1075</v>
      </c>
      <c r="S629">
        <v>8</v>
      </c>
      <c r="T629" t="str">
        <f>IF(Healthcare_Data[[#This Row],[Final_Bill]]&gt;=50000,"High",IF(Healthcare_Data[[#This Row],[Final_Bill]]&gt;=20000,"Medium","low"))</f>
        <v>Medium</v>
      </c>
    </row>
    <row r="630" spans="1:20" x14ac:dyDescent="0.3">
      <c r="A630" t="s">
        <v>685</v>
      </c>
      <c r="B630">
        <v>45884</v>
      </c>
      <c r="C630" t="s">
        <v>44</v>
      </c>
      <c r="D630" t="s">
        <v>34</v>
      </c>
      <c r="E630" t="s">
        <v>52</v>
      </c>
      <c r="F630" t="s">
        <v>21</v>
      </c>
      <c r="G630">
        <v>75</v>
      </c>
      <c r="H630" t="s">
        <v>115</v>
      </c>
      <c r="I630" t="s">
        <v>69</v>
      </c>
      <c r="J630" t="s">
        <v>24</v>
      </c>
      <c r="K630">
        <v>1</v>
      </c>
      <c r="L630">
        <v>57549</v>
      </c>
      <c r="M630">
        <v>500</v>
      </c>
      <c r="N630">
        <v>57049</v>
      </c>
      <c r="O630" t="s">
        <v>25</v>
      </c>
      <c r="P630">
        <v>3</v>
      </c>
      <c r="Q630">
        <v>60</v>
      </c>
      <c r="R630" t="s">
        <v>1075</v>
      </c>
      <c r="S630">
        <v>8</v>
      </c>
      <c r="T630" t="str">
        <f>IF(Healthcare_Data[[#This Row],[Final_Bill]]&gt;=50000,"High",IF(Healthcare_Data[[#This Row],[Final_Bill]]&gt;=20000,"Medium","low"))</f>
        <v>High</v>
      </c>
    </row>
    <row r="631" spans="1:20" x14ac:dyDescent="0.3">
      <c r="A631" t="s">
        <v>686</v>
      </c>
      <c r="B631">
        <v>45885</v>
      </c>
      <c r="C631" t="s">
        <v>27</v>
      </c>
      <c r="D631" t="s">
        <v>34</v>
      </c>
      <c r="E631" t="s">
        <v>54</v>
      </c>
      <c r="F631" t="s">
        <v>40</v>
      </c>
      <c r="G631">
        <v>72</v>
      </c>
      <c r="H631" t="s">
        <v>46</v>
      </c>
      <c r="I631" t="s">
        <v>63</v>
      </c>
      <c r="J631" t="s">
        <v>58</v>
      </c>
      <c r="K631">
        <v>0</v>
      </c>
      <c r="L631">
        <v>9754</v>
      </c>
      <c r="M631">
        <v>0</v>
      </c>
      <c r="N631">
        <v>9754</v>
      </c>
      <c r="O631" t="s">
        <v>25</v>
      </c>
      <c r="P631">
        <v>3.4</v>
      </c>
      <c r="Q631">
        <v>51</v>
      </c>
      <c r="R631" t="s">
        <v>1075</v>
      </c>
      <c r="S631">
        <v>8</v>
      </c>
      <c r="T631" t="str">
        <f>IF(Healthcare_Data[[#This Row],[Final_Bill]]&gt;=50000,"High",IF(Healthcare_Data[[#This Row],[Final_Bill]]&gt;=20000,"Medium","low"))</f>
        <v>low</v>
      </c>
    </row>
    <row r="632" spans="1:20" x14ac:dyDescent="0.3">
      <c r="A632" t="s">
        <v>687</v>
      </c>
      <c r="B632">
        <v>45885</v>
      </c>
      <c r="C632" t="s">
        <v>67</v>
      </c>
      <c r="D632" t="s">
        <v>19</v>
      </c>
      <c r="E632" t="s">
        <v>52</v>
      </c>
      <c r="F632" t="s">
        <v>21</v>
      </c>
      <c r="G632">
        <v>60</v>
      </c>
      <c r="H632" t="s">
        <v>35</v>
      </c>
      <c r="I632" t="s">
        <v>69</v>
      </c>
      <c r="J632" t="s">
        <v>58</v>
      </c>
      <c r="K632">
        <v>13</v>
      </c>
      <c r="L632">
        <v>54913</v>
      </c>
      <c r="M632">
        <v>1000</v>
      </c>
      <c r="N632">
        <v>53913</v>
      </c>
      <c r="O632" t="s">
        <v>25</v>
      </c>
      <c r="P632">
        <v>4.9000000000000004</v>
      </c>
      <c r="Q632">
        <v>28</v>
      </c>
      <c r="R632" t="s">
        <v>1075</v>
      </c>
      <c r="S632">
        <v>8</v>
      </c>
      <c r="T632" t="str">
        <f>IF(Healthcare_Data[[#This Row],[Final_Bill]]&gt;=50000,"High",IF(Healthcare_Data[[#This Row],[Final_Bill]]&gt;=20000,"Medium","low"))</f>
        <v>High</v>
      </c>
    </row>
    <row r="633" spans="1:20" x14ac:dyDescent="0.3">
      <c r="A633" t="s">
        <v>688</v>
      </c>
      <c r="B633">
        <v>45886</v>
      </c>
      <c r="C633" t="s">
        <v>48</v>
      </c>
      <c r="D633" t="s">
        <v>19</v>
      </c>
      <c r="E633" t="s">
        <v>20</v>
      </c>
      <c r="F633" t="s">
        <v>40</v>
      </c>
      <c r="G633">
        <v>53</v>
      </c>
      <c r="H633" t="s">
        <v>29</v>
      </c>
      <c r="I633" t="s">
        <v>69</v>
      </c>
      <c r="J633" t="s">
        <v>24</v>
      </c>
      <c r="K633">
        <v>0</v>
      </c>
      <c r="L633">
        <v>19420</v>
      </c>
      <c r="M633">
        <v>1000</v>
      </c>
      <c r="N633">
        <v>18420</v>
      </c>
      <c r="O633" t="s">
        <v>25</v>
      </c>
      <c r="P633">
        <v>3.6</v>
      </c>
      <c r="Q633">
        <v>79</v>
      </c>
      <c r="R633" t="s">
        <v>1075</v>
      </c>
      <c r="S633">
        <v>8</v>
      </c>
      <c r="T633" t="str">
        <f>IF(Healthcare_Data[[#This Row],[Final_Bill]]&gt;=50000,"High",IF(Healthcare_Data[[#This Row],[Final_Bill]]&gt;=20000,"Medium","low"))</f>
        <v>low</v>
      </c>
    </row>
    <row r="634" spans="1:20" x14ac:dyDescent="0.3">
      <c r="A634" t="s">
        <v>689</v>
      </c>
      <c r="B634">
        <v>45886</v>
      </c>
      <c r="C634" t="s">
        <v>18</v>
      </c>
      <c r="D634" t="s">
        <v>39</v>
      </c>
      <c r="E634" t="s">
        <v>20</v>
      </c>
      <c r="F634" t="s">
        <v>40</v>
      </c>
      <c r="G634">
        <v>57</v>
      </c>
      <c r="H634" t="s">
        <v>56</v>
      </c>
      <c r="I634" t="s">
        <v>57</v>
      </c>
      <c r="J634" t="s">
        <v>1057</v>
      </c>
      <c r="K634">
        <v>0</v>
      </c>
      <c r="L634">
        <v>11722</v>
      </c>
      <c r="M634">
        <v>1000</v>
      </c>
      <c r="N634">
        <v>10722</v>
      </c>
      <c r="O634" t="s">
        <v>25</v>
      </c>
      <c r="P634">
        <v>4.4000000000000004</v>
      </c>
      <c r="Q634">
        <v>119</v>
      </c>
      <c r="R634" t="s">
        <v>1075</v>
      </c>
      <c r="S634">
        <v>8</v>
      </c>
      <c r="T634" t="str">
        <f>IF(Healthcare_Data[[#This Row],[Final_Bill]]&gt;=50000,"High",IF(Healthcare_Data[[#This Row],[Final_Bill]]&gt;=20000,"Medium","low"))</f>
        <v>low</v>
      </c>
    </row>
    <row r="635" spans="1:20" x14ac:dyDescent="0.3">
      <c r="A635" t="s">
        <v>690</v>
      </c>
      <c r="B635">
        <v>45886</v>
      </c>
      <c r="C635" t="s">
        <v>50</v>
      </c>
      <c r="D635" t="s">
        <v>19</v>
      </c>
      <c r="E635" t="s">
        <v>20</v>
      </c>
      <c r="F635" t="s">
        <v>21</v>
      </c>
      <c r="G635">
        <v>32</v>
      </c>
      <c r="H635" t="s">
        <v>115</v>
      </c>
      <c r="I635" t="s">
        <v>61</v>
      </c>
      <c r="J635" t="s">
        <v>31</v>
      </c>
      <c r="K635">
        <v>0</v>
      </c>
      <c r="L635">
        <v>2037</v>
      </c>
      <c r="M635">
        <v>500</v>
      </c>
      <c r="N635">
        <v>1537</v>
      </c>
      <c r="O635" t="s">
        <v>25</v>
      </c>
      <c r="P635">
        <v>4.7</v>
      </c>
      <c r="Q635">
        <v>118</v>
      </c>
      <c r="R635" t="s">
        <v>1075</v>
      </c>
      <c r="S635">
        <v>8</v>
      </c>
      <c r="T635" t="str">
        <f>IF(Healthcare_Data[[#This Row],[Final_Bill]]&gt;=50000,"High",IF(Healthcare_Data[[#This Row],[Final_Bill]]&gt;=20000,"Medium","low"))</f>
        <v>low</v>
      </c>
    </row>
    <row r="636" spans="1:20" x14ac:dyDescent="0.3">
      <c r="A636" t="s">
        <v>691</v>
      </c>
      <c r="B636">
        <v>45886</v>
      </c>
      <c r="C636" t="s">
        <v>67</v>
      </c>
      <c r="D636" t="s">
        <v>19</v>
      </c>
      <c r="E636" t="s">
        <v>52</v>
      </c>
      <c r="F636" t="s">
        <v>40</v>
      </c>
      <c r="G636">
        <v>30</v>
      </c>
      <c r="H636" t="s">
        <v>56</v>
      </c>
      <c r="I636" t="s">
        <v>72</v>
      </c>
      <c r="J636" t="s">
        <v>36</v>
      </c>
      <c r="K636">
        <v>3</v>
      </c>
      <c r="L636">
        <v>72646</v>
      </c>
      <c r="M636">
        <v>0</v>
      </c>
      <c r="N636">
        <v>72646</v>
      </c>
      <c r="O636" t="s">
        <v>25</v>
      </c>
      <c r="P636">
        <v>5</v>
      </c>
      <c r="Q636">
        <v>94</v>
      </c>
      <c r="R636" t="s">
        <v>1075</v>
      </c>
      <c r="S636">
        <v>8</v>
      </c>
      <c r="T636" t="str">
        <f>IF(Healthcare_Data[[#This Row],[Final_Bill]]&gt;=50000,"High",IF(Healthcare_Data[[#This Row],[Final_Bill]]&gt;=20000,"Medium","low"))</f>
        <v>High</v>
      </c>
    </row>
    <row r="637" spans="1:20" x14ac:dyDescent="0.3">
      <c r="A637" t="s">
        <v>692</v>
      </c>
      <c r="B637">
        <v>45886</v>
      </c>
      <c r="C637" t="s">
        <v>27</v>
      </c>
      <c r="D637" t="s">
        <v>39</v>
      </c>
      <c r="E637" t="s">
        <v>20</v>
      </c>
      <c r="F637" t="s">
        <v>21</v>
      </c>
      <c r="G637">
        <v>70</v>
      </c>
      <c r="H637" t="s">
        <v>115</v>
      </c>
      <c r="I637" t="s">
        <v>57</v>
      </c>
      <c r="J637" t="s">
        <v>36</v>
      </c>
      <c r="K637">
        <v>0</v>
      </c>
      <c r="L637">
        <v>4966</v>
      </c>
      <c r="M637">
        <v>1000</v>
      </c>
      <c r="N637">
        <v>3966</v>
      </c>
      <c r="O637" t="s">
        <v>25</v>
      </c>
      <c r="P637">
        <v>4.8</v>
      </c>
      <c r="Q637">
        <v>16</v>
      </c>
      <c r="R637" t="s">
        <v>1075</v>
      </c>
      <c r="S637">
        <v>8</v>
      </c>
      <c r="T637" t="str">
        <f>IF(Healthcare_Data[[#This Row],[Final_Bill]]&gt;=50000,"High",IF(Healthcare_Data[[#This Row],[Final_Bill]]&gt;=20000,"Medium","low"))</f>
        <v>low</v>
      </c>
    </row>
    <row r="638" spans="1:20" x14ac:dyDescent="0.3">
      <c r="A638" t="s">
        <v>693</v>
      </c>
      <c r="B638">
        <v>45887</v>
      </c>
      <c r="C638" t="s">
        <v>54</v>
      </c>
      <c r="D638" t="s">
        <v>51</v>
      </c>
      <c r="E638" t="s">
        <v>20</v>
      </c>
      <c r="F638" t="s">
        <v>21</v>
      </c>
      <c r="G638">
        <v>35</v>
      </c>
      <c r="H638" t="s">
        <v>56</v>
      </c>
      <c r="I638" t="s">
        <v>69</v>
      </c>
      <c r="J638" t="s">
        <v>24</v>
      </c>
      <c r="K638">
        <v>0</v>
      </c>
      <c r="L638">
        <v>10827</v>
      </c>
      <c r="M638">
        <v>1000</v>
      </c>
      <c r="N638">
        <v>9827</v>
      </c>
      <c r="O638" t="s">
        <v>25</v>
      </c>
      <c r="P638">
        <v>4.0999999999999996</v>
      </c>
      <c r="Q638">
        <v>69</v>
      </c>
      <c r="R638" t="s">
        <v>1075</v>
      </c>
      <c r="S638">
        <v>8</v>
      </c>
      <c r="T638" t="str">
        <f>IF(Healthcare_Data[[#This Row],[Final_Bill]]&gt;=50000,"High",IF(Healthcare_Data[[#This Row],[Final_Bill]]&gt;=20000,"Medium","low"))</f>
        <v>low</v>
      </c>
    </row>
    <row r="639" spans="1:20" x14ac:dyDescent="0.3">
      <c r="A639" t="s">
        <v>694</v>
      </c>
      <c r="B639">
        <v>45887</v>
      </c>
      <c r="C639" t="s">
        <v>18</v>
      </c>
      <c r="D639" t="s">
        <v>28</v>
      </c>
      <c r="E639" t="s">
        <v>20</v>
      </c>
      <c r="F639" t="s">
        <v>40</v>
      </c>
      <c r="G639">
        <v>71</v>
      </c>
      <c r="H639" t="s">
        <v>35</v>
      </c>
      <c r="I639" t="s">
        <v>42</v>
      </c>
      <c r="J639" t="s">
        <v>36</v>
      </c>
      <c r="K639">
        <v>0</v>
      </c>
      <c r="L639">
        <v>10180</v>
      </c>
      <c r="M639">
        <v>0</v>
      </c>
      <c r="N639">
        <v>10180</v>
      </c>
      <c r="O639" t="s">
        <v>25</v>
      </c>
      <c r="P639">
        <v>3.3</v>
      </c>
      <c r="Q639">
        <v>18</v>
      </c>
      <c r="R639" t="s">
        <v>1075</v>
      </c>
      <c r="S639">
        <v>8</v>
      </c>
      <c r="T639" t="str">
        <f>IF(Healthcare_Data[[#This Row],[Final_Bill]]&gt;=50000,"High",IF(Healthcare_Data[[#This Row],[Final_Bill]]&gt;=20000,"Medium","low"))</f>
        <v>low</v>
      </c>
    </row>
    <row r="640" spans="1:20" x14ac:dyDescent="0.3">
      <c r="A640" t="s">
        <v>695</v>
      </c>
      <c r="B640">
        <v>45888</v>
      </c>
      <c r="C640" t="s">
        <v>44</v>
      </c>
      <c r="D640" t="s">
        <v>19</v>
      </c>
      <c r="E640" t="s">
        <v>20</v>
      </c>
      <c r="F640" t="s">
        <v>21</v>
      </c>
      <c r="G640">
        <v>74</v>
      </c>
      <c r="H640" t="s">
        <v>56</v>
      </c>
      <c r="I640" t="s">
        <v>30</v>
      </c>
      <c r="J640" t="s">
        <v>24</v>
      </c>
      <c r="K640">
        <v>0</v>
      </c>
      <c r="L640">
        <v>6353</v>
      </c>
      <c r="M640">
        <v>500</v>
      </c>
      <c r="N640">
        <v>5853</v>
      </c>
      <c r="O640" t="s">
        <v>25</v>
      </c>
      <c r="P640">
        <v>2.9</v>
      </c>
      <c r="Q640">
        <v>82</v>
      </c>
      <c r="R640" t="s">
        <v>1075</v>
      </c>
      <c r="S640">
        <v>8</v>
      </c>
      <c r="T640" t="str">
        <f>IF(Healthcare_Data[[#This Row],[Final_Bill]]&gt;=50000,"High",IF(Healthcare_Data[[#This Row],[Final_Bill]]&gt;=20000,"Medium","low"))</f>
        <v>low</v>
      </c>
    </row>
    <row r="641" spans="1:20" x14ac:dyDescent="0.3">
      <c r="A641" t="s">
        <v>696</v>
      </c>
      <c r="B641">
        <v>45888</v>
      </c>
      <c r="C641" t="s">
        <v>27</v>
      </c>
      <c r="D641" t="s">
        <v>19</v>
      </c>
      <c r="E641" t="s">
        <v>20</v>
      </c>
      <c r="F641" t="s">
        <v>21</v>
      </c>
      <c r="G641">
        <v>35</v>
      </c>
      <c r="H641" t="s">
        <v>65</v>
      </c>
      <c r="I641" t="s">
        <v>57</v>
      </c>
      <c r="J641" t="s">
        <v>36</v>
      </c>
      <c r="K641">
        <v>0</v>
      </c>
      <c r="L641">
        <v>4544</v>
      </c>
      <c r="M641">
        <v>0</v>
      </c>
      <c r="N641">
        <v>4544</v>
      </c>
      <c r="O641" t="s">
        <v>25</v>
      </c>
      <c r="P641">
        <v>4.8</v>
      </c>
      <c r="Q641">
        <v>34</v>
      </c>
      <c r="R641" t="s">
        <v>1075</v>
      </c>
      <c r="S641">
        <v>8</v>
      </c>
      <c r="T641" t="str">
        <f>IF(Healthcare_Data[[#This Row],[Final_Bill]]&gt;=50000,"High",IF(Healthcare_Data[[#This Row],[Final_Bill]]&gt;=20000,"Medium","low"))</f>
        <v>low</v>
      </c>
    </row>
    <row r="642" spans="1:20" x14ac:dyDescent="0.3">
      <c r="A642" t="s">
        <v>697</v>
      </c>
      <c r="B642">
        <v>45888</v>
      </c>
      <c r="C642" t="s">
        <v>48</v>
      </c>
      <c r="D642" t="s">
        <v>34</v>
      </c>
      <c r="E642" t="s">
        <v>54</v>
      </c>
      <c r="F642" t="s">
        <v>21</v>
      </c>
      <c r="G642">
        <v>45</v>
      </c>
      <c r="H642" t="s">
        <v>46</v>
      </c>
      <c r="I642" t="s">
        <v>30</v>
      </c>
      <c r="J642" t="s">
        <v>58</v>
      </c>
      <c r="K642">
        <v>0</v>
      </c>
      <c r="L642">
        <v>10196</v>
      </c>
      <c r="M642">
        <v>2000</v>
      </c>
      <c r="N642">
        <v>8196</v>
      </c>
      <c r="O642" t="s">
        <v>25</v>
      </c>
      <c r="P642">
        <v>3.1</v>
      </c>
      <c r="Q642">
        <v>103</v>
      </c>
      <c r="R642" t="s">
        <v>1075</v>
      </c>
      <c r="S642">
        <v>8</v>
      </c>
      <c r="T642" t="str">
        <f>IF(Healthcare_Data[[#This Row],[Final_Bill]]&gt;=50000,"High",IF(Healthcare_Data[[#This Row],[Final_Bill]]&gt;=20000,"Medium","low"))</f>
        <v>low</v>
      </c>
    </row>
    <row r="643" spans="1:20" x14ac:dyDescent="0.3">
      <c r="A643" t="s">
        <v>698</v>
      </c>
      <c r="B643">
        <v>45888</v>
      </c>
      <c r="C643" t="s">
        <v>38</v>
      </c>
      <c r="D643" t="s">
        <v>19</v>
      </c>
      <c r="E643" t="s">
        <v>20</v>
      </c>
      <c r="F643" t="s">
        <v>40</v>
      </c>
      <c r="G643">
        <v>32</v>
      </c>
      <c r="H643" t="s">
        <v>35</v>
      </c>
      <c r="I643" t="s">
        <v>61</v>
      </c>
      <c r="J643" t="s">
        <v>24</v>
      </c>
      <c r="K643">
        <v>0</v>
      </c>
      <c r="L643">
        <v>12267</v>
      </c>
      <c r="M643">
        <v>0</v>
      </c>
      <c r="N643">
        <v>12267</v>
      </c>
      <c r="O643" t="s">
        <v>25</v>
      </c>
      <c r="P643">
        <v>4.3</v>
      </c>
      <c r="Q643">
        <v>79</v>
      </c>
      <c r="R643" t="s">
        <v>1075</v>
      </c>
      <c r="S643">
        <v>8</v>
      </c>
      <c r="T643" t="str">
        <f>IF(Healthcare_Data[[#This Row],[Final_Bill]]&gt;=50000,"High",IF(Healthcare_Data[[#This Row],[Final_Bill]]&gt;=20000,"Medium","low"))</f>
        <v>low</v>
      </c>
    </row>
    <row r="644" spans="1:20" x14ac:dyDescent="0.3">
      <c r="A644" t="s">
        <v>699</v>
      </c>
      <c r="B644">
        <v>45888</v>
      </c>
      <c r="C644" t="s">
        <v>44</v>
      </c>
      <c r="D644" t="s">
        <v>19</v>
      </c>
      <c r="E644" t="s">
        <v>20</v>
      </c>
      <c r="F644" t="s">
        <v>40</v>
      </c>
      <c r="G644">
        <v>71</v>
      </c>
      <c r="H644" t="s">
        <v>115</v>
      </c>
      <c r="I644" t="s">
        <v>23</v>
      </c>
      <c r="J644" t="s">
        <v>24</v>
      </c>
      <c r="K644">
        <v>0</v>
      </c>
      <c r="L644">
        <v>13377</v>
      </c>
      <c r="M644">
        <v>1500</v>
      </c>
      <c r="N644">
        <v>11877</v>
      </c>
      <c r="O644" t="s">
        <v>25</v>
      </c>
      <c r="P644">
        <v>5</v>
      </c>
      <c r="Q644">
        <v>86</v>
      </c>
      <c r="R644" t="s">
        <v>1075</v>
      </c>
      <c r="S644">
        <v>8</v>
      </c>
      <c r="T644" t="str">
        <f>IF(Healthcare_Data[[#This Row],[Final_Bill]]&gt;=50000,"High",IF(Healthcare_Data[[#This Row],[Final_Bill]]&gt;=20000,"Medium","low"))</f>
        <v>low</v>
      </c>
    </row>
    <row r="645" spans="1:20" x14ac:dyDescent="0.3">
      <c r="A645" t="s">
        <v>700</v>
      </c>
      <c r="B645">
        <v>45890</v>
      </c>
      <c r="C645" t="s">
        <v>67</v>
      </c>
      <c r="D645" t="s">
        <v>34</v>
      </c>
      <c r="E645" t="s">
        <v>52</v>
      </c>
      <c r="F645" t="s">
        <v>21</v>
      </c>
      <c r="G645">
        <v>26</v>
      </c>
      <c r="H645" t="s">
        <v>35</v>
      </c>
      <c r="I645" t="s">
        <v>69</v>
      </c>
      <c r="J645" t="s">
        <v>31</v>
      </c>
      <c r="K645">
        <v>9</v>
      </c>
      <c r="L645">
        <v>71180</v>
      </c>
      <c r="M645">
        <v>0</v>
      </c>
      <c r="N645">
        <v>71180</v>
      </c>
      <c r="O645" t="s">
        <v>25</v>
      </c>
      <c r="P645">
        <v>3.5</v>
      </c>
      <c r="Q645">
        <v>13</v>
      </c>
      <c r="R645" t="s">
        <v>1075</v>
      </c>
      <c r="S645">
        <v>8</v>
      </c>
      <c r="T645" t="str">
        <f>IF(Healthcare_Data[[#This Row],[Final_Bill]]&gt;=50000,"High",IF(Healthcare_Data[[#This Row],[Final_Bill]]&gt;=20000,"Medium","low"))</f>
        <v>High</v>
      </c>
    </row>
    <row r="646" spans="1:20" x14ac:dyDescent="0.3">
      <c r="A646" t="s">
        <v>701</v>
      </c>
      <c r="B646">
        <v>45890</v>
      </c>
      <c r="C646" t="s">
        <v>44</v>
      </c>
      <c r="D646" t="s">
        <v>19</v>
      </c>
      <c r="E646" t="s">
        <v>20</v>
      </c>
      <c r="F646" t="s">
        <v>21</v>
      </c>
      <c r="G646">
        <v>50</v>
      </c>
      <c r="H646" t="s">
        <v>46</v>
      </c>
      <c r="I646" t="s">
        <v>63</v>
      </c>
      <c r="J646" t="s">
        <v>36</v>
      </c>
      <c r="K646">
        <v>0</v>
      </c>
      <c r="L646">
        <v>2062</v>
      </c>
      <c r="M646">
        <v>0</v>
      </c>
      <c r="N646">
        <v>2062</v>
      </c>
      <c r="O646" t="s">
        <v>25</v>
      </c>
      <c r="P646">
        <v>4.9000000000000004</v>
      </c>
      <c r="Q646">
        <v>77</v>
      </c>
      <c r="R646" t="s">
        <v>1075</v>
      </c>
      <c r="S646">
        <v>8</v>
      </c>
      <c r="T646" t="str">
        <f>IF(Healthcare_Data[[#This Row],[Final_Bill]]&gt;=50000,"High",IF(Healthcare_Data[[#This Row],[Final_Bill]]&gt;=20000,"Medium","low"))</f>
        <v>low</v>
      </c>
    </row>
    <row r="647" spans="1:20" x14ac:dyDescent="0.3">
      <c r="A647" t="s">
        <v>702</v>
      </c>
      <c r="B647">
        <v>45890</v>
      </c>
      <c r="C647" t="s">
        <v>48</v>
      </c>
      <c r="D647" t="s">
        <v>34</v>
      </c>
      <c r="E647" t="s">
        <v>54</v>
      </c>
      <c r="F647" t="s">
        <v>40</v>
      </c>
      <c r="G647">
        <v>77</v>
      </c>
      <c r="H647" t="s">
        <v>65</v>
      </c>
      <c r="I647" t="s">
        <v>23</v>
      </c>
      <c r="J647" t="s">
        <v>24</v>
      </c>
      <c r="K647">
        <v>0</v>
      </c>
      <c r="L647">
        <v>29586</v>
      </c>
      <c r="M647">
        <v>0</v>
      </c>
      <c r="N647">
        <v>29586</v>
      </c>
      <c r="O647" t="s">
        <v>32</v>
      </c>
      <c r="P647">
        <v>4.9000000000000004</v>
      </c>
      <c r="Q647">
        <v>97</v>
      </c>
      <c r="R647" t="s">
        <v>1075</v>
      </c>
      <c r="S647">
        <v>8</v>
      </c>
      <c r="T647" t="str">
        <f>IF(Healthcare_Data[[#This Row],[Final_Bill]]&gt;=50000,"High",IF(Healthcare_Data[[#This Row],[Final_Bill]]&gt;=20000,"Medium","low"))</f>
        <v>Medium</v>
      </c>
    </row>
    <row r="648" spans="1:20" x14ac:dyDescent="0.3">
      <c r="A648" t="s">
        <v>703</v>
      </c>
      <c r="B648">
        <v>45890</v>
      </c>
      <c r="C648" t="s">
        <v>67</v>
      </c>
      <c r="D648" t="s">
        <v>51</v>
      </c>
      <c r="E648" t="s">
        <v>20</v>
      </c>
      <c r="F648" t="s">
        <v>40</v>
      </c>
      <c r="G648">
        <v>29</v>
      </c>
      <c r="H648" t="s">
        <v>29</v>
      </c>
      <c r="I648" t="s">
        <v>30</v>
      </c>
      <c r="J648" t="s">
        <v>31</v>
      </c>
      <c r="K648">
        <v>0</v>
      </c>
      <c r="L648">
        <v>12103</v>
      </c>
      <c r="M648">
        <v>0</v>
      </c>
      <c r="N648">
        <v>12103</v>
      </c>
      <c r="O648" t="s">
        <v>59</v>
      </c>
      <c r="P648">
        <v>3.2</v>
      </c>
      <c r="Q648">
        <v>92</v>
      </c>
      <c r="R648" t="s">
        <v>1075</v>
      </c>
      <c r="S648">
        <v>8</v>
      </c>
      <c r="T648" t="str">
        <f>IF(Healthcare_Data[[#This Row],[Final_Bill]]&gt;=50000,"High",IF(Healthcare_Data[[#This Row],[Final_Bill]]&gt;=20000,"Medium","low"))</f>
        <v>low</v>
      </c>
    </row>
    <row r="649" spans="1:20" x14ac:dyDescent="0.3">
      <c r="A649" t="s">
        <v>704</v>
      </c>
      <c r="B649">
        <v>45890</v>
      </c>
      <c r="C649" t="s">
        <v>44</v>
      </c>
      <c r="D649" t="s">
        <v>34</v>
      </c>
      <c r="E649" t="s">
        <v>52</v>
      </c>
      <c r="F649" t="s">
        <v>40</v>
      </c>
      <c r="G649">
        <v>56</v>
      </c>
      <c r="H649" t="s">
        <v>65</v>
      </c>
      <c r="I649" t="s">
        <v>63</v>
      </c>
      <c r="J649" t="s">
        <v>24</v>
      </c>
      <c r="K649">
        <v>8</v>
      </c>
      <c r="L649">
        <v>40103</v>
      </c>
      <c r="M649">
        <v>500</v>
      </c>
      <c r="N649">
        <v>39603</v>
      </c>
      <c r="O649" t="s">
        <v>25</v>
      </c>
      <c r="P649">
        <v>4.7</v>
      </c>
      <c r="Q649">
        <v>22</v>
      </c>
      <c r="R649" t="s">
        <v>1075</v>
      </c>
      <c r="S649">
        <v>8</v>
      </c>
      <c r="T649" t="str">
        <f>IF(Healthcare_Data[[#This Row],[Final_Bill]]&gt;=50000,"High",IF(Healthcare_Data[[#This Row],[Final_Bill]]&gt;=20000,"Medium","low"))</f>
        <v>Medium</v>
      </c>
    </row>
    <row r="650" spans="1:20" x14ac:dyDescent="0.3">
      <c r="A650" t="s">
        <v>705</v>
      </c>
      <c r="B650">
        <v>45890</v>
      </c>
      <c r="C650" t="s">
        <v>54</v>
      </c>
      <c r="D650" t="s">
        <v>39</v>
      </c>
      <c r="E650" t="s">
        <v>20</v>
      </c>
      <c r="F650" t="s">
        <v>21</v>
      </c>
      <c r="G650">
        <v>28</v>
      </c>
      <c r="H650" t="s">
        <v>41</v>
      </c>
      <c r="I650" t="s">
        <v>72</v>
      </c>
      <c r="J650" t="s">
        <v>31</v>
      </c>
      <c r="K650">
        <v>0</v>
      </c>
      <c r="L650">
        <v>5098</v>
      </c>
      <c r="M650">
        <v>0</v>
      </c>
      <c r="N650">
        <v>5098</v>
      </c>
      <c r="O650" t="s">
        <v>25</v>
      </c>
      <c r="P650">
        <v>4.5999999999999996</v>
      </c>
      <c r="Q650">
        <v>25</v>
      </c>
      <c r="R650" t="s">
        <v>1075</v>
      </c>
      <c r="S650">
        <v>8</v>
      </c>
      <c r="T650" t="str">
        <f>IF(Healthcare_Data[[#This Row],[Final_Bill]]&gt;=50000,"High",IF(Healthcare_Data[[#This Row],[Final_Bill]]&gt;=20000,"Medium","low"))</f>
        <v>low</v>
      </c>
    </row>
    <row r="651" spans="1:20" x14ac:dyDescent="0.3">
      <c r="A651" t="s">
        <v>706</v>
      </c>
      <c r="B651">
        <v>45890</v>
      </c>
      <c r="C651" t="s">
        <v>38</v>
      </c>
      <c r="D651" t="s">
        <v>28</v>
      </c>
      <c r="E651" t="s">
        <v>20</v>
      </c>
      <c r="F651" t="s">
        <v>40</v>
      </c>
      <c r="G651">
        <v>74</v>
      </c>
      <c r="H651" t="s">
        <v>22</v>
      </c>
      <c r="I651" t="s">
        <v>23</v>
      </c>
      <c r="J651" t="s">
        <v>24</v>
      </c>
      <c r="K651">
        <v>0</v>
      </c>
      <c r="L651">
        <v>6431</v>
      </c>
      <c r="M651">
        <v>1500</v>
      </c>
      <c r="N651">
        <v>4931</v>
      </c>
      <c r="O651" t="s">
        <v>25</v>
      </c>
      <c r="P651">
        <v>3.7</v>
      </c>
      <c r="Q651">
        <v>35</v>
      </c>
      <c r="R651" t="s">
        <v>1075</v>
      </c>
      <c r="S651">
        <v>8</v>
      </c>
      <c r="T651" t="str">
        <f>IF(Healthcare_Data[[#This Row],[Final_Bill]]&gt;=50000,"High",IF(Healthcare_Data[[#This Row],[Final_Bill]]&gt;=20000,"Medium","low"))</f>
        <v>low</v>
      </c>
    </row>
    <row r="652" spans="1:20" x14ac:dyDescent="0.3">
      <c r="A652" t="s">
        <v>707</v>
      </c>
      <c r="B652">
        <v>45890</v>
      </c>
      <c r="C652" t="s">
        <v>48</v>
      </c>
      <c r="D652" t="s">
        <v>19</v>
      </c>
      <c r="E652" t="s">
        <v>52</v>
      </c>
      <c r="F652" t="s">
        <v>21</v>
      </c>
      <c r="G652">
        <v>33</v>
      </c>
      <c r="H652" t="s">
        <v>115</v>
      </c>
      <c r="I652" t="s">
        <v>72</v>
      </c>
      <c r="J652" t="s">
        <v>24</v>
      </c>
      <c r="K652">
        <v>14</v>
      </c>
      <c r="L652">
        <v>37414</v>
      </c>
      <c r="M652">
        <v>2000</v>
      </c>
      <c r="N652">
        <v>35414</v>
      </c>
      <c r="O652" t="s">
        <v>25</v>
      </c>
      <c r="P652">
        <v>4.8</v>
      </c>
      <c r="Q652">
        <v>43</v>
      </c>
      <c r="R652" t="s">
        <v>1075</v>
      </c>
      <c r="S652">
        <v>8</v>
      </c>
      <c r="T652" t="str">
        <f>IF(Healthcare_Data[[#This Row],[Final_Bill]]&gt;=50000,"High",IF(Healthcare_Data[[#This Row],[Final_Bill]]&gt;=20000,"Medium","low"))</f>
        <v>Medium</v>
      </c>
    </row>
    <row r="653" spans="1:20" x14ac:dyDescent="0.3">
      <c r="A653" t="s">
        <v>708</v>
      </c>
      <c r="B653">
        <v>45891</v>
      </c>
      <c r="C653" t="s">
        <v>54</v>
      </c>
      <c r="D653" t="s">
        <v>39</v>
      </c>
      <c r="E653" t="s">
        <v>20</v>
      </c>
      <c r="F653" t="s">
        <v>21</v>
      </c>
      <c r="G653">
        <v>34</v>
      </c>
      <c r="H653" t="s">
        <v>115</v>
      </c>
      <c r="I653" t="s">
        <v>63</v>
      </c>
      <c r="J653" t="s">
        <v>24</v>
      </c>
      <c r="K653">
        <v>0</v>
      </c>
      <c r="L653">
        <v>9500</v>
      </c>
      <c r="M653">
        <v>1000</v>
      </c>
      <c r="N653">
        <v>8500</v>
      </c>
      <c r="O653" t="s">
        <v>25</v>
      </c>
      <c r="P653">
        <v>2.6</v>
      </c>
      <c r="Q653">
        <v>116</v>
      </c>
      <c r="R653" t="s">
        <v>1075</v>
      </c>
      <c r="S653">
        <v>8</v>
      </c>
      <c r="T653" t="str">
        <f>IF(Healthcare_Data[[#This Row],[Final_Bill]]&gt;=50000,"High",IF(Healthcare_Data[[#This Row],[Final_Bill]]&gt;=20000,"Medium","low"))</f>
        <v>low</v>
      </c>
    </row>
    <row r="654" spans="1:20" x14ac:dyDescent="0.3">
      <c r="A654" t="s">
        <v>709</v>
      </c>
      <c r="B654">
        <v>45892</v>
      </c>
      <c r="C654" t="s">
        <v>48</v>
      </c>
      <c r="D654" t="s">
        <v>34</v>
      </c>
      <c r="E654" t="s">
        <v>20</v>
      </c>
      <c r="F654" t="s">
        <v>40</v>
      </c>
      <c r="G654">
        <v>56</v>
      </c>
      <c r="H654" t="s">
        <v>35</v>
      </c>
      <c r="I654" t="s">
        <v>30</v>
      </c>
      <c r="J654" t="s">
        <v>24</v>
      </c>
      <c r="K654">
        <v>0</v>
      </c>
      <c r="L654">
        <v>4546</v>
      </c>
      <c r="M654">
        <v>0</v>
      </c>
      <c r="N654">
        <v>4546</v>
      </c>
      <c r="O654" t="s">
        <v>25</v>
      </c>
      <c r="P654">
        <v>3.6</v>
      </c>
      <c r="Q654">
        <v>86</v>
      </c>
      <c r="R654" t="s">
        <v>1075</v>
      </c>
      <c r="S654">
        <v>8</v>
      </c>
      <c r="T654" t="str">
        <f>IF(Healthcare_Data[[#This Row],[Final_Bill]]&gt;=50000,"High",IF(Healthcare_Data[[#This Row],[Final_Bill]]&gt;=20000,"Medium","low"))</f>
        <v>low</v>
      </c>
    </row>
    <row r="655" spans="1:20" x14ac:dyDescent="0.3">
      <c r="A655" t="s">
        <v>710</v>
      </c>
      <c r="B655">
        <v>45892</v>
      </c>
      <c r="C655" t="s">
        <v>50</v>
      </c>
      <c r="D655" t="s">
        <v>34</v>
      </c>
      <c r="E655" t="s">
        <v>52</v>
      </c>
      <c r="F655" t="s">
        <v>21</v>
      </c>
      <c r="G655">
        <v>20</v>
      </c>
      <c r="H655" t="s">
        <v>56</v>
      </c>
      <c r="I655" t="s">
        <v>30</v>
      </c>
      <c r="J655" t="s">
        <v>31</v>
      </c>
      <c r="K655">
        <v>6</v>
      </c>
      <c r="L655">
        <v>27213</v>
      </c>
      <c r="M655">
        <v>500</v>
      </c>
      <c r="N655">
        <v>26713</v>
      </c>
      <c r="O655" t="s">
        <v>32</v>
      </c>
      <c r="P655">
        <v>4.9000000000000004</v>
      </c>
      <c r="Q655">
        <v>6</v>
      </c>
      <c r="R655" t="s">
        <v>1075</v>
      </c>
      <c r="S655">
        <v>8</v>
      </c>
      <c r="T655" t="str">
        <f>IF(Healthcare_Data[[#This Row],[Final_Bill]]&gt;=50000,"High",IF(Healthcare_Data[[#This Row],[Final_Bill]]&gt;=20000,"Medium","low"))</f>
        <v>Medium</v>
      </c>
    </row>
    <row r="656" spans="1:20" x14ac:dyDescent="0.3">
      <c r="A656" t="s">
        <v>711</v>
      </c>
      <c r="B656">
        <v>45893</v>
      </c>
      <c r="C656" t="s">
        <v>38</v>
      </c>
      <c r="D656" t="s">
        <v>34</v>
      </c>
      <c r="E656" t="s">
        <v>20</v>
      </c>
      <c r="F656" t="s">
        <v>21</v>
      </c>
      <c r="G656">
        <v>29</v>
      </c>
      <c r="H656" t="s">
        <v>35</v>
      </c>
      <c r="I656" t="s">
        <v>30</v>
      </c>
      <c r="J656" t="s">
        <v>24</v>
      </c>
      <c r="K656">
        <v>0</v>
      </c>
      <c r="L656">
        <v>16359</v>
      </c>
      <c r="M656">
        <v>1000</v>
      </c>
      <c r="N656">
        <v>15359</v>
      </c>
      <c r="O656" t="s">
        <v>25</v>
      </c>
      <c r="P656">
        <v>4.0999999999999996</v>
      </c>
      <c r="Q656">
        <v>37</v>
      </c>
      <c r="R656" t="s">
        <v>1075</v>
      </c>
      <c r="S656">
        <v>8</v>
      </c>
      <c r="T656" t="str">
        <f>IF(Healthcare_Data[[#This Row],[Final_Bill]]&gt;=50000,"High",IF(Healthcare_Data[[#This Row],[Final_Bill]]&gt;=20000,"Medium","low"))</f>
        <v>low</v>
      </c>
    </row>
    <row r="657" spans="1:20" x14ac:dyDescent="0.3">
      <c r="A657" t="s">
        <v>712</v>
      </c>
      <c r="B657">
        <v>45893</v>
      </c>
      <c r="C657" t="s">
        <v>54</v>
      </c>
      <c r="D657" t="s">
        <v>19</v>
      </c>
      <c r="E657" t="s">
        <v>20</v>
      </c>
      <c r="F657" t="s">
        <v>21</v>
      </c>
      <c r="G657">
        <v>33</v>
      </c>
      <c r="H657" t="s">
        <v>35</v>
      </c>
      <c r="I657" t="s">
        <v>63</v>
      </c>
      <c r="J657" t="s">
        <v>24</v>
      </c>
      <c r="K657">
        <v>0</v>
      </c>
      <c r="L657">
        <v>11871</v>
      </c>
      <c r="M657">
        <v>0</v>
      </c>
      <c r="N657">
        <v>11871</v>
      </c>
      <c r="O657" t="s">
        <v>25</v>
      </c>
      <c r="P657">
        <v>2.8</v>
      </c>
      <c r="Q657">
        <v>98</v>
      </c>
      <c r="R657" t="s">
        <v>1075</v>
      </c>
      <c r="S657">
        <v>8</v>
      </c>
      <c r="T657" t="str">
        <f>IF(Healthcare_Data[[#This Row],[Final_Bill]]&gt;=50000,"High",IF(Healthcare_Data[[#This Row],[Final_Bill]]&gt;=20000,"Medium","low"))</f>
        <v>low</v>
      </c>
    </row>
    <row r="658" spans="1:20" x14ac:dyDescent="0.3">
      <c r="A658" t="s">
        <v>713</v>
      </c>
      <c r="B658">
        <v>45893</v>
      </c>
      <c r="C658" t="s">
        <v>50</v>
      </c>
      <c r="D658" t="s">
        <v>19</v>
      </c>
      <c r="E658" t="s">
        <v>20</v>
      </c>
      <c r="F658" t="s">
        <v>40</v>
      </c>
      <c r="G658">
        <v>32</v>
      </c>
      <c r="H658" t="s">
        <v>22</v>
      </c>
      <c r="I658" t="s">
        <v>42</v>
      </c>
      <c r="J658" t="s">
        <v>36</v>
      </c>
      <c r="K658">
        <v>0</v>
      </c>
      <c r="L658">
        <v>10453</v>
      </c>
      <c r="M658">
        <v>0</v>
      </c>
      <c r="N658">
        <v>10453</v>
      </c>
      <c r="O658" t="s">
        <v>25</v>
      </c>
      <c r="P658">
        <v>3.7</v>
      </c>
      <c r="Q658">
        <v>10</v>
      </c>
      <c r="R658" t="s">
        <v>1075</v>
      </c>
      <c r="S658">
        <v>8</v>
      </c>
      <c r="T658" t="str">
        <f>IF(Healthcare_Data[[#This Row],[Final_Bill]]&gt;=50000,"High",IF(Healthcare_Data[[#This Row],[Final_Bill]]&gt;=20000,"Medium","low"))</f>
        <v>low</v>
      </c>
    </row>
    <row r="659" spans="1:20" x14ac:dyDescent="0.3">
      <c r="A659" t="s">
        <v>714</v>
      </c>
      <c r="B659">
        <v>45894</v>
      </c>
      <c r="C659" t="s">
        <v>18</v>
      </c>
      <c r="D659" t="s">
        <v>39</v>
      </c>
      <c r="E659" t="s">
        <v>20</v>
      </c>
      <c r="F659" t="s">
        <v>40</v>
      </c>
      <c r="G659">
        <v>21</v>
      </c>
      <c r="H659" t="s">
        <v>35</v>
      </c>
      <c r="I659" t="s">
        <v>63</v>
      </c>
      <c r="J659" t="s">
        <v>36</v>
      </c>
      <c r="K659">
        <v>0</v>
      </c>
      <c r="L659">
        <v>8016</v>
      </c>
      <c r="M659">
        <v>500</v>
      </c>
      <c r="N659">
        <v>7516</v>
      </c>
      <c r="O659" t="s">
        <v>59</v>
      </c>
      <c r="P659">
        <v>2.6</v>
      </c>
      <c r="Q659">
        <v>110</v>
      </c>
      <c r="R659" t="s">
        <v>1075</v>
      </c>
      <c r="S659">
        <v>8</v>
      </c>
      <c r="T659" t="str">
        <f>IF(Healthcare_Data[[#This Row],[Final_Bill]]&gt;=50000,"High",IF(Healthcare_Data[[#This Row],[Final_Bill]]&gt;=20000,"Medium","low"))</f>
        <v>low</v>
      </c>
    </row>
    <row r="660" spans="1:20" x14ac:dyDescent="0.3">
      <c r="A660" t="s">
        <v>715</v>
      </c>
      <c r="B660">
        <v>45894</v>
      </c>
      <c r="C660" t="s">
        <v>54</v>
      </c>
      <c r="D660" t="s">
        <v>28</v>
      </c>
      <c r="E660" t="s">
        <v>54</v>
      </c>
      <c r="F660" t="s">
        <v>40</v>
      </c>
      <c r="G660">
        <v>45</v>
      </c>
      <c r="H660" t="s">
        <v>29</v>
      </c>
      <c r="I660" t="s">
        <v>57</v>
      </c>
      <c r="J660" t="s">
        <v>24</v>
      </c>
      <c r="K660">
        <v>0</v>
      </c>
      <c r="L660">
        <v>21932</v>
      </c>
      <c r="M660">
        <v>2000</v>
      </c>
      <c r="N660">
        <v>19932</v>
      </c>
      <c r="O660" t="s">
        <v>59</v>
      </c>
      <c r="P660">
        <v>2.7</v>
      </c>
      <c r="Q660">
        <v>102</v>
      </c>
      <c r="R660" t="s">
        <v>1075</v>
      </c>
      <c r="S660">
        <v>8</v>
      </c>
      <c r="T660" t="str">
        <f>IF(Healthcare_Data[[#This Row],[Final_Bill]]&gt;=50000,"High",IF(Healthcare_Data[[#This Row],[Final_Bill]]&gt;=20000,"Medium","low"))</f>
        <v>low</v>
      </c>
    </row>
    <row r="661" spans="1:20" x14ac:dyDescent="0.3">
      <c r="A661" t="s">
        <v>716</v>
      </c>
      <c r="B661">
        <v>45894</v>
      </c>
      <c r="C661" t="s">
        <v>18</v>
      </c>
      <c r="D661" t="s">
        <v>34</v>
      </c>
      <c r="E661" t="s">
        <v>20</v>
      </c>
      <c r="F661" t="s">
        <v>40</v>
      </c>
      <c r="G661">
        <v>59</v>
      </c>
      <c r="H661" t="s">
        <v>22</v>
      </c>
      <c r="I661" t="s">
        <v>69</v>
      </c>
      <c r="J661" t="s">
        <v>24</v>
      </c>
      <c r="K661">
        <v>0</v>
      </c>
      <c r="L661">
        <v>18028</v>
      </c>
      <c r="M661">
        <v>0</v>
      </c>
      <c r="N661">
        <v>18028</v>
      </c>
      <c r="O661" t="s">
        <v>25</v>
      </c>
      <c r="P661">
        <v>3.1</v>
      </c>
      <c r="Q661">
        <v>105</v>
      </c>
      <c r="R661" t="s">
        <v>1075</v>
      </c>
      <c r="S661">
        <v>8</v>
      </c>
      <c r="T661" t="str">
        <f>IF(Healthcare_Data[[#This Row],[Final_Bill]]&gt;=50000,"High",IF(Healthcare_Data[[#This Row],[Final_Bill]]&gt;=20000,"Medium","low"))</f>
        <v>low</v>
      </c>
    </row>
    <row r="662" spans="1:20" x14ac:dyDescent="0.3">
      <c r="A662" t="s">
        <v>717</v>
      </c>
      <c r="B662">
        <v>45895</v>
      </c>
      <c r="C662" t="s">
        <v>50</v>
      </c>
      <c r="D662" t="s">
        <v>28</v>
      </c>
      <c r="E662" t="s">
        <v>52</v>
      </c>
      <c r="F662" t="s">
        <v>21</v>
      </c>
      <c r="G662">
        <v>38</v>
      </c>
      <c r="H662" t="s">
        <v>56</v>
      </c>
      <c r="I662" t="s">
        <v>30</v>
      </c>
      <c r="J662" t="s">
        <v>31</v>
      </c>
      <c r="K662">
        <v>9</v>
      </c>
      <c r="L662">
        <v>58407</v>
      </c>
      <c r="M662">
        <v>0</v>
      </c>
      <c r="N662">
        <v>58407</v>
      </c>
      <c r="O662" t="s">
        <v>25</v>
      </c>
      <c r="P662">
        <v>3.7</v>
      </c>
      <c r="Q662">
        <v>76</v>
      </c>
      <c r="R662" t="s">
        <v>1075</v>
      </c>
      <c r="S662">
        <v>8</v>
      </c>
      <c r="T662" t="str">
        <f>IF(Healthcare_Data[[#This Row],[Final_Bill]]&gt;=50000,"High",IF(Healthcare_Data[[#This Row],[Final_Bill]]&gt;=20000,"Medium","low"))</f>
        <v>High</v>
      </c>
    </row>
    <row r="663" spans="1:20" x14ac:dyDescent="0.3">
      <c r="A663" t="s">
        <v>718</v>
      </c>
      <c r="B663">
        <v>45895</v>
      </c>
      <c r="C663" t="s">
        <v>50</v>
      </c>
      <c r="D663" t="s">
        <v>39</v>
      </c>
      <c r="E663" t="s">
        <v>52</v>
      </c>
      <c r="F663" t="s">
        <v>40</v>
      </c>
      <c r="G663">
        <v>75</v>
      </c>
      <c r="H663" t="s">
        <v>22</v>
      </c>
      <c r="I663" t="s">
        <v>57</v>
      </c>
      <c r="J663" t="s">
        <v>24</v>
      </c>
      <c r="K663">
        <v>7</v>
      </c>
      <c r="L663">
        <v>58054</v>
      </c>
      <c r="M663">
        <v>1000</v>
      </c>
      <c r="N663">
        <v>57054</v>
      </c>
      <c r="O663" t="s">
        <v>25</v>
      </c>
      <c r="P663">
        <v>3.2</v>
      </c>
      <c r="Q663">
        <v>10</v>
      </c>
      <c r="R663" t="s">
        <v>1075</v>
      </c>
      <c r="S663">
        <v>8</v>
      </c>
      <c r="T663" t="str">
        <f>IF(Healthcare_Data[[#This Row],[Final_Bill]]&gt;=50000,"High",IF(Healthcare_Data[[#This Row],[Final_Bill]]&gt;=20000,"Medium","low"))</f>
        <v>High</v>
      </c>
    </row>
    <row r="664" spans="1:20" x14ac:dyDescent="0.3">
      <c r="A664" t="s">
        <v>719</v>
      </c>
      <c r="B664">
        <v>45895</v>
      </c>
      <c r="C664" t="s">
        <v>18</v>
      </c>
      <c r="D664" t="s">
        <v>28</v>
      </c>
      <c r="E664" t="s">
        <v>20</v>
      </c>
      <c r="F664" t="s">
        <v>40</v>
      </c>
      <c r="G664">
        <v>46</v>
      </c>
      <c r="H664" t="s">
        <v>41</v>
      </c>
      <c r="I664" t="s">
        <v>57</v>
      </c>
      <c r="J664" t="s">
        <v>36</v>
      </c>
      <c r="K664">
        <v>0</v>
      </c>
      <c r="L664">
        <v>7435</v>
      </c>
      <c r="M664">
        <v>500</v>
      </c>
      <c r="N664">
        <v>6935</v>
      </c>
      <c r="O664" t="s">
        <v>32</v>
      </c>
      <c r="P664">
        <v>2.8</v>
      </c>
      <c r="Q664">
        <v>43</v>
      </c>
      <c r="R664" t="s">
        <v>1075</v>
      </c>
      <c r="S664">
        <v>8</v>
      </c>
      <c r="T664" t="str">
        <f>IF(Healthcare_Data[[#This Row],[Final_Bill]]&gt;=50000,"High",IF(Healthcare_Data[[#This Row],[Final_Bill]]&gt;=20000,"Medium","low"))</f>
        <v>low</v>
      </c>
    </row>
    <row r="665" spans="1:20" x14ac:dyDescent="0.3">
      <c r="A665" t="s">
        <v>720</v>
      </c>
      <c r="B665">
        <v>45896</v>
      </c>
      <c r="C665" t="s">
        <v>54</v>
      </c>
      <c r="D665" t="s">
        <v>51</v>
      </c>
      <c r="E665" t="s">
        <v>20</v>
      </c>
      <c r="F665" t="s">
        <v>21</v>
      </c>
      <c r="G665">
        <v>76</v>
      </c>
      <c r="H665" t="s">
        <v>46</v>
      </c>
      <c r="I665" t="s">
        <v>72</v>
      </c>
      <c r="J665" t="s">
        <v>31</v>
      </c>
      <c r="K665">
        <v>0</v>
      </c>
      <c r="L665">
        <v>17380</v>
      </c>
      <c r="M665">
        <v>1000</v>
      </c>
      <c r="N665">
        <v>16380</v>
      </c>
      <c r="O665" t="s">
        <v>25</v>
      </c>
      <c r="P665">
        <v>2.8</v>
      </c>
      <c r="Q665">
        <v>14</v>
      </c>
      <c r="R665" t="s">
        <v>1075</v>
      </c>
      <c r="S665">
        <v>8</v>
      </c>
      <c r="T665" t="str">
        <f>IF(Healthcare_Data[[#This Row],[Final_Bill]]&gt;=50000,"High",IF(Healthcare_Data[[#This Row],[Final_Bill]]&gt;=20000,"Medium","low"))</f>
        <v>low</v>
      </c>
    </row>
    <row r="666" spans="1:20" x14ac:dyDescent="0.3">
      <c r="A666" t="s">
        <v>721</v>
      </c>
      <c r="B666">
        <v>45896</v>
      </c>
      <c r="C666" t="s">
        <v>18</v>
      </c>
      <c r="D666" t="s">
        <v>34</v>
      </c>
      <c r="E666" t="s">
        <v>20</v>
      </c>
      <c r="F666" t="s">
        <v>21</v>
      </c>
      <c r="G666">
        <v>39</v>
      </c>
      <c r="H666" t="s">
        <v>56</v>
      </c>
      <c r="I666" t="s">
        <v>61</v>
      </c>
      <c r="J666" t="s">
        <v>58</v>
      </c>
      <c r="K666">
        <v>0</v>
      </c>
      <c r="L666">
        <v>14112</v>
      </c>
      <c r="M666">
        <v>0</v>
      </c>
      <c r="N666">
        <v>14112</v>
      </c>
      <c r="O666" t="s">
        <v>25</v>
      </c>
      <c r="P666">
        <v>4.2</v>
      </c>
      <c r="Q666">
        <v>68</v>
      </c>
      <c r="R666" t="s">
        <v>1075</v>
      </c>
      <c r="S666">
        <v>8</v>
      </c>
      <c r="T666" t="str">
        <f>IF(Healthcare_Data[[#This Row],[Final_Bill]]&gt;=50000,"High",IF(Healthcare_Data[[#This Row],[Final_Bill]]&gt;=20000,"Medium","low"))</f>
        <v>low</v>
      </c>
    </row>
    <row r="667" spans="1:20" x14ac:dyDescent="0.3">
      <c r="A667" t="s">
        <v>722</v>
      </c>
      <c r="B667">
        <v>45896</v>
      </c>
      <c r="C667" t="s">
        <v>44</v>
      </c>
      <c r="D667" t="s">
        <v>34</v>
      </c>
      <c r="E667" t="s">
        <v>20</v>
      </c>
      <c r="F667" t="s">
        <v>40</v>
      </c>
      <c r="G667">
        <v>22</v>
      </c>
      <c r="H667" t="s">
        <v>46</v>
      </c>
      <c r="I667" t="s">
        <v>57</v>
      </c>
      <c r="J667" t="s">
        <v>36</v>
      </c>
      <c r="K667">
        <v>0</v>
      </c>
      <c r="L667">
        <v>4939</v>
      </c>
      <c r="M667">
        <v>0</v>
      </c>
      <c r="N667">
        <v>4939</v>
      </c>
      <c r="O667" t="s">
        <v>25</v>
      </c>
      <c r="P667">
        <v>2.9</v>
      </c>
      <c r="Q667">
        <v>45</v>
      </c>
      <c r="R667" t="s">
        <v>1075</v>
      </c>
      <c r="S667">
        <v>8</v>
      </c>
      <c r="T667" t="str">
        <f>IF(Healthcare_Data[[#This Row],[Final_Bill]]&gt;=50000,"High",IF(Healthcare_Data[[#This Row],[Final_Bill]]&gt;=20000,"Medium","low"))</f>
        <v>low</v>
      </c>
    </row>
    <row r="668" spans="1:20" x14ac:dyDescent="0.3">
      <c r="A668" t="s">
        <v>723</v>
      </c>
      <c r="B668">
        <v>45896</v>
      </c>
      <c r="C668" t="s">
        <v>54</v>
      </c>
      <c r="D668" t="s">
        <v>34</v>
      </c>
      <c r="E668" t="s">
        <v>20</v>
      </c>
      <c r="F668" t="s">
        <v>40</v>
      </c>
      <c r="G668">
        <v>18</v>
      </c>
      <c r="H668" t="s">
        <v>46</v>
      </c>
      <c r="I668" t="s">
        <v>30</v>
      </c>
      <c r="J668" t="s">
        <v>24</v>
      </c>
      <c r="K668">
        <v>0</v>
      </c>
      <c r="L668">
        <v>7290</v>
      </c>
      <c r="M668">
        <v>1500</v>
      </c>
      <c r="N668">
        <v>5790</v>
      </c>
      <c r="O668" t="s">
        <v>25</v>
      </c>
      <c r="P668">
        <v>3.3</v>
      </c>
      <c r="Q668">
        <v>97</v>
      </c>
      <c r="R668" t="s">
        <v>1075</v>
      </c>
      <c r="S668">
        <v>8</v>
      </c>
      <c r="T668" t="str">
        <f>IF(Healthcare_Data[[#This Row],[Final_Bill]]&gt;=50000,"High",IF(Healthcare_Data[[#This Row],[Final_Bill]]&gt;=20000,"Medium","low"))</f>
        <v>low</v>
      </c>
    </row>
    <row r="669" spans="1:20" x14ac:dyDescent="0.3">
      <c r="A669" t="s">
        <v>724</v>
      </c>
      <c r="B669">
        <v>45896</v>
      </c>
      <c r="C669" t="s">
        <v>18</v>
      </c>
      <c r="D669" t="s">
        <v>28</v>
      </c>
      <c r="E669" t="s">
        <v>20</v>
      </c>
      <c r="F669" t="s">
        <v>40</v>
      </c>
      <c r="G669">
        <v>50</v>
      </c>
      <c r="H669" t="s">
        <v>56</v>
      </c>
      <c r="I669" t="s">
        <v>61</v>
      </c>
      <c r="J669" t="s">
        <v>31</v>
      </c>
      <c r="K669">
        <v>0</v>
      </c>
      <c r="L669">
        <v>15693</v>
      </c>
      <c r="M669">
        <v>500</v>
      </c>
      <c r="N669">
        <v>15193</v>
      </c>
      <c r="O669" t="s">
        <v>59</v>
      </c>
      <c r="P669">
        <v>2.9</v>
      </c>
      <c r="Q669">
        <v>66</v>
      </c>
      <c r="R669" t="s">
        <v>1075</v>
      </c>
      <c r="S669">
        <v>8</v>
      </c>
      <c r="T669" t="str">
        <f>IF(Healthcare_Data[[#This Row],[Final_Bill]]&gt;=50000,"High",IF(Healthcare_Data[[#This Row],[Final_Bill]]&gt;=20000,"Medium","low"))</f>
        <v>low</v>
      </c>
    </row>
    <row r="670" spans="1:20" x14ac:dyDescent="0.3">
      <c r="A670" t="s">
        <v>725</v>
      </c>
      <c r="B670">
        <v>45897</v>
      </c>
      <c r="C670" t="s">
        <v>50</v>
      </c>
      <c r="D670" t="s">
        <v>39</v>
      </c>
      <c r="E670" t="s">
        <v>20</v>
      </c>
      <c r="F670" t="s">
        <v>21</v>
      </c>
      <c r="G670">
        <v>31</v>
      </c>
      <c r="H670" t="s">
        <v>22</v>
      </c>
      <c r="I670" t="s">
        <v>72</v>
      </c>
      <c r="J670" t="s">
        <v>24</v>
      </c>
      <c r="K670">
        <v>0</v>
      </c>
      <c r="L670">
        <v>19318</v>
      </c>
      <c r="M670">
        <v>0</v>
      </c>
      <c r="N670">
        <v>19318</v>
      </c>
      <c r="O670" t="s">
        <v>25</v>
      </c>
      <c r="P670">
        <v>4.0999999999999996</v>
      </c>
      <c r="Q670">
        <v>80</v>
      </c>
      <c r="R670" t="s">
        <v>1075</v>
      </c>
      <c r="S670">
        <v>8</v>
      </c>
      <c r="T670" t="str">
        <f>IF(Healthcare_Data[[#This Row],[Final_Bill]]&gt;=50000,"High",IF(Healthcare_Data[[#This Row],[Final_Bill]]&gt;=20000,"Medium","low"))</f>
        <v>low</v>
      </c>
    </row>
    <row r="671" spans="1:20" x14ac:dyDescent="0.3">
      <c r="A671" t="s">
        <v>726</v>
      </c>
      <c r="B671">
        <v>45897</v>
      </c>
      <c r="C671" t="s">
        <v>50</v>
      </c>
      <c r="D671" t="s">
        <v>39</v>
      </c>
      <c r="E671" t="s">
        <v>20</v>
      </c>
      <c r="F671" t="s">
        <v>40</v>
      </c>
      <c r="G671">
        <v>61</v>
      </c>
      <c r="H671" t="s">
        <v>56</v>
      </c>
      <c r="I671" t="s">
        <v>57</v>
      </c>
      <c r="J671" t="s">
        <v>31</v>
      </c>
      <c r="K671">
        <v>0</v>
      </c>
      <c r="L671">
        <v>7625</v>
      </c>
      <c r="M671">
        <v>0</v>
      </c>
      <c r="N671">
        <v>7625</v>
      </c>
      <c r="O671" t="s">
        <v>32</v>
      </c>
      <c r="P671">
        <v>3.3</v>
      </c>
      <c r="Q671">
        <v>66</v>
      </c>
      <c r="R671" t="s">
        <v>1075</v>
      </c>
      <c r="S671">
        <v>8</v>
      </c>
      <c r="T671" t="str">
        <f>IF(Healthcare_Data[[#This Row],[Final_Bill]]&gt;=50000,"High",IF(Healthcare_Data[[#This Row],[Final_Bill]]&gt;=20000,"Medium","low"))</f>
        <v>low</v>
      </c>
    </row>
    <row r="672" spans="1:20" x14ac:dyDescent="0.3">
      <c r="A672" t="s">
        <v>727</v>
      </c>
      <c r="B672">
        <v>45897</v>
      </c>
      <c r="C672" t="s">
        <v>50</v>
      </c>
      <c r="D672" t="s">
        <v>51</v>
      </c>
      <c r="E672" t="s">
        <v>52</v>
      </c>
      <c r="F672" t="s">
        <v>21</v>
      </c>
      <c r="G672">
        <v>28</v>
      </c>
      <c r="H672" t="s">
        <v>56</v>
      </c>
      <c r="I672" t="s">
        <v>61</v>
      </c>
      <c r="J672" t="s">
        <v>24</v>
      </c>
      <c r="K672">
        <v>9</v>
      </c>
      <c r="L672">
        <v>71977</v>
      </c>
      <c r="M672">
        <v>2000</v>
      </c>
      <c r="N672">
        <v>69977</v>
      </c>
      <c r="O672" t="s">
        <v>25</v>
      </c>
      <c r="P672">
        <v>3.6</v>
      </c>
      <c r="Q672">
        <v>39</v>
      </c>
      <c r="R672" t="s">
        <v>1075</v>
      </c>
      <c r="S672">
        <v>8</v>
      </c>
      <c r="T672" t="str">
        <f>IF(Healthcare_Data[[#This Row],[Final_Bill]]&gt;=50000,"High",IF(Healthcare_Data[[#This Row],[Final_Bill]]&gt;=20000,"Medium","low"))</f>
        <v>High</v>
      </c>
    </row>
    <row r="673" spans="1:20" x14ac:dyDescent="0.3">
      <c r="A673" t="s">
        <v>728</v>
      </c>
      <c r="B673">
        <v>45898</v>
      </c>
      <c r="C673" t="s">
        <v>27</v>
      </c>
      <c r="D673" t="s">
        <v>28</v>
      </c>
      <c r="E673" t="s">
        <v>52</v>
      </c>
      <c r="F673" t="s">
        <v>21</v>
      </c>
      <c r="G673">
        <v>68</v>
      </c>
      <c r="H673" t="s">
        <v>115</v>
      </c>
      <c r="I673" t="s">
        <v>69</v>
      </c>
      <c r="J673" t="s">
        <v>24</v>
      </c>
      <c r="K673">
        <v>4</v>
      </c>
      <c r="L673">
        <v>57465</v>
      </c>
      <c r="M673">
        <v>0</v>
      </c>
      <c r="N673">
        <v>57465</v>
      </c>
      <c r="O673" t="s">
        <v>32</v>
      </c>
      <c r="P673">
        <v>2.5</v>
      </c>
      <c r="Q673">
        <v>50</v>
      </c>
      <c r="R673" t="s">
        <v>1075</v>
      </c>
      <c r="S673">
        <v>8</v>
      </c>
      <c r="T673" t="str">
        <f>IF(Healthcare_Data[[#This Row],[Final_Bill]]&gt;=50000,"High",IF(Healthcare_Data[[#This Row],[Final_Bill]]&gt;=20000,"Medium","low"))</f>
        <v>High</v>
      </c>
    </row>
    <row r="674" spans="1:20" x14ac:dyDescent="0.3">
      <c r="A674" t="s">
        <v>729</v>
      </c>
      <c r="B674">
        <v>45899</v>
      </c>
      <c r="C674" t="s">
        <v>38</v>
      </c>
      <c r="D674" t="s">
        <v>19</v>
      </c>
      <c r="E674" t="s">
        <v>52</v>
      </c>
      <c r="F674" t="s">
        <v>40</v>
      </c>
      <c r="G674">
        <v>61</v>
      </c>
      <c r="H674" t="s">
        <v>29</v>
      </c>
      <c r="I674" t="s">
        <v>23</v>
      </c>
      <c r="J674" t="s">
        <v>58</v>
      </c>
      <c r="K674">
        <v>7</v>
      </c>
      <c r="L674">
        <v>72320</v>
      </c>
      <c r="M674">
        <v>1000</v>
      </c>
      <c r="N674">
        <v>71320</v>
      </c>
      <c r="O674" t="s">
        <v>25</v>
      </c>
      <c r="P674">
        <v>4.3</v>
      </c>
      <c r="Q674">
        <v>12</v>
      </c>
      <c r="R674" t="s">
        <v>1075</v>
      </c>
      <c r="S674">
        <v>8</v>
      </c>
      <c r="T674" t="str">
        <f>IF(Healthcare_Data[[#This Row],[Final_Bill]]&gt;=50000,"High",IF(Healthcare_Data[[#This Row],[Final_Bill]]&gt;=20000,"Medium","low"))</f>
        <v>High</v>
      </c>
    </row>
    <row r="675" spans="1:20" x14ac:dyDescent="0.3">
      <c r="A675" t="s">
        <v>730</v>
      </c>
      <c r="B675">
        <v>45899</v>
      </c>
      <c r="C675" t="s">
        <v>38</v>
      </c>
      <c r="D675" t="s">
        <v>51</v>
      </c>
      <c r="E675" t="s">
        <v>52</v>
      </c>
      <c r="F675" t="s">
        <v>21</v>
      </c>
      <c r="G675">
        <v>69</v>
      </c>
      <c r="H675" t="s">
        <v>41</v>
      </c>
      <c r="I675" t="s">
        <v>69</v>
      </c>
      <c r="J675" t="s">
        <v>36</v>
      </c>
      <c r="K675">
        <v>1</v>
      </c>
      <c r="L675">
        <v>32772</v>
      </c>
      <c r="M675">
        <v>500</v>
      </c>
      <c r="N675">
        <v>32272</v>
      </c>
      <c r="O675" t="s">
        <v>25</v>
      </c>
      <c r="P675">
        <v>2.8</v>
      </c>
      <c r="Q675">
        <v>18</v>
      </c>
      <c r="R675" t="s">
        <v>1075</v>
      </c>
      <c r="S675">
        <v>8</v>
      </c>
      <c r="T675" t="str">
        <f>IF(Healthcare_Data[[#This Row],[Final_Bill]]&gt;=50000,"High",IF(Healthcare_Data[[#This Row],[Final_Bill]]&gt;=20000,"Medium","low"))</f>
        <v>Medium</v>
      </c>
    </row>
    <row r="676" spans="1:20" x14ac:dyDescent="0.3">
      <c r="A676" t="s">
        <v>731</v>
      </c>
      <c r="B676">
        <v>45899</v>
      </c>
      <c r="C676" t="s">
        <v>67</v>
      </c>
      <c r="D676" t="s">
        <v>19</v>
      </c>
      <c r="E676" t="s">
        <v>20</v>
      </c>
      <c r="F676" t="s">
        <v>21</v>
      </c>
      <c r="G676">
        <v>51</v>
      </c>
      <c r="H676" t="s">
        <v>41</v>
      </c>
      <c r="I676" t="s">
        <v>63</v>
      </c>
      <c r="J676" t="s">
        <v>58</v>
      </c>
      <c r="K676">
        <v>0</v>
      </c>
      <c r="L676">
        <v>19748</v>
      </c>
      <c r="M676">
        <v>0</v>
      </c>
      <c r="N676">
        <v>19748</v>
      </c>
      <c r="O676" t="s">
        <v>25</v>
      </c>
      <c r="P676">
        <v>4</v>
      </c>
      <c r="Q676">
        <v>70</v>
      </c>
      <c r="R676" t="s">
        <v>1075</v>
      </c>
      <c r="S676">
        <v>8</v>
      </c>
      <c r="T676" t="str">
        <f>IF(Healthcare_Data[[#This Row],[Final_Bill]]&gt;=50000,"High",IF(Healthcare_Data[[#This Row],[Final_Bill]]&gt;=20000,"Medium","low"))</f>
        <v>low</v>
      </c>
    </row>
    <row r="677" spans="1:20" x14ac:dyDescent="0.3">
      <c r="A677" t="s">
        <v>732</v>
      </c>
      <c r="B677">
        <v>45899</v>
      </c>
      <c r="C677" t="s">
        <v>27</v>
      </c>
      <c r="D677" t="s">
        <v>19</v>
      </c>
      <c r="E677" t="s">
        <v>54</v>
      </c>
      <c r="F677" t="s">
        <v>21</v>
      </c>
      <c r="G677">
        <v>33</v>
      </c>
      <c r="H677" t="s">
        <v>41</v>
      </c>
      <c r="I677" t="s">
        <v>42</v>
      </c>
      <c r="J677" t="s">
        <v>36</v>
      </c>
      <c r="K677">
        <v>0</v>
      </c>
      <c r="L677">
        <v>30745</v>
      </c>
      <c r="M677">
        <v>500</v>
      </c>
      <c r="N677">
        <v>30245</v>
      </c>
      <c r="O677" t="s">
        <v>25</v>
      </c>
      <c r="P677">
        <v>3.1</v>
      </c>
      <c r="Q677">
        <v>53</v>
      </c>
      <c r="R677" t="s">
        <v>1075</v>
      </c>
      <c r="S677">
        <v>8</v>
      </c>
      <c r="T677" t="str">
        <f>IF(Healthcare_Data[[#This Row],[Final_Bill]]&gt;=50000,"High",IF(Healthcare_Data[[#This Row],[Final_Bill]]&gt;=20000,"Medium","low"))</f>
        <v>Medium</v>
      </c>
    </row>
    <row r="678" spans="1:20" x14ac:dyDescent="0.3">
      <c r="A678" t="s">
        <v>733</v>
      </c>
      <c r="B678">
        <v>45900</v>
      </c>
      <c r="C678" t="s">
        <v>67</v>
      </c>
      <c r="D678" t="s">
        <v>34</v>
      </c>
      <c r="E678" t="s">
        <v>52</v>
      </c>
      <c r="F678" t="s">
        <v>40</v>
      </c>
      <c r="G678">
        <v>26</v>
      </c>
      <c r="H678" t="s">
        <v>115</v>
      </c>
      <c r="I678" t="s">
        <v>42</v>
      </c>
      <c r="J678" t="s">
        <v>24</v>
      </c>
      <c r="K678">
        <v>1</v>
      </c>
      <c r="L678">
        <v>15916</v>
      </c>
      <c r="M678">
        <v>500</v>
      </c>
      <c r="N678">
        <v>15416</v>
      </c>
      <c r="O678" t="s">
        <v>25</v>
      </c>
      <c r="P678">
        <v>3.1</v>
      </c>
      <c r="Q678">
        <v>52</v>
      </c>
      <c r="R678" t="s">
        <v>1075</v>
      </c>
      <c r="S678">
        <v>8</v>
      </c>
      <c r="T678" t="str">
        <f>IF(Healthcare_Data[[#This Row],[Final_Bill]]&gt;=50000,"High",IF(Healthcare_Data[[#This Row],[Final_Bill]]&gt;=20000,"Medium","low"))</f>
        <v>low</v>
      </c>
    </row>
    <row r="679" spans="1:20" x14ac:dyDescent="0.3">
      <c r="A679" t="s">
        <v>734</v>
      </c>
      <c r="B679">
        <v>45900</v>
      </c>
      <c r="C679" t="s">
        <v>48</v>
      </c>
      <c r="D679" t="s">
        <v>28</v>
      </c>
      <c r="E679" t="s">
        <v>20</v>
      </c>
      <c r="F679" t="s">
        <v>21</v>
      </c>
      <c r="G679">
        <v>78</v>
      </c>
      <c r="H679" t="s">
        <v>56</v>
      </c>
      <c r="I679" t="s">
        <v>57</v>
      </c>
      <c r="J679" t="s">
        <v>24</v>
      </c>
      <c r="K679">
        <v>0</v>
      </c>
      <c r="L679">
        <v>7663</v>
      </c>
      <c r="M679">
        <v>500</v>
      </c>
      <c r="N679">
        <v>7163</v>
      </c>
      <c r="O679" t="s">
        <v>25</v>
      </c>
      <c r="P679">
        <v>4.2</v>
      </c>
      <c r="Q679">
        <v>12</v>
      </c>
      <c r="R679" t="s">
        <v>1075</v>
      </c>
      <c r="S679">
        <v>8</v>
      </c>
      <c r="T679" t="str">
        <f>IF(Healthcare_Data[[#This Row],[Final_Bill]]&gt;=50000,"High",IF(Healthcare_Data[[#This Row],[Final_Bill]]&gt;=20000,"Medium","low"))</f>
        <v>low</v>
      </c>
    </row>
    <row r="680" spans="1:20" x14ac:dyDescent="0.3">
      <c r="A680" t="s">
        <v>735</v>
      </c>
      <c r="B680">
        <v>45901</v>
      </c>
      <c r="C680" t="s">
        <v>50</v>
      </c>
      <c r="D680" t="s">
        <v>39</v>
      </c>
      <c r="E680" t="s">
        <v>20</v>
      </c>
      <c r="F680" t="s">
        <v>21</v>
      </c>
      <c r="G680">
        <v>34</v>
      </c>
      <c r="H680" t="s">
        <v>65</v>
      </c>
      <c r="I680" t="s">
        <v>30</v>
      </c>
      <c r="J680" t="s">
        <v>24</v>
      </c>
      <c r="K680">
        <v>0</v>
      </c>
      <c r="L680">
        <v>8878</v>
      </c>
      <c r="M680">
        <v>0</v>
      </c>
      <c r="N680">
        <v>8878</v>
      </c>
      <c r="O680" t="s">
        <v>25</v>
      </c>
      <c r="P680">
        <v>5</v>
      </c>
      <c r="Q680">
        <v>17</v>
      </c>
      <c r="R680" t="s">
        <v>1076</v>
      </c>
      <c r="S680">
        <v>9</v>
      </c>
      <c r="T680" t="str">
        <f>IF(Healthcare_Data[[#This Row],[Final_Bill]]&gt;=50000,"High",IF(Healthcare_Data[[#This Row],[Final_Bill]]&gt;=20000,"Medium","low"))</f>
        <v>low</v>
      </c>
    </row>
    <row r="681" spans="1:20" x14ac:dyDescent="0.3">
      <c r="A681" t="s">
        <v>736</v>
      </c>
      <c r="B681">
        <v>45903</v>
      </c>
      <c r="C681" t="s">
        <v>50</v>
      </c>
      <c r="D681" t="s">
        <v>28</v>
      </c>
      <c r="E681" t="s">
        <v>20</v>
      </c>
      <c r="F681" t="s">
        <v>21</v>
      </c>
      <c r="G681">
        <v>50</v>
      </c>
      <c r="H681" t="s">
        <v>22</v>
      </c>
      <c r="I681" t="s">
        <v>72</v>
      </c>
      <c r="J681" t="s">
        <v>24</v>
      </c>
      <c r="K681">
        <v>0</v>
      </c>
      <c r="L681">
        <v>4928</v>
      </c>
      <c r="M681">
        <v>500</v>
      </c>
      <c r="N681">
        <v>4428</v>
      </c>
      <c r="O681" t="s">
        <v>25</v>
      </c>
      <c r="P681">
        <v>5</v>
      </c>
      <c r="Q681">
        <v>31</v>
      </c>
      <c r="R681" t="s">
        <v>1076</v>
      </c>
      <c r="S681">
        <v>9</v>
      </c>
      <c r="T681" t="str">
        <f>IF(Healthcare_Data[[#This Row],[Final_Bill]]&gt;=50000,"High",IF(Healthcare_Data[[#This Row],[Final_Bill]]&gt;=20000,"Medium","low"))</f>
        <v>low</v>
      </c>
    </row>
    <row r="682" spans="1:20" x14ac:dyDescent="0.3">
      <c r="A682" t="s">
        <v>737</v>
      </c>
      <c r="B682">
        <v>45903</v>
      </c>
      <c r="C682" t="s">
        <v>44</v>
      </c>
      <c r="D682" t="s">
        <v>34</v>
      </c>
      <c r="E682" t="s">
        <v>20</v>
      </c>
      <c r="F682" t="s">
        <v>21</v>
      </c>
      <c r="G682">
        <v>22</v>
      </c>
      <c r="H682" t="s">
        <v>46</v>
      </c>
      <c r="I682" t="s">
        <v>30</v>
      </c>
      <c r="J682" t="s">
        <v>58</v>
      </c>
      <c r="K682">
        <v>0</v>
      </c>
      <c r="L682">
        <v>14438</v>
      </c>
      <c r="M682">
        <v>0</v>
      </c>
      <c r="N682">
        <v>14438</v>
      </c>
      <c r="O682" t="s">
        <v>32</v>
      </c>
      <c r="P682">
        <v>4.0999999999999996</v>
      </c>
      <c r="Q682">
        <v>94</v>
      </c>
      <c r="R682" t="s">
        <v>1076</v>
      </c>
      <c r="S682">
        <v>9</v>
      </c>
      <c r="T682" t="str">
        <f>IF(Healthcare_Data[[#This Row],[Final_Bill]]&gt;=50000,"High",IF(Healthcare_Data[[#This Row],[Final_Bill]]&gt;=20000,"Medium","low"))</f>
        <v>low</v>
      </c>
    </row>
    <row r="683" spans="1:20" x14ac:dyDescent="0.3">
      <c r="A683" t="s">
        <v>738</v>
      </c>
      <c r="B683">
        <v>45904</v>
      </c>
      <c r="C683" t="s">
        <v>67</v>
      </c>
      <c r="D683" t="s">
        <v>19</v>
      </c>
      <c r="E683" t="s">
        <v>52</v>
      </c>
      <c r="F683" t="s">
        <v>21</v>
      </c>
      <c r="G683">
        <v>33</v>
      </c>
      <c r="H683" t="s">
        <v>41</v>
      </c>
      <c r="I683" t="s">
        <v>63</v>
      </c>
      <c r="J683" t="s">
        <v>24</v>
      </c>
      <c r="K683">
        <v>2</v>
      </c>
      <c r="L683">
        <v>51584</v>
      </c>
      <c r="M683">
        <v>2000</v>
      </c>
      <c r="N683">
        <v>49584</v>
      </c>
      <c r="O683" t="s">
        <v>25</v>
      </c>
      <c r="P683">
        <v>2.8</v>
      </c>
      <c r="Q683">
        <v>57</v>
      </c>
      <c r="R683" t="s">
        <v>1076</v>
      </c>
      <c r="S683">
        <v>9</v>
      </c>
      <c r="T683" t="str">
        <f>IF(Healthcare_Data[[#This Row],[Final_Bill]]&gt;=50000,"High",IF(Healthcare_Data[[#This Row],[Final_Bill]]&gt;=20000,"Medium","low"))</f>
        <v>Medium</v>
      </c>
    </row>
    <row r="684" spans="1:20" x14ac:dyDescent="0.3">
      <c r="A684" t="s">
        <v>739</v>
      </c>
      <c r="B684">
        <v>45904</v>
      </c>
      <c r="C684" t="s">
        <v>38</v>
      </c>
      <c r="D684" t="s">
        <v>51</v>
      </c>
      <c r="E684" t="s">
        <v>52</v>
      </c>
      <c r="F684" t="s">
        <v>40</v>
      </c>
      <c r="G684">
        <v>40</v>
      </c>
      <c r="H684" t="s">
        <v>35</v>
      </c>
      <c r="I684" t="s">
        <v>57</v>
      </c>
      <c r="J684" t="s">
        <v>24</v>
      </c>
      <c r="K684">
        <v>3</v>
      </c>
      <c r="L684">
        <v>48617</v>
      </c>
      <c r="M684">
        <v>0</v>
      </c>
      <c r="N684">
        <v>48617</v>
      </c>
      <c r="O684" t="s">
        <v>25</v>
      </c>
      <c r="P684">
        <v>3.3</v>
      </c>
      <c r="Q684">
        <v>40</v>
      </c>
      <c r="R684" t="s">
        <v>1076</v>
      </c>
      <c r="S684">
        <v>9</v>
      </c>
      <c r="T684" t="str">
        <f>IF(Healthcare_Data[[#This Row],[Final_Bill]]&gt;=50000,"High",IF(Healthcare_Data[[#This Row],[Final_Bill]]&gt;=20000,"Medium","low"))</f>
        <v>Medium</v>
      </c>
    </row>
    <row r="685" spans="1:20" x14ac:dyDescent="0.3">
      <c r="A685" t="s">
        <v>740</v>
      </c>
      <c r="B685">
        <v>45904</v>
      </c>
      <c r="C685" t="s">
        <v>27</v>
      </c>
      <c r="D685" t="s">
        <v>28</v>
      </c>
      <c r="E685" t="s">
        <v>20</v>
      </c>
      <c r="F685" t="s">
        <v>40</v>
      </c>
      <c r="G685">
        <v>38</v>
      </c>
      <c r="H685" t="s">
        <v>46</v>
      </c>
      <c r="I685" t="s">
        <v>23</v>
      </c>
      <c r="J685" t="s">
        <v>24</v>
      </c>
      <c r="K685">
        <v>0</v>
      </c>
      <c r="L685">
        <v>10744</v>
      </c>
      <c r="M685">
        <v>2000</v>
      </c>
      <c r="N685">
        <v>8744</v>
      </c>
      <c r="O685" t="s">
        <v>25</v>
      </c>
      <c r="P685">
        <v>2.8</v>
      </c>
      <c r="Q685">
        <v>34</v>
      </c>
      <c r="R685" t="s">
        <v>1076</v>
      </c>
      <c r="S685">
        <v>9</v>
      </c>
      <c r="T685" t="str">
        <f>IF(Healthcare_Data[[#This Row],[Final_Bill]]&gt;=50000,"High",IF(Healthcare_Data[[#This Row],[Final_Bill]]&gt;=20000,"Medium","low"))</f>
        <v>low</v>
      </c>
    </row>
    <row r="686" spans="1:20" x14ac:dyDescent="0.3">
      <c r="A686" t="s">
        <v>741</v>
      </c>
      <c r="B686">
        <v>45904</v>
      </c>
      <c r="C686" t="s">
        <v>27</v>
      </c>
      <c r="D686" t="s">
        <v>34</v>
      </c>
      <c r="E686" t="s">
        <v>20</v>
      </c>
      <c r="F686" t="s">
        <v>21</v>
      </c>
      <c r="G686">
        <v>23</v>
      </c>
      <c r="H686" t="s">
        <v>35</v>
      </c>
      <c r="I686" t="s">
        <v>57</v>
      </c>
      <c r="J686" t="s">
        <v>24</v>
      </c>
      <c r="K686">
        <v>0</v>
      </c>
      <c r="L686">
        <v>19447</v>
      </c>
      <c r="M686">
        <v>1500</v>
      </c>
      <c r="N686">
        <v>17947</v>
      </c>
      <c r="O686" t="s">
        <v>25</v>
      </c>
      <c r="P686">
        <v>4.5999999999999996</v>
      </c>
      <c r="Q686">
        <v>94</v>
      </c>
      <c r="R686" t="s">
        <v>1076</v>
      </c>
      <c r="S686">
        <v>9</v>
      </c>
      <c r="T686" t="str">
        <f>IF(Healthcare_Data[[#This Row],[Final_Bill]]&gt;=50000,"High",IF(Healthcare_Data[[#This Row],[Final_Bill]]&gt;=20000,"Medium","low"))</f>
        <v>low</v>
      </c>
    </row>
    <row r="687" spans="1:20" x14ac:dyDescent="0.3">
      <c r="A687" t="s">
        <v>742</v>
      </c>
      <c r="B687">
        <v>45904</v>
      </c>
      <c r="C687" t="s">
        <v>44</v>
      </c>
      <c r="D687" t="s">
        <v>19</v>
      </c>
      <c r="E687" t="s">
        <v>20</v>
      </c>
      <c r="F687" t="s">
        <v>21</v>
      </c>
      <c r="G687">
        <v>73</v>
      </c>
      <c r="H687" t="s">
        <v>35</v>
      </c>
      <c r="I687" t="s">
        <v>57</v>
      </c>
      <c r="J687" t="s">
        <v>24</v>
      </c>
      <c r="K687">
        <v>0</v>
      </c>
      <c r="L687">
        <v>8783</v>
      </c>
      <c r="M687">
        <v>1000</v>
      </c>
      <c r="N687">
        <v>7783</v>
      </c>
      <c r="O687" t="s">
        <v>32</v>
      </c>
      <c r="P687">
        <v>3.1</v>
      </c>
      <c r="Q687">
        <v>103</v>
      </c>
      <c r="R687" t="s">
        <v>1076</v>
      </c>
      <c r="S687">
        <v>9</v>
      </c>
      <c r="T687" t="str">
        <f>IF(Healthcare_Data[[#This Row],[Final_Bill]]&gt;=50000,"High",IF(Healthcare_Data[[#This Row],[Final_Bill]]&gt;=20000,"Medium","low"))</f>
        <v>low</v>
      </c>
    </row>
    <row r="688" spans="1:20" x14ac:dyDescent="0.3">
      <c r="A688" t="s">
        <v>743</v>
      </c>
      <c r="B688">
        <v>45904</v>
      </c>
      <c r="C688" t="s">
        <v>27</v>
      </c>
      <c r="D688" t="s">
        <v>39</v>
      </c>
      <c r="E688" t="s">
        <v>20</v>
      </c>
      <c r="F688" t="s">
        <v>21</v>
      </c>
      <c r="G688">
        <v>80</v>
      </c>
      <c r="H688" t="s">
        <v>46</v>
      </c>
      <c r="I688" t="s">
        <v>23</v>
      </c>
      <c r="J688" t="s">
        <v>36</v>
      </c>
      <c r="K688">
        <v>0</v>
      </c>
      <c r="L688">
        <v>13967</v>
      </c>
      <c r="M688">
        <v>1000</v>
      </c>
      <c r="N688">
        <v>12967</v>
      </c>
      <c r="O688" t="s">
        <v>25</v>
      </c>
      <c r="P688">
        <v>4.5999999999999996</v>
      </c>
      <c r="Q688">
        <v>109</v>
      </c>
      <c r="R688" t="s">
        <v>1076</v>
      </c>
      <c r="S688">
        <v>9</v>
      </c>
      <c r="T688" t="str">
        <f>IF(Healthcare_Data[[#This Row],[Final_Bill]]&gt;=50000,"High",IF(Healthcare_Data[[#This Row],[Final_Bill]]&gt;=20000,"Medium","low"))</f>
        <v>low</v>
      </c>
    </row>
    <row r="689" spans="1:20" x14ac:dyDescent="0.3">
      <c r="A689" t="s">
        <v>744</v>
      </c>
      <c r="B689">
        <v>45906</v>
      </c>
      <c r="C689" t="s">
        <v>48</v>
      </c>
      <c r="D689" t="s">
        <v>28</v>
      </c>
      <c r="E689" t="s">
        <v>20</v>
      </c>
      <c r="F689" t="s">
        <v>21</v>
      </c>
      <c r="G689">
        <v>42</v>
      </c>
      <c r="H689" t="s">
        <v>29</v>
      </c>
      <c r="I689" t="s">
        <v>61</v>
      </c>
      <c r="J689" t="s">
        <v>58</v>
      </c>
      <c r="K689">
        <v>0</v>
      </c>
      <c r="L689">
        <v>3473</v>
      </c>
      <c r="M689">
        <v>1500</v>
      </c>
      <c r="N689">
        <v>1973</v>
      </c>
      <c r="O689" t="s">
        <v>25</v>
      </c>
      <c r="P689">
        <v>2.7</v>
      </c>
      <c r="Q689">
        <v>105</v>
      </c>
      <c r="R689" t="s">
        <v>1076</v>
      </c>
      <c r="S689">
        <v>9</v>
      </c>
      <c r="T689" t="str">
        <f>IF(Healthcare_Data[[#This Row],[Final_Bill]]&gt;=50000,"High",IF(Healthcare_Data[[#This Row],[Final_Bill]]&gt;=20000,"Medium","low"))</f>
        <v>low</v>
      </c>
    </row>
    <row r="690" spans="1:20" x14ac:dyDescent="0.3">
      <c r="A690" t="s">
        <v>745</v>
      </c>
      <c r="B690">
        <v>45906</v>
      </c>
      <c r="C690" t="s">
        <v>67</v>
      </c>
      <c r="D690" t="s">
        <v>34</v>
      </c>
      <c r="E690" t="s">
        <v>52</v>
      </c>
      <c r="F690" t="s">
        <v>40</v>
      </c>
      <c r="G690">
        <v>34</v>
      </c>
      <c r="H690" t="s">
        <v>46</v>
      </c>
      <c r="I690" t="s">
        <v>72</v>
      </c>
      <c r="J690" t="s">
        <v>58</v>
      </c>
      <c r="K690">
        <v>2</v>
      </c>
      <c r="L690">
        <v>43460</v>
      </c>
      <c r="M690">
        <v>2000</v>
      </c>
      <c r="N690">
        <v>41460</v>
      </c>
      <c r="O690" t="s">
        <v>25</v>
      </c>
      <c r="P690">
        <v>2.9</v>
      </c>
      <c r="Q690">
        <v>120</v>
      </c>
      <c r="R690" t="s">
        <v>1076</v>
      </c>
      <c r="S690">
        <v>9</v>
      </c>
      <c r="T690" t="str">
        <f>IF(Healthcare_Data[[#This Row],[Final_Bill]]&gt;=50000,"High",IF(Healthcare_Data[[#This Row],[Final_Bill]]&gt;=20000,"Medium","low"))</f>
        <v>Medium</v>
      </c>
    </row>
    <row r="691" spans="1:20" x14ac:dyDescent="0.3">
      <c r="A691" t="s">
        <v>746</v>
      </c>
      <c r="B691">
        <v>45906</v>
      </c>
      <c r="C691" t="s">
        <v>44</v>
      </c>
      <c r="D691" t="s">
        <v>19</v>
      </c>
      <c r="E691" t="s">
        <v>20</v>
      </c>
      <c r="F691" t="s">
        <v>40</v>
      </c>
      <c r="G691">
        <v>61</v>
      </c>
      <c r="H691" t="s">
        <v>22</v>
      </c>
      <c r="I691" t="s">
        <v>61</v>
      </c>
      <c r="J691" t="s">
        <v>24</v>
      </c>
      <c r="K691">
        <v>0</v>
      </c>
      <c r="L691">
        <v>8754</v>
      </c>
      <c r="M691">
        <v>1000</v>
      </c>
      <c r="N691">
        <v>7754</v>
      </c>
      <c r="O691" t="s">
        <v>25</v>
      </c>
      <c r="P691">
        <v>2.7</v>
      </c>
      <c r="Q691">
        <v>76</v>
      </c>
      <c r="R691" t="s">
        <v>1076</v>
      </c>
      <c r="S691">
        <v>9</v>
      </c>
      <c r="T691" t="str">
        <f>IF(Healthcare_Data[[#This Row],[Final_Bill]]&gt;=50000,"High",IF(Healthcare_Data[[#This Row],[Final_Bill]]&gt;=20000,"Medium","low"))</f>
        <v>low</v>
      </c>
    </row>
    <row r="692" spans="1:20" x14ac:dyDescent="0.3">
      <c r="A692" t="s">
        <v>747</v>
      </c>
      <c r="B692">
        <v>45906</v>
      </c>
      <c r="C692" t="s">
        <v>67</v>
      </c>
      <c r="D692" t="s">
        <v>28</v>
      </c>
      <c r="E692" t="s">
        <v>54</v>
      </c>
      <c r="F692" t="s">
        <v>21</v>
      </c>
      <c r="G692">
        <v>27</v>
      </c>
      <c r="H692" t="s">
        <v>22</v>
      </c>
      <c r="I692" t="s">
        <v>61</v>
      </c>
      <c r="J692" t="s">
        <v>31</v>
      </c>
      <c r="K692">
        <v>0</v>
      </c>
      <c r="L692">
        <v>24630</v>
      </c>
      <c r="M692">
        <v>1000</v>
      </c>
      <c r="N692">
        <v>23630</v>
      </c>
      <c r="O692" t="s">
        <v>32</v>
      </c>
      <c r="P692">
        <v>4.7</v>
      </c>
      <c r="Q692">
        <v>102</v>
      </c>
      <c r="R692" t="s">
        <v>1076</v>
      </c>
      <c r="S692">
        <v>9</v>
      </c>
      <c r="T692" t="str">
        <f>IF(Healthcare_Data[[#This Row],[Final_Bill]]&gt;=50000,"High",IF(Healthcare_Data[[#This Row],[Final_Bill]]&gt;=20000,"Medium","low"))</f>
        <v>Medium</v>
      </c>
    </row>
    <row r="693" spans="1:20" x14ac:dyDescent="0.3">
      <c r="A693" t="s">
        <v>748</v>
      </c>
      <c r="B693">
        <v>45907</v>
      </c>
      <c r="C693" t="s">
        <v>27</v>
      </c>
      <c r="D693" t="s">
        <v>34</v>
      </c>
      <c r="E693" t="s">
        <v>54</v>
      </c>
      <c r="F693" t="s">
        <v>40</v>
      </c>
      <c r="G693">
        <v>73</v>
      </c>
      <c r="H693" t="s">
        <v>65</v>
      </c>
      <c r="I693" t="s">
        <v>23</v>
      </c>
      <c r="J693" t="s">
        <v>24</v>
      </c>
      <c r="K693">
        <v>0</v>
      </c>
      <c r="L693">
        <v>10107</v>
      </c>
      <c r="M693">
        <v>500</v>
      </c>
      <c r="N693">
        <v>9607</v>
      </c>
      <c r="O693" t="s">
        <v>25</v>
      </c>
      <c r="P693">
        <v>2.8</v>
      </c>
      <c r="Q693">
        <v>25</v>
      </c>
      <c r="R693" t="s">
        <v>1076</v>
      </c>
      <c r="S693">
        <v>9</v>
      </c>
      <c r="T693" t="str">
        <f>IF(Healthcare_Data[[#This Row],[Final_Bill]]&gt;=50000,"High",IF(Healthcare_Data[[#This Row],[Final_Bill]]&gt;=20000,"Medium","low"))</f>
        <v>low</v>
      </c>
    </row>
    <row r="694" spans="1:20" x14ac:dyDescent="0.3">
      <c r="A694" t="s">
        <v>749</v>
      </c>
      <c r="B694">
        <v>45907</v>
      </c>
      <c r="C694" t="s">
        <v>67</v>
      </c>
      <c r="D694" t="s">
        <v>28</v>
      </c>
      <c r="E694" t="s">
        <v>52</v>
      </c>
      <c r="F694" t="s">
        <v>21</v>
      </c>
      <c r="G694">
        <v>20</v>
      </c>
      <c r="H694" t="s">
        <v>35</v>
      </c>
      <c r="I694" t="s">
        <v>23</v>
      </c>
      <c r="J694" t="s">
        <v>24</v>
      </c>
      <c r="K694">
        <v>11</v>
      </c>
      <c r="L694">
        <v>77620</v>
      </c>
      <c r="M694">
        <v>1000</v>
      </c>
      <c r="N694">
        <v>76620</v>
      </c>
      <c r="O694" t="s">
        <v>25</v>
      </c>
      <c r="P694">
        <v>4.2</v>
      </c>
      <c r="Q694">
        <v>21</v>
      </c>
      <c r="R694" t="s">
        <v>1076</v>
      </c>
      <c r="S694">
        <v>9</v>
      </c>
      <c r="T694" t="str">
        <f>IF(Healthcare_Data[[#This Row],[Final_Bill]]&gt;=50000,"High",IF(Healthcare_Data[[#This Row],[Final_Bill]]&gt;=20000,"Medium","low"))</f>
        <v>High</v>
      </c>
    </row>
    <row r="695" spans="1:20" x14ac:dyDescent="0.3">
      <c r="A695" t="s">
        <v>750</v>
      </c>
      <c r="B695">
        <v>45907</v>
      </c>
      <c r="C695" t="s">
        <v>44</v>
      </c>
      <c r="D695" t="s">
        <v>34</v>
      </c>
      <c r="E695" t="s">
        <v>20</v>
      </c>
      <c r="F695" t="s">
        <v>21</v>
      </c>
      <c r="G695">
        <v>32</v>
      </c>
      <c r="H695" t="s">
        <v>46</v>
      </c>
      <c r="I695" t="s">
        <v>30</v>
      </c>
      <c r="J695" t="s">
        <v>24</v>
      </c>
      <c r="K695">
        <v>0</v>
      </c>
      <c r="L695">
        <v>7474</v>
      </c>
      <c r="M695">
        <v>0</v>
      </c>
      <c r="N695">
        <v>7474</v>
      </c>
      <c r="O695" t="s">
        <v>59</v>
      </c>
      <c r="P695">
        <v>4.3</v>
      </c>
      <c r="Q695">
        <v>22</v>
      </c>
      <c r="R695" t="s">
        <v>1076</v>
      </c>
      <c r="S695">
        <v>9</v>
      </c>
      <c r="T695" t="str">
        <f>IF(Healthcare_Data[[#This Row],[Final_Bill]]&gt;=50000,"High",IF(Healthcare_Data[[#This Row],[Final_Bill]]&gt;=20000,"Medium","low"))</f>
        <v>low</v>
      </c>
    </row>
    <row r="696" spans="1:20" x14ac:dyDescent="0.3">
      <c r="A696" t="s">
        <v>751</v>
      </c>
      <c r="B696">
        <v>45908</v>
      </c>
      <c r="C696" t="s">
        <v>54</v>
      </c>
      <c r="D696" t="s">
        <v>19</v>
      </c>
      <c r="E696" t="s">
        <v>20</v>
      </c>
      <c r="F696" t="s">
        <v>40</v>
      </c>
      <c r="G696">
        <v>57</v>
      </c>
      <c r="H696" t="s">
        <v>41</v>
      </c>
      <c r="I696" t="s">
        <v>57</v>
      </c>
      <c r="J696" t="s">
        <v>58</v>
      </c>
      <c r="K696">
        <v>0</v>
      </c>
      <c r="L696">
        <v>10098</v>
      </c>
      <c r="M696">
        <v>0</v>
      </c>
      <c r="N696">
        <v>10098</v>
      </c>
      <c r="O696" t="s">
        <v>25</v>
      </c>
      <c r="P696">
        <v>4.5999999999999996</v>
      </c>
      <c r="Q696">
        <v>64</v>
      </c>
      <c r="R696" t="s">
        <v>1076</v>
      </c>
      <c r="S696">
        <v>9</v>
      </c>
      <c r="T696" t="str">
        <f>IF(Healthcare_Data[[#This Row],[Final_Bill]]&gt;=50000,"High",IF(Healthcare_Data[[#This Row],[Final_Bill]]&gt;=20000,"Medium","low"))</f>
        <v>low</v>
      </c>
    </row>
    <row r="697" spans="1:20" x14ac:dyDescent="0.3">
      <c r="A697" t="s">
        <v>752</v>
      </c>
      <c r="B697">
        <v>45908</v>
      </c>
      <c r="C697" t="s">
        <v>38</v>
      </c>
      <c r="D697" t="s">
        <v>51</v>
      </c>
      <c r="E697" t="s">
        <v>54</v>
      </c>
      <c r="F697" t="s">
        <v>40</v>
      </c>
      <c r="G697">
        <v>47</v>
      </c>
      <c r="H697" t="s">
        <v>65</v>
      </c>
      <c r="I697" t="s">
        <v>57</v>
      </c>
      <c r="J697" t="s">
        <v>36</v>
      </c>
      <c r="K697">
        <v>0</v>
      </c>
      <c r="L697">
        <v>15523</v>
      </c>
      <c r="M697">
        <v>1500</v>
      </c>
      <c r="N697">
        <v>14023</v>
      </c>
      <c r="O697" t="s">
        <v>25</v>
      </c>
      <c r="P697">
        <v>4.5999999999999996</v>
      </c>
      <c r="Q697">
        <v>114</v>
      </c>
      <c r="R697" t="s">
        <v>1076</v>
      </c>
      <c r="S697">
        <v>9</v>
      </c>
      <c r="T697" t="str">
        <f>IF(Healthcare_Data[[#This Row],[Final_Bill]]&gt;=50000,"High",IF(Healthcare_Data[[#This Row],[Final_Bill]]&gt;=20000,"Medium","low"))</f>
        <v>low</v>
      </c>
    </row>
    <row r="698" spans="1:20" x14ac:dyDescent="0.3">
      <c r="A698" t="s">
        <v>753</v>
      </c>
      <c r="B698">
        <v>45909</v>
      </c>
      <c r="C698" t="s">
        <v>44</v>
      </c>
      <c r="D698" t="s">
        <v>51</v>
      </c>
      <c r="E698" t="s">
        <v>20</v>
      </c>
      <c r="F698" t="s">
        <v>21</v>
      </c>
      <c r="G698">
        <v>47</v>
      </c>
      <c r="H698" t="s">
        <v>115</v>
      </c>
      <c r="I698" t="s">
        <v>30</v>
      </c>
      <c r="J698" t="s">
        <v>58</v>
      </c>
      <c r="K698">
        <v>0</v>
      </c>
      <c r="L698">
        <v>2315</v>
      </c>
      <c r="M698">
        <v>0</v>
      </c>
      <c r="N698">
        <v>2315</v>
      </c>
      <c r="O698" t="s">
        <v>25</v>
      </c>
      <c r="P698">
        <v>4.5</v>
      </c>
      <c r="Q698">
        <v>63</v>
      </c>
      <c r="R698" t="s">
        <v>1076</v>
      </c>
      <c r="S698">
        <v>9</v>
      </c>
      <c r="T698" t="str">
        <f>IF(Healthcare_Data[[#This Row],[Final_Bill]]&gt;=50000,"High",IF(Healthcare_Data[[#This Row],[Final_Bill]]&gt;=20000,"Medium","low"))</f>
        <v>low</v>
      </c>
    </row>
    <row r="699" spans="1:20" x14ac:dyDescent="0.3">
      <c r="A699" t="s">
        <v>754</v>
      </c>
      <c r="B699">
        <v>45909</v>
      </c>
      <c r="C699" t="s">
        <v>54</v>
      </c>
      <c r="D699" t="s">
        <v>19</v>
      </c>
      <c r="E699" t="s">
        <v>20</v>
      </c>
      <c r="F699" t="s">
        <v>40</v>
      </c>
      <c r="G699">
        <v>49</v>
      </c>
      <c r="H699" t="s">
        <v>115</v>
      </c>
      <c r="I699" t="s">
        <v>61</v>
      </c>
      <c r="J699" t="s">
        <v>58</v>
      </c>
      <c r="K699">
        <v>0</v>
      </c>
      <c r="L699">
        <v>6855</v>
      </c>
      <c r="M699">
        <v>1500</v>
      </c>
      <c r="N699">
        <v>5355</v>
      </c>
      <c r="O699" t="s">
        <v>25</v>
      </c>
      <c r="P699">
        <v>4.2</v>
      </c>
      <c r="Q699">
        <v>48</v>
      </c>
      <c r="R699" t="s">
        <v>1076</v>
      </c>
      <c r="S699">
        <v>9</v>
      </c>
      <c r="T699" t="str">
        <f>IF(Healthcare_Data[[#This Row],[Final_Bill]]&gt;=50000,"High",IF(Healthcare_Data[[#This Row],[Final_Bill]]&gt;=20000,"Medium","low"))</f>
        <v>low</v>
      </c>
    </row>
    <row r="700" spans="1:20" x14ac:dyDescent="0.3">
      <c r="A700" t="s">
        <v>755</v>
      </c>
      <c r="B700">
        <v>45909</v>
      </c>
      <c r="C700" t="s">
        <v>48</v>
      </c>
      <c r="D700" t="s">
        <v>34</v>
      </c>
      <c r="E700" t="s">
        <v>54</v>
      </c>
      <c r="F700" t="s">
        <v>21</v>
      </c>
      <c r="G700">
        <v>18</v>
      </c>
      <c r="H700" t="s">
        <v>115</v>
      </c>
      <c r="I700" t="s">
        <v>63</v>
      </c>
      <c r="J700" t="s">
        <v>31</v>
      </c>
      <c r="K700">
        <v>0</v>
      </c>
      <c r="L700">
        <v>39555</v>
      </c>
      <c r="M700">
        <v>500</v>
      </c>
      <c r="N700">
        <v>39055</v>
      </c>
      <c r="O700" t="s">
        <v>25</v>
      </c>
      <c r="P700">
        <v>3.3</v>
      </c>
      <c r="Q700">
        <v>119</v>
      </c>
      <c r="R700" t="s">
        <v>1076</v>
      </c>
      <c r="S700">
        <v>9</v>
      </c>
      <c r="T700" t="str">
        <f>IF(Healthcare_Data[[#This Row],[Final_Bill]]&gt;=50000,"High",IF(Healthcare_Data[[#This Row],[Final_Bill]]&gt;=20000,"Medium","low"))</f>
        <v>Medium</v>
      </c>
    </row>
    <row r="701" spans="1:20" x14ac:dyDescent="0.3">
      <c r="A701" t="s">
        <v>756</v>
      </c>
      <c r="B701">
        <v>45909</v>
      </c>
      <c r="C701" t="s">
        <v>38</v>
      </c>
      <c r="D701" t="s">
        <v>39</v>
      </c>
      <c r="E701" t="s">
        <v>54</v>
      </c>
      <c r="F701" t="s">
        <v>40</v>
      </c>
      <c r="G701">
        <v>44</v>
      </c>
      <c r="H701" t="s">
        <v>46</v>
      </c>
      <c r="I701" t="s">
        <v>42</v>
      </c>
      <c r="J701" t="s">
        <v>58</v>
      </c>
      <c r="K701">
        <v>0</v>
      </c>
      <c r="L701">
        <v>20638</v>
      </c>
      <c r="M701">
        <v>1000</v>
      </c>
      <c r="N701">
        <v>19638</v>
      </c>
      <c r="O701" t="s">
        <v>32</v>
      </c>
      <c r="P701">
        <v>4.2</v>
      </c>
      <c r="Q701">
        <v>49</v>
      </c>
      <c r="R701" t="s">
        <v>1076</v>
      </c>
      <c r="S701">
        <v>9</v>
      </c>
      <c r="T701" t="str">
        <f>IF(Healthcare_Data[[#This Row],[Final_Bill]]&gt;=50000,"High",IF(Healthcare_Data[[#This Row],[Final_Bill]]&gt;=20000,"Medium","low"))</f>
        <v>low</v>
      </c>
    </row>
    <row r="702" spans="1:20" x14ac:dyDescent="0.3">
      <c r="A702" t="s">
        <v>757</v>
      </c>
      <c r="B702">
        <v>45909</v>
      </c>
      <c r="C702" t="s">
        <v>54</v>
      </c>
      <c r="D702" t="s">
        <v>39</v>
      </c>
      <c r="E702" t="s">
        <v>20</v>
      </c>
      <c r="F702" t="s">
        <v>21</v>
      </c>
      <c r="G702">
        <v>30</v>
      </c>
      <c r="H702" t="s">
        <v>41</v>
      </c>
      <c r="I702" t="s">
        <v>63</v>
      </c>
      <c r="J702" t="s">
        <v>24</v>
      </c>
      <c r="K702">
        <v>0</v>
      </c>
      <c r="L702">
        <v>8476</v>
      </c>
      <c r="M702">
        <v>0</v>
      </c>
      <c r="N702">
        <v>8476</v>
      </c>
      <c r="O702" t="s">
        <v>25</v>
      </c>
      <c r="P702">
        <v>4.3</v>
      </c>
      <c r="Q702">
        <v>8</v>
      </c>
      <c r="R702" t="s">
        <v>1076</v>
      </c>
      <c r="S702">
        <v>9</v>
      </c>
      <c r="T702" t="str">
        <f>IF(Healthcare_Data[[#This Row],[Final_Bill]]&gt;=50000,"High",IF(Healthcare_Data[[#This Row],[Final_Bill]]&gt;=20000,"Medium","low"))</f>
        <v>low</v>
      </c>
    </row>
    <row r="703" spans="1:20" x14ac:dyDescent="0.3">
      <c r="A703" t="s">
        <v>758</v>
      </c>
      <c r="B703">
        <v>45909</v>
      </c>
      <c r="C703" t="s">
        <v>54</v>
      </c>
      <c r="D703" t="s">
        <v>19</v>
      </c>
      <c r="E703" t="s">
        <v>20</v>
      </c>
      <c r="F703" t="s">
        <v>21</v>
      </c>
      <c r="G703">
        <v>46</v>
      </c>
      <c r="H703" t="s">
        <v>65</v>
      </c>
      <c r="I703" t="s">
        <v>1057</v>
      </c>
      <c r="J703" t="s">
        <v>24</v>
      </c>
      <c r="K703">
        <v>0</v>
      </c>
      <c r="L703">
        <v>12760</v>
      </c>
      <c r="M703">
        <v>1500</v>
      </c>
      <c r="N703">
        <v>11260</v>
      </c>
      <c r="O703" t="s">
        <v>25</v>
      </c>
      <c r="P703">
        <v>4.5</v>
      </c>
      <c r="Q703">
        <v>89</v>
      </c>
      <c r="R703" t="s">
        <v>1076</v>
      </c>
      <c r="S703">
        <v>9</v>
      </c>
      <c r="T703" t="str">
        <f>IF(Healthcare_Data[[#This Row],[Final_Bill]]&gt;=50000,"High",IF(Healthcare_Data[[#This Row],[Final_Bill]]&gt;=20000,"Medium","low"))</f>
        <v>low</v>
      </c>
    </row>
    <row r="704" spans="1:20" x14ac:dyDescent="0.3">
      <c r="A704" t="s">
        <v>759</v>
      </c>
      <c r="B704">
        <v>45909</v>
      </c>
      <c r="C704" t="s">
        <v>48</v>
      </c>
      <c r="D704" t="s">
        <v>39</v>
      </c>
      <c r="E704" t="s">
        <v>20</v>
      </c>
      <c r="F704" t="s">
        <v>40</v>
      </c>
      <c r="G704">
        <v>79</v>
      </c>
      <c r="H704" t="s">
        <v>29</v>
      </c>
      <c r="I704" t="s">
        <v>57</v>
      </c>
      <c r="J704" t="s">
        <v>31</v>
      </c>
      <c r="K704">
        <v>0</v>
      </c>
      <c r="L704">
        <v>3316</v>
      </c>
      <c r="M704">
        <v>500</v>
      </c>
      <c r="N704">
        <v>2816</v>
      </c>
      <c r="O704" t="s">
        <v>25</v>
      </c>
      <c r="P704">
        <v>2.7</v>
      </c>
      <c r="Q704">
        <v>56</v>
      </c>
      <c r="R704" t="s">
        <v>1076</v>
      </c>
      <c r="S704">
        <v>9</v>
      </c>
      <c r="T704" t="str">
        <f>IF(Healthcare_Data[[#This Row],[Final_Bill]]&gt;=50000,"High",IF(Healthcare_Data[[#This Row],[Final_Bill]]&gt;=20000,"Medium","low"))</f>
        <v>low</v>
      </c>
    </row>
    <row r="705" spans="1:20" x14ac:dyDescent="0.3">
      <c r="A705" t="s">
        <v>760</v>
      </c>
      <c r="B705">
        <v>45910</v>
      </c>
      <c r="C705" t="s">
        <v>18</v>
      </c>
      <c r="D705" t="s">
        <v>51</v>
      </c>
      <c r="E705" t="s">
        <v>20</v>
      </c>
      <c r="F705" t="s">
        <v>40</v>
      </c>
      <c r="G705">
        <v>78</v>
      </c>
      <c r="H705" t="s">
        <v>35</v>
      </c>
      <c r="I705" t="s">
        <v>72</v>
      </c>
      <c r="J705" t="s">
        <v>31</v>
      </c>
      <c r="K705">
        <v>0</v>
      </c>
      <c r="L705">
        <v>7488</v>
      </c>
      <c r="M705">
        <v>1000</v>
      </c>
      <c r="N705">
        <v>6488</v>
      </c>
      <c r="O705" t="s">
        <v>25</v>
      </c>
      <c r="P705">
        <v>3.6</v>
      </c>
      <c r="Q705">
        <v>7</v>
      </c>
      <c r="R705" t="s">
        <v>1076</v>
      </c>
      <c r="S705">
        <v>9</v>
      </c>
      <c r="T705" t="str">
        <f>IF(Healthcare_Data[[#This Row],[Final_Bill]]&gt;=50000,"High",IF(Healthcare_Data[[#This Row],[Final_Bill]]&gt;=20000,"Medium","low"))</f>
        <v>low</v>
      </c>
    </row>
    <row r="706" spans="1:20" x14ac:dyDescent="0.3">
      <c r="A706" t="s">
        <v>761</v>
      </c>
      <c r="B706">
        <v>45910</v>
      </c>
      <c r="C706" t="s">
        <v>27</v>
      </c>
      <c r="D706" t="s">
        <v>39</v>
      </c>
      <c r="E706" t="s">
        <v>20</v>
      </c>
      <c r="F706" t="s">
        <v>21</v>
      </c>
      <c r="G706">
        <v>25</v>
      </c>
      <c r="H706" t="s">
        <v>22</v>
      </c>
      <c r="I706" t="s">
        <v>63</v>
      </c>
      <c r="J706" t="s">
        <v>31</v>
      </c>
      <c r="K706">
        <v>0</v>
      </c>
      <c r="L706">
        <v>18361</v>
      </c>
      <c r="M706">
        <v>500</v>
      </c>
      <c r="N706">
        <v>17861</v>
      </c>
      <c r="O706" t="s">
        <v>25</v>
      </c>
      <c r="P706">
        <v>3.5</v>
      </c>
      <c r="Q706">
        <v>103</v>
      </c>
      <c r="R706" t="s">
        <v>1076</v>
      </c>
      <c r="S706">
        <v>9</v>
      </c>
      <c r="T706" t="str">
        <f>IF(Healthcare_Data[[#This Row],[Final_Bill]]&gt;=50000,"High",IF(Healthcare_Data[[#This Row],[Final_Bill]]&gt;=20000,"Medium","low"))</f>
        <v>low</v>
      </c>
    </row>
    <row r="707" spans="1:20" x14ac:dyDescent="0.3">
      <c r="A707" t="s">
        <v>762</v>
      </c>
      <c r="B707">
        <v>45910</v>
      </c>
      <c r="C707" t="s">
        <v>67</v>
      </c>
      <c r="D707" t="s">
        <v>39</v>
      </c>
      <c r="E707" t="s">
        <v>52</v>
      </c>
      <c r="F707" t="s">
        <v>21</v>
      </c>
      <c r="G707">
        <v>31</v>
      </c>
      <c r="H707" t="s">
        <v>115</v>
      </c>
      <c r="I707" t="s">
        <v>30</v>
      </c>
      <c r="J707" t="s">
        <v>36</v>
      </c>
      <c r="K707">
        <v>12</v>
      </c>
      <c r="L707">
        <v>33799</v>
      </c>
      <c r="M707">
        <v>1000</v>
      </c>
      <c r="N707">
        <v>32799</v>
      </c>
      <c r="O707" t="s">
        <v>25</v>
      </c>
      <c r="P707">
        <v>3.8</v>
      </c>
      <c r="Q707">
        <v>83</v>
      </c>
      <c r="R707" t="s">
        <v>1076</v>
      </c>
      <c r="S707">
        <v>9</v>
      </c>
      <c r="T707" t="str">
        <f>IF(Healthcare_Data[[#This Row],[Final_Bill]]&gt;=50000,"High",IF(Healthcare_Data[[#This Row],[Final_Bill]]&gt;=20000,"Medium","low"))</f>
        <v>Medium</v>
      </c>
    </row>
    <row r="708" spans="1:20" x14ac:dyDescent="0.3">
      <c r="A708" t="s">
        <v>763</v>
      </c>
      <c r="B708">
        <v>45910</v>
      </c>
      <c r="C708" t="s">
        <v>67</v>
      </c>
      <c r="D708" t="s">
        <v>19</v>
      </c>
      <c r="E708" t="s">
        <v>20</v>
      </c>
      <c r="F708" t="s">
        <v>21</v>
      </c>
      <c r="G708">
        <v>66</v>
      </c>
      <c r="H708" t="s">
        <v>46</v>
      </c>
      <c r="I708" t="s">
        <v>57</v>
      </c>
      <c r="J708" t="s">
        <v>24</v>
      </c>
      <c r="K708">
        <v>0</v>
      </c>
      <c r="L708">
        <v>17111</v>
      </c>
      <c r="M708">
        <v>1000</v>
      </c>
      <c r="N708">
        <v>16111</v>
      </c>
      <c r="O708" t="s">
        <v>25</v>
      </c>
      <c r="P708">
        <v>2.5</v>
      </c>
      <c r="Q708">
        <v>14</v>
      </c>
      <c r="R708" t="s">
        <v>1076</v>
      </c>
      <c r="S708">
        <v>9</v>
      </c>
      <c r="T708" t="str">
        <f>IF(Healthcare_Data[[#This Row],[Final_Bill]]&gt;=50000,"High",IF(Healthcare_Data[[#This Row],[Final_Bill]]&gt;=20000,"Medium","low"))</f>
        <v>low</v>
      </c>
    </row>
    <row r="709" spans="1:20" x14ac:dyDescent="0.3">
      <c r="A709" t="s">
        <v>764</v>
      </c>
      <c r="B709">
        <v>45910</v>
      </c>
      <c r="C709" t="s">
        <v>44</v>
      </c>
      <c r="D709" t="s">
        <v>19</v>
      </c>
      <c r="E709" t="s">
        <v>20</v>
      </c>
      <c r="F709" t="s">
        <v>21</v>
      </c>
      <c r="G709">
        <v>52</v>
      </c>
      <c r="H709" t="s">
        <v>65</v>
      </c>
      <c r="I709" t="s">
        <v>23</v>
      </c>
      <c r="J709" t="s">
        <v>31</v>
      </c>
      <c r="K709">
        <v>0</v>
      </c>
      <c r="L709">
        <v>16455</v>
      </c>
      <c r="M709">
        <v>1000</v>
      </c>
      <c r="N709">
        <v>15455</v>
      </c>
      <c r="O709" t="s">
        <v>25</v>
      </c>
      <c r="P709">
        <v>2.7</v>
      </c>
      <c r="Q709">
        <v>74</v>
      </c>
      <c r="R709" t="s">
        <v>1076</v>
      </c>
      <c r="S709">
        <v>9</v>
      </c>
      <c r="T709" t="str">
        <f>IF(Healthcare_Data[[#This Row],[Final_Bill]]&gt;=50000,"High",IF(Healthcare_Data[[#This Row],[Final_Bill]]&gt;=20000,"Medium","low"))</f>
        <v>low</v>
      </c>
    </row>
    <row r="710" spans="1:20" x14ac:dyDescent="0.3">
      <c r="A710" t="s">
        <v>765</v>
      </c>
      <c r="B710">
        <v>45910</v>
      </c>
      <c r="C710" t="s">
        <v>54</v>
      </c>
      <c r="D710" t="s">
        <v>28</v>
      </c>
      <c r="E710" t="s">
        <v>54</v>
      </c>
      <c r="F710" t="s">
        <v>21</v>
      </c>
      <c r="G710">
        <v>32</v>
      </c>
      <c r="H710" t="s">
        <v>65</v>
      </c>
      <c r="I710" t="s">
        <v>42</v>
      </c>
      <c r="J710" t="s">
        <v>24</v>
      </c>
      <c r="K710">
        <v>0</v>
      </c>
      <c r="L710">
        <v>27230</v>
      </c>
      <c r="M710">
        <v>0</v>
      </c>
      <c r="N710">
        <v>27230</v>
      </c>
      <c r="O710" t="s">
        <v>25</v>
      </c>
      <c r="P710">
        <v>3</v>
      </c>
      <c r="Q710">
        <v>97</v>
      </c>
      <c r="R710" t="s">
        <v>1076</v>
      </c>
      <c r="S710">
        <v>9</v>
      </c>
      <c r="T710" t="str">
        <f>IF(Healthcare_Data[[#This Row],[Final_Bill]]&gt;=50000,"High",IF(Healthcare_Data[[#This Row],[Final_Bill]]&gt;=20000,"Medium","low"))</f>
        <v>Medium</v>
      </c>
    </row>
    <row r="711" spans="1:20" x14ac:dyDescent="0.3">
      <c r="A711" t="s">
        <v>766</v>
      </c>
      <c r="B711">
        <v>45911</v>
      </c>
      <c r="C711" t="s">
        <v>54</v>
      </c>
      <c r="D711" t="s">
        <v>34</v>
      </c>
      <c r="E711" t="s">
        <v>20</v>
      </c>
      <c r="F711" t="s">
        <v>21</v>
      </c>
      <c r="G711">
        <v>76</v>
      </c>
      <c r="H711" t="s">
        <v>41</v>
      </c>
      <c r="I711" t="s">
        <v>61</v>
      </c>
      <c r="J711" t="s">
        <v>24</v>
      </c>
      <c r="K711">
        <v>0</v>
      </c>
      <c r="L711">
        <v>6935</v>
      </c>
      <c r="M711">
        <v>500</v>
      </c>
      <c r="N711">
        <v>6435</v>
      </c>
      <c r="O711" t="s">
        <v>59</v>
      </c>
      <c r="P711">
        <v>4.9000000000000004</v>
      </c>
      <c r="Q711">
        <v>11</v>
      </c>
      <c r="R711" t="s">
        <v>1076</v>
      </c>
      <c r="S711">
        <v>9</v>
      </c>
      <c r="T711" t="str">
        <f>IF(Healthcare_Data[[#This Row],[Final_Bill]]&gt;=50000,"High",IF(Healthcare_Data[[#This Row],[Final_Bill]]&gt;=20000,"Medium","low"))</f>
        <v>low</v>
      </c>
    </row>
    <row r="712" spans="1:20" x14ac:dyDescent="0.3">
      <c r="A712" t="s">
        <v>767</v>
      </c>
      <c r="B712">
        <v>45911</v>
      </c>
      <c r="C712" t="s">
        <v>44</v>
      </c>
      <c r="D712" t="s">
        <v>19</v>
      </c>
      <c r="E712" t="s">
        <v>54</v>
      </c>
      <c r="F712" t="s">
        <v>21</v>
      </c>
      <c r="G712">
        <v>69</v>
      </c>
      <c r="H712" t="s">
        <v>35</v>
      </c>
      <c r="I712" t="s">
        <v>72</v>
      </c>
      <c r="J712" t="s">
        <v>31</v>
      </c>
      <c r="K712">
        <v>0</v>
      </c>
      <c r="L712">
        <v>26000</v>
      </c>
      <c r="M712">
        <v>500</v>
      </c>
      <c r="N712">
        <v>25500</v>
      </c>
      <c r="O712" t="s">
        <v>25</v>
      </c>
      <c r="P712">
        <v>2.6</v>
      </c>
      <c r="Q712">
        <v>77</v>
      </c>
      <c r="R712" t="s">
        <v>1076</v>
      </c>
      <c r="S712">
        <v>9</v>
      </c>
      <c r="T712" t="str">
        <f>IF(Healthcare_Data[[#This Row],[Final_Bill]]&gt;=50000,"High",IF(Healthcare_Data[[#This Row],[Final_Bill]]&gt;=20000,"Medium","low"))</f>
        <v>Medium</v>
      </c>
    </row>
    <row r="713" spans="1:20" x14ac:dyDescent="0.3">
      <c r="A713" t="s">
        <v>768</v>
      </c>
      <c r="B713">
        <v>45911</v>
      </c>
      <c r="C713" t="s">
        <v>54</v>
      </c>
      <c r="D713" t="s">
        <v>34</v>
      </c>
      <c r="E713" t="s">
        <v>20</v>
      </c>
      <c r="F713" t="s">
        <v>21</v>
      </c>
      <c r="G713">
        <v>37</v>
      </c>
      <c r="H713" t="s">
        <v>35</v>
      </c>
      <c r="I713" t="s">
        <v>42</v>
      </c>
      <c r="J713" t="s">
        <v>36</v>
      </c>
      <c r="K713">
        <v>0</v>
      </c>
      <c r="L713">
        <v>10274</v>
      </c>
      <c r="M713">
        <v>500</v>
      </c>
      <c r="N713">
        <v>9774</v>
      </c>
      <c r="O713" t="s">
        <v>25</v>
      </c>
      <c r="P713" t="s">
        <v>1057</v>
      </c>
      <c r="Q713">
        <v>73</v>
      </c>
      <c r="R713" t="s">
        <v>1076</v>
      </c>
      <c r="S713">
        <v>9</v>
      </c>
      <c r="T713" t="str">
        <f>IF(Healthcare_Data[[#This Row],[Final_Bill]]&gt;=50000,"High",IF(Healthcare_Data[[#This Row],[Final_Bill]]&gt;=20000,"Medium","low"))</f>
        <v>low</v>
      </c>
    </row>
    <row r="714" spans="1:20" x14ac:dyDescent="0.3">
      <c r="A714" t="s">
        <v>769</v>
      </c>
      <c r="B714">
        <v>45912</v>
      </c>
      <c r="C714" t="s">
        <v>27</v>
      </c>
      <c r="D714" t="s">
        <v>39</v>
      </c>
      <c r="E714" t="s">
        <v>20</v>
      </c>
      <c r="F714" t="s">
        <v>21</v>
      </c>
      <c r="G714">
        <v>25</v>
      </c>
      <c r="H714" t="s">
        <v>115</v>
      </c>
      <c r="I714" t="s">
        <v>69</v>
      </c>
      <c r="J714" t="s">
        <v>24</v>
      </c>
      <c r="K714">
        <v>0</v>
      </c>
      <c r="L714">
        <v>9376</v>
      </c>
      <c r="M714">
        <v>0</v>
      </c>
      <c r="N714">
        <v>9376</v>
      </c>
      <c r="O714" t="s">
        <v>32</v>
      </c>
      <c r="P714">
        <v>3.4</v>
      </c>
      <c r="Q714">
        <v>14</v>
      </c>
      <c r="R714" t="s">
        <v>1076</v>
      </c>
      <c r="S714">
        <v>9</v>
      </c>
      <c r="T714" t="str">
        <f>IF(Healthcare_Data[[#This Row],[Final_Bill]]&gt;=50000,"High",IF(Healthcare_Data[[#This Row],[Final_Bill]]&gt;=20000,"Medium","low"))</f>
        <v>low</v>
      </c>
    </row>
    <row r="715" spans="1:20" x14ac:dyDescent="0.3">
      <c r="A715" t="s">
        <v>770</v>
      </c>
      <c r="B715">
        <v>45912</v>
      </c>
      <c r="C715" t="s">
        <v>44</v>
      </c>
      <c r="D715" t="s">
        <v>19</v>
      </c>
      <c r="E715" t="s">
        <v>20</v>
      </c>
      <c r="F715" t="s">
        <v>21</v>
      </c>
      <c r="G715">
        <v>72</v>
      </c>
      <c r="H715" t="s">
        <v>56</v>
      </c>
      <c r="I715" t="s">
        <v>30</v>
      </c>
      <c r="J715" t="s">
        <v>31</v>
      </c>
      <c r="K715">
        <v>0</v>
      </c>
      <c r="L715">
        <v>13608</v>
      </c>
      <c r="M715">
        <v>2000</v>
      </c>
      <c r="N715">
        <v>11608</v>
      </c>
      <c r="O715" t="s">
        <v>25</v>
      </c>
      <c r="P715">
        <v>4.8</v>
      </c>
      <c r="Q715">
        <v>110</v>
      </c>
      <c r="R715" t="s">
        <v>1076</v>
      </c>
      <c r="S715">
        <v>9</v>
      </c>
      <c r="T715" t="str">
        <f>IF(Healthcare_Data[[#This Row],[Final_Bill]]&gt;=50000,"High",IF(Healthcare_Data[[#This Row],[Final_Bill]]&gt;=20000,"Medium","low"))</f>
        <v>low</v>
      </c>
    </row>
    <row r="716" spans="1:20" x14ac:dyDescent="0.3">
      <c r="A716" t="s">
        <v>771</v>
      </c>
      <c r="B716">
        <v>45912</v>
      </c>
      <c r="C716" t="s">
        <v>18</v>
      </c>
      <c r="D716" t="s">
        <v>34</v>
      </c>
      <c r="E716" t="s">
        <v>52</v>
      </c>
      <c r="F716" t="s">
        <v>21</v>
      </c>
      <c r="G716">
        <v>35</v>
      </c>
      <c r="H716" t="s">
        <v>65</v>
      </c>
      <c r="I716" t="s">
        <v>63</v>
      </c>
      <c r="J716" t="s">
        <v>24</v>
      </c>
      <c r="K716">
        <v>2</v>
      </c>
      <c r="L716">
        <v>27834</v>
      </c>
      <c r="M716">
        <v>500</v>
      </c>
      <c r="N716">
        <v>27334</v>
      </c>
      <c r="O716" t="s">
        <v>59</v>
      </c>
      <c r="P716">
        <v>4.5</v>
      </c>
      <c r="Q716">
        <v>59</v>
      </c>
      <c r="R716" t="s">
        <v>1076</v>
      </c>
      <c r="S716">
        <v>9</v>
      </c>
      <c r="T716" t="str">
        <f>IF(Healthcare_Data[[#This Row],[Final_Bill]]&gt;=50000,"High",IF(Healthcare_Data[[#This Row],[Final_Bill]]&gt;=20000,"Medium","low"))</f>
        <v>Medium</v>
      </c>
    </row>
    <row r="717" spans="1:20" x14ac:dyDescent="0.3">
      <c r="A717" t="s">
        <v>772</v>
      </c>
      <c r="B717">
        <v>45913</v>
      </c>
      <c r="C717" t="s">
        <v>27</v>
      </c>
      <c r="D717" t="s">
        <v>34</v>
      </c>
      <c r="E717" t="s">
        <v>20</v>
      </c>
      <c r="F717" t="s">
        <v>21</v>
      </c>
      <c r="G717">
        <v>50</v>
      </c>
      <c r="H717" t="s">
        <v>29</v>
      </c>
      <c r="I717" t="s">
        <v>23</v>
      </c>
      <c r="J717" t="s">
        <v>36</v>
      </c>
      <c r="K717">
        <v>0</v>
      </c>
      <c r="L717">
        <v>16401</v>
      </c>
      <c r="M717">
        <v>0</v>
      </c>
      <c r="N717">
        <v>16401</v>
      </c>
      <c r="O717" t="s">
        <v>25</v>
      </c>
      <c r="P717">
        <v>3.9</v>
      </c>
      <c r="Q717">
        <v>79</v>
      </c>
      <c r="R717" t="s">
        <v>1076</v>
      </c>
      <c r="S717">
        <v>9</v>
      </c>
      <c r="T717" t="str">
        <f>IF(Healthcare_Data[[#This Row],[Final_Bill]]&gt;=50000,"High",IF(Healthcare_Data[[#This Row],[Final_Bill]]&gt;=20000,"Medium","low"))</f>
        <v>low</v>
      </c>
    </row>
    <row r="718" spans="1:20" x14ac:dyDescent="0.3">
      <c r="A718" t="s">
        <v>773</v>
      </c>
      <c r="B718">
        <v>45913</v>
      </c>
      <c r="C718" t="s">
        <v>67</v>
      </c>
      <c r="D718" t="s">
        <v>34</v>
      </c>
      <c r="E718" t="s">
        <v>20</v>
      </c>
      <c r="F718" t="s">
        <v>40</v>
      </c>
      <c r="G718">
        <v>37</v>
      </c>
      <c r="H718" t="s">
        <v>41</v>
      </c>
      <c r="I718" t="s">
        <v>1057</v>
      </c>
      <c r="J718" t="s">
        <v>58</v>
      </c>
      <c r="K718">
        <v>0</v>
      </c>
      <c r="L718">
        <v>4964</v>
      </c>
      <c r="M718">
        <v>0</v>
      </c>
      <c r="N718">
        <v>4964</v>
      </c>
      <c r="O718" t="s">
        <v>25</v>
      </c>
      <c r="P718">
        <v>3.3</v>
      </c>
      <c r="Q718">
        <v>69</v>
      </c>
      <c r="R718" t="s">
        <v>1076</v>
      </c>
      <c r="S718">
        <v>9</v>
      </c>
      <c r="T718" t="str">
        <f>IF(Healthcare_Data[[#This Row],[Final_Bill]]&gt;=50000,"High",IF(Healthcare_Data[[#This Row],[Final_Bill]]&gt;=20000,"Medium","low"))</f>
        <v>low</v>
      </c>
    </row>
    <row r="719" spans="1:20" x14ac:dyDescent="0.3">
      <c r="A719" t="s">
        <v>774</v>
      </c>
      <c r="B719">
        <v>45914</v>
      </c>
      <c r="C719" t="s">
        <v>18</v>
      </c>
      <c r="D719" t="s">
        <v>34</v>
      </c>
      <c r="E719" t="s">
        <v>52</v>
      </c>
      <c r="F719" t="s">
        <v>40</v>
      </c>
      <c r="G719">
        <v>65</v>
      </c>
      <c r="H719" t="s">
        <v>35</v>
      </c>
      <c r="I719" t="s">
        <v>63</v>
      </c>
      <c r="J719" t="s">
        <v>58</v>
      </c>
      <c r="K719">
        <v>12</v>
      </c>
      <c r="L719">
        <v>28262</v>
      </c>
      <c r="M719">
        <v>1500</v>
      </c>
      <c r="N719">
        <v>26762</v>
      </c>
      <c r="O719" t="s">
        <v>25</v>
      </c>
      <c r="P719">
        <v>2.7</v>
      </c>
      <c r="Q719">
        <v>50</v>
      </c>
      <c r="R719" t="s">
        <v>1076</v>
      </c>
      <c r="S719">
        <v>9</v>
      </c>
      <c r="T719" t="str">
        <f>IF(Healthcare_Data[[#This Row],[Final_Bill]]&gt;=50000,"High",IF(Healthcare_Data[[#This Row],[Final_Bill]]&gt;=20000,"Medium","low"))</f>
        <v>Medium</v>
      </c>
    </row>
    <row r="720" spans="1:20" x14ac:dyDescent="0.3">
      <c r="A720" t="s">
        <v>775</v>
      </c>
      <c r="B720">
        <v>45914</v>
      </c>
      <c r="C720" t="s">
        <v>54</v>
      </c>
      <c r="D720" t="s">
        <v>28</v>
      </c>
      <c r="E720" t="s">
        <v>52</v>
      </c>
      <c r="F720" t="s">
        <v>21</v>
      </c>
      <c r="G720">
        <v>48</v>
      </c>
      <c r="H720" t="s">
        <v>115</v>
      </c>
      <c r="I720" t="s">
        <v>63</v>
      </c>
      <c r="J720" t="s">
        <v>24</v>
      </c>
      <c r="K720">
        <v>8</v>
      </c>
      <c r="L720">
        <v>42588</v>
      </c>
      <c r="M720">
        <v>0</v>
      </c>
      <c r="N720">
        <v>42588</v>
      </c>
      <c r="O720" t="s">
        <v>32</v>
      </c>
      <c r="P720">
        <v>3.5</v>
      </c>
      <c r="Q720">
        <v>105</v>
      </c>
      <c r="R720" t="s">
        <v>1076</v>
      </c>
      <c r="S720">
        <v>9</v>
      </c>
      <c r="T720" t="str">
        <f>IF(Healthcare_Data[[#This Row],[Final_Bill]]&gt;=50000,"High",IF(Healthcare_Data[[#This Row],[Final_Bill]]&gt;=20000,"Medium","low"))</f>
        <v>Medium</v>
      </c>
    </row>
    <row r="721" spans="1:20" x14ac:dyDescent="0.3">
      <c r="A721" t="s">
        <v>776</v>
      </c>
      <c r="B721">
        <v>45914</v>
      </c>
      <c r="C721" t="s">
        <v>54</v>
      </c>
      <c r="D721" t="s">
        <v>28</v>
      </c>
      <c r="E721" t="s">
        <v>20</v>
      </c>
      <c r="F721" t="s">
        <v>21</v>
      </c>
      <c r="G721">
        <v>58</v>
      </c>
      <c r="H721" t="s">
        <v>65</v>
      </c>
      <c r="I721" t="s">
        <v>57</v>
      </c>
      <c r="J721" t="s">
        <v>24</v>
      </c>
      <c r="K721">
        <v>0</v>
      </c>
      <c r="L721">
        <v>11911</v>
      </c>
      <c r="M721">
        <v>0</v>
      </c>
      <c r="N721">
        <v>11911</v>
      </c>
      <c r="O721" t="s">
        <v>25</v>
      </c>
      <c r="P721">
        <v>4.4000000000000004</v>
      </c>
      <c r="Q721">
        <v>12</v>
      </c>
      <c r="R721" t="s">
        <v>1076</v>
      </c>
      <c r="S721">
        <v>9</v>
      </c>
      <c r="T721" t="str">
        <f>IF(Healthcare_Data[[#This Row],[Final_Bill]]&gt;=50000,"High",IF(Healthcare_Data[[#This Row],[Final_Bill]]&gt;=20000,"Medium","low"))</f>
        <v>low</v>
      </c>
    </row>
    <row r="722" spans="1:20" x14ac:dyDescent="0.3">
      <c r="A722" t="s">
        <v>777</v>
      </c>
      <c r="B722">
        <v>45915</v>
      </c>
      <c r="C722" t="s">
        <v>67</v>
      </c>
      <c r="D722" t="s">
        <v>19</v>
      </c>
      <c r="E722" t="s">
        <v>54</v>
      </c>
      <c r="F722" t="s">
        <v>21</v>
      </c>
      <c r="G722">
        <v>48</v>
      </c>
      <c r="H722" t="s">
        <v>35</v>
      </c>
      <c r="I722" t="s">
        <v>23</v>
      </c>
      <c r="J722" t="s">
        <v>36</v>
      </c>
      <c r="K722">
        <v>0</v>
      </c>
      <c r="L722">
        <v>9506</v>
      </c>
      <c r="M722">
        <v>0</v>
      </c>
      <c r="N722">
        <v>9506</v>
      </c>
      <c r="O722" t="s">
        <v>25</v>
      </c>
      <c r="P722">
        <v>3.8</v>
      </c>
      <c r="Q722">
        <v>66</v>
      </c>
      <c r="R722" t="s">
        <v>1076</v>
      </c>
      <c r="S722">
        <v>9</v>
      </c>
      <c r="T722" t="str">
        <f>IF(Healthcare_Data[[#This Row],[Final_Bill]]&gt;=50000,"High",IF(Healthcare_Data[[#This Row],[Final_Bill]]&gt;=20000,"Medium","low"))</f>
        <v>low</v>
      </c>
    </row>
    <row r="723" spans="1:20" x14ac:dyDescent="0.3">
      <c r="A723" t="s">
        <v>778</v>
      </c>
      <c r="B723">
        <v>45915</v>
      </c>
      <c r="C723" t="s">
        <v>67</v>
      </c>
      <c r="D723" t="s">
        <v>34</v>
      </c>
      <c r="E723" t="s">
        <v>52</v>
      </c>
      <c r="F723" t="s">
        <v>40</v>
      </c>
      <c r="G723">
        <v>37</v>
      </c>
      <c r="H723" t="s">
        <v>29</v>
      </c>
      <c r="I723" t="s">
        <v>63</v>
      </c>
      <c r="J723" t="s">
        <v>24</v>
      </c>
      <c r="K723">
        <v>8</v>
      </c>
      <c r="L723">
        <v>20901</v>
      </c>
      <c r="M723">
        <v>500</v>
      </c>
      <c r="N723">
        <v>20401</v>
      </c>
      <c r="O723" t="s">
        <v>25</v>
      </c>
      <c r="P723">
        <v>4.5999999999999996</v>
      </c>
      <c r="Q723">
        <v>83</v>
      </c>
      <c r="R723" t="s">
        <v>1076</v>
      </c>
      <c r="S723">
        <v>9</v>
      </c>
      <c r="T723" t="str">
        <f>IF(Healthcare_Data[[#This Row],[Final_Bill]]&gt;=50000,"High",IF(Healthcare_Data[[#This Row],[Final_Bill]]&gt;=20000,"Medium","low"))</f>
        <v>Medium</v>
      </c>
    </row>
    <row r="724" spans="1:20" x14ac:dyDescent="0.3">
      <c r="A724" t="s">
        <v>779</v>
      </c>
      <c r="B724">
        <v>45916</v>
      </c>
      <c r="C724" t="s">
        <v>48</v>
      </c>
      <c r="D724" t="s">
        <v>34</v>
      </c>
      <c r="E724" t="s">
        <v>54</v>
      </c>
      <c r="F724" t="s">
        <v>40</v>
      </c>
      <c r="G724">
        <v>76</v>
      </c>
      <c r="H724" t="s">
        <v>22</v>
      </c>
      <c r="I724" t="s">
        <v>61</v>
      </c>
      <c r="J724" t="s">
        <v>36</v>
      </c>
      <c r="K724">
        <v>0</v>
      </c>
      <c r="L724">
        <v>31616</v>
      </c>
      <c r="M724">
        <v>0</v>
      </c>
      <c r="N724">
        <v>31616</v>
      </c>
      <c r="O724" t="s">
        <v>25</v>
      </c>
      <c r="P724">
        <v>4.9000000000000004</v>
      </c>
      <c r="Q724">
        <v>63</v>
      </c>
      <c r="R724" t="s">
        <v>1076</v>
      </c>
      <c r="S724">
        <v>9</v>
      </c>
      <c r="T724" t="str">
        <f>IF(Healthcare_Data[[#This Row],[Final_Bill]]&gt;=50000,"High",IF(Healthcare_Data[[#This Row],[Final_Bill]]&gt;=20000,"Medium","low"))</f>
        <v>Medium</v>
      </c>
    </row>
    <row r="725" spans="1:20" x14ac:dyDescent="0.3">
      <c r="A725" t="s">
        <v>780</v>
      </c>
      <c r="B725">
        <v>45916</v>
      </c>
      <c r="C725" t="s">
        <v>50</v>
      </c>
      <c r="D725" t="s">
        <v>19</v>
      </c>
      <c r="E725" t="s">
        <v>20</v>
      </c>
      <c r="F725" t="s">
        <v>40</v>
      </c>
      <c r="G725">
        <v>21</v>
      </c>
      <c r="H725" t="s">
        <v>29</v>
      </c>
      <c r="I725" t="s">
        <v>30</v>
      </c>
      <c r="J725" t="s">
        <v>36</v>
      </c>
      <c r="K725">
        <v>0</v>
      </c>
      <c r="L725">
        <v>7974</v>
      </c>
      <c r="M725">
        <v>1000</v>
      </c>
      <c r="N725">
        <v>6974</v>
      </c>
      <c r="O725" t="s">
        <v>25</v>
      </c>
      <c r="P725">
        <v>3.5</v>
      </c>
      <c r="Q725">
        <v>39</v>
      </c>
      <c r="R725" t="s">
        <v>1076</v>
      </c>
      <c r="S725">
        <v>9</v>
      </c>
      <c r="T725" t="str">
        <f>IF(Healthcare_Data[[#This Row],[Final_Bill]]&gt;=50000,"High",IF(Healthcare_Data[[#This Row],[Final_Bill]]&gt;=20000,"Medium","low"))</f>
        <v>low</v>
      </c>
    </row>
    <row r="726" spans="1:20" x14ac:dyDescent="0.3">
      <c r="A726" t="s">
        <v>781</v>
      </c>
      <c r="B726">
        <v>45916</v>
      </c>
      <c r="C726" t="s">
        <v>50</v>
      </c>
      <c r="D726" t="s">
        <v>51</v>
      </c>
      <c r="E726" t="s">
        <v>20</v>
      </c>
      <c r="F726" t="s">
        <v>40</v>
      </c>
      <c r="G726">
        <v>56</v>
      </c>
      <c r="H726" t="s">
        <v>46</v>
      </c>
      <c r="I726" t="s">
        <v>61</v>
      </c>
      <c r="J726" t="s">
        <v>31</v>
      </c>
      <c r="K726">
        <v>0</v>
      </c>
      <c r="L726">
        <v>10454</v>
      </c>
      <c r="M726">
        <v>500</v>
      </c>
      <c r="N726">
        <v>9954</v>
      </c>
      <c r="O726" t="s">
        <v>25</v>
      </c>
      <c r="P726">
        <v>4.3</v>
      </c>
      <c r="Q726">
        <v>100</v>
      </c>
      <c r="R726" t="s">
        <v>1076</v>
      </c>
      <c r="S726">
        <v>9</v>
      </c>
      <c r="T726" t="str">
        <f>IF(Healthcare_Data[[#This Row],[Final_Bill]]&gt;=50000,"High",IF(Healthcare_Data[[#This Row],[Final_Bill]]&gt;=20000,"Medium","low"))</f>
        <v>low</v>
      </c>
    </row>
    <row r="727" spans="1:20" x14ac:dyDescent="0.3">
      <c r="A727" t="s">
        <v>782</v>
      </c>
      <c r="B727">
        <v>45916</v>
      </c>
      <c r="C727" t="s">
        <v>18</v>
      </c>
      <c r="D727" t="s">
        <v>19</v>
      </c>
      <c r="E727" t="s">
        <v>20</v>
      </c>
      <c r="F727" t="s">
        <v>21</v>
      </c>
      <c r="G727">
        <v>40</v>
      </c>
      <c r="H727" t="s">
        <v>22</v>
      </c>
      <c r="I727" t="s">
        <v>23</v>
      </c>
      <c r="J727" t="s">
        <v>58</v>
      </c>
      <c r="K727">
        <v>0</v>
      </c>
      <c r="L727">
        <v>12777</v>
      </c>
      <c r="M727">
        <v>0</v>
      </c>
      <c r="N727">
        <v>12777</v>
      </c>
      <c r="O727" t="s">
        <v>25</v>
      </c>
      <c r="P727">
        <v>3.4</v>
      </c>
      <c r="Q727">
        <v>113</v>
      </c>
      <c r="R727" t="s">
        <v>1076</v>
      </c>
      <c r="S727">
        <v>9</v>
      </c>
      <c r="T727" t="str">
        <f>IF(Healthcare_Data[[#This Row],[Final_Bill]]&gt;=50000,"High",IF(Healthcare_Data[[#This Row],[Final_Bill]]&gt;=20000,"Medium","low"))</f>
        <v>low</v>
      </c>
    </row>
    <row r="728" spans="1:20" x14ac:dyDescent="0.3">
      <c r="A728" t="s">
        <v>783</v>
      </c>
      <c r="B728">
        <v>45916</v>
      </c>
      <c r="C728" t="s">
        <v>54</v>
      </c>
      <c r="D728" t="s">
        <v>28</v>
      </c>
      <c r="E728" t="s">
        <v>52</v>
      </c>
      <c r="F728" t="s">
        <v>40</v>
      </c>
      <c r="G728">
        <v>21</v>
      </c>
      <c r="H728" t="s">
        <v>115</v>
      </c>
      <c r="I728" t="s">
        <v>61</v>
      </c>
      <c r="J728" t="s">
        <v>24</v>
      </c>
      <c r="K728">
        <v>9</v>
      </c>
      <c r="L728">
        <v>63025</v>
      </c>
      <c r="M728">
        <v>2000</v>
      </c>
      <c r="N728">
        <v>61025</v>
      </c>
      <c r="O728" t="s">
        <v>25</v>
      </c>
      <c r="P728">
        <v>3.7</v>
      </c>
      <c r="Q728">
        <v>104</v>
      </c>
      <c r="R728" t="s">
        <v>1076</v>
      </c>
      <c r="S728">
        <v>9</v>
      </c>
      <c r="T728" t="str">
        <f>IF(Healthcare_Data[[#This Row],[Final_Bill]]&gt;=50000,"High",IF(Healthcare_Data[[#This Row],[Final_Bill]]&gt;=20000,"Medium","low"))</f>
        <v>High</v>
      </c>
    </row>
    <row r="729" spans="1:20" x14ac:dyDescent="0.3">
      <c r="A729" t="s">
        <v>784</v>
      </c>
      <c r="B729">
        <v>45917</v>
      </c>
      <c r="C729" t="s">
        <v>67</v>
      </c>
      <c r="D729" t="s">
        <v>51</v>
      </c>
      <c r="E729" t="s">
        <v>52</v>
      </c>
      <c r="F729" t="s">
        <v>21</v>
      </c>
      <c r="G729">
        <v>60</v>
      </c>
      <c r="H729" t="s">
        <v>41</v>
      </c>
      <c r="I729" t="s">
        <v>30</v>
      </c>
      <c r="J729" t="s">
        <v>36</v>
      </c>
      <c r="K729">
        <v>6</v>
      </c>
      <c r="L729">
        <v>78355</v>
      </c>
      <c r="M729">
        <v>1000</v>
      </c>
      <c r="N729">
        <v>77355</v>
      </c>
      <c r="O729" t="s">
        <v>25</v>
      </c>
      <c r="P729">
        <v>3.7</v>
      </c>
      <c r="Q729">
        <v>119</v>
      </c>
      <c r="R729" t="s">
        <v>1076</v>
      </c>
      <c r="S729">
        <v>9</v>
      </c>
      <c r="T729" t="str">
        <f>IF(Healthcare_Data[[#This Row],[Final_Bill]]&gt;=50000,"High",IF(Healthcare_Data[[#This Row],[Final_Bill]]&gt;=20000,"Medium","low"))</f>
        <v>High</v>
      </c>
    </row>
    <row r="730" spans="1:20" x14ac:dyDescent="0.3">
      <c r="A730" t="s">
        <v>785</v>
      </c>
      <c r="B730">
        <v>45917</v>
      </c>
      <c r="C730" t="s">
        <v>48</v>
      </c>
      <c r="D730" t="s">
        <v>19</v>
      </c>
      <c r="E730" t="s">
        <v>20</v>
      </c>
      <c r="F730" t="s">
        <v>21</v>
      </c>
      <c r="G730">
        <v>74</v>
      </c>
      <c r="H730" t="s">
        <v>29</v>
      </c>
      <c r="I730" t="s">
        <v>42</v>
      </c>
      <c r="J730" t="s">
        <v>24</v>
      </c>
      <c r="K730">
        <v>0</v>
      </c>
      <c r="L730">
        <v>8422</v>
      </c>
      <c r="M730">
        <v>0</v>
      </c>
      <c r="N730">
        <v>8422</v>
      </c>
      <c r="O730" t="s">
        <v>25</v>
      </c>
      <c r="P730">
        <v>4.5</v>
      </c>
      <c r="Q730">
        <v>94</v>
      </c>
      <c r="R730" t="s">
        <v>1076</v>
      </c>
      <c r="S730">
        <v>9</v>
      </c>
      <c r="T730" t="str">
        <f>IF(Healthcare_Data[[#This Row],[Final_Bill]]&gt;=50000,"High",IF(Healthcare_Data[[#This Row],[Final_Bill]]&gt;=20000,"Medium","low"))</f>
        <v>low</v>
      </c>
    </row>
    <row r="731" spans="1:20" x14ac:dyDescent="0.3">
      <c r="A731" t="s">
        <v>786</v>
      </c>
      <c r="B731">
        <v>45918</v>
      </c>
      <c r="C731" t="s">
        <v>18</v>
      </c>
      <c r="D731" t="s">
        <v>39</v>
      </c>
      <c r="E731" t="s">
        <v>20</v>
      </c>
      <c r="F731" t="s">
        <v>21</v>
      </c>
      <c r="G731">
        <v>28</v>
      </c>
      <c r="H731" t="s">
        <v>22</v>
      </c>
      <c r="I731" t="s">
        <v>23</v>
      </c>
      <c r="J731" t="s">
        <v>36</v>
      </c>
      <c r="K731">
        <v>0</v>
      </c>
      <c r="L731">
        <v>17965</v>
      </c>
      <c r="M731">
        <v>1000</v>
      </c>
      <c r="N731">
        <v>16965</v>
      </c>
      <c r="O731" t="s">
        <v>25</v>
      </c>
      <c r="P731">
        <v>2.5</v>
      </c>
      <c r="Q731">
        <v>83</v>
      </c>
      <c r="R731" t="s">
        <v>1076</v>
      </c>
      <c r="S731">
        <v>9</v>
      </c>
      <c r="T731" t="str">
        <f>IF(Healthcare_Data[[#This Row],[Final_Bill]]&gt;=50000,"High",IF(Healthcare_Data[[#This Row],[Final_Bill]]&gt;=20000,"Medium","low"))</f>
        <v>low</v>
      </c>
    </row>
    <row r="732" spans="1:20" x14ac:dyDescent="0.3">
      <c r="A732" t="s">
        <v>787</v>
      </c>
      <c r="B732">
        <v>45919</v>
      </c>
      <c r="C732" t="s">
        <v>48</v>
      </c>
      <c r="D732" t="s">
        <v>28</v>
      </c>
      <c r="E732" t="s">
        <v>54</v>
      </c>
      <c r="F732" t="s">
        <v>21</v>
      </c>
      <c r="G732">
        <v>43</v>
      </c>
      <c r="H732" t="s">
        <v>46</v>
      </c>
      <c r="I732" t="s">
        <v>23</v>
      </c>
      <c r="J732" t="s">
        <v>31</v>
      </c>
      <c r="K732">
        <v>0</v>
      </c>
      <c r="L732">
        <v>40584</v>
      </c>
      <c r="M732">
        <v>1000</v>
      </c>
      <c r="N732">
        <v>39584</v>
      </c>
      <c r="O732" t="s">
        <v>59</v>
      </c>
      <c r="P732">
        <v>5</v>
      </c>
      <c r="Q732">
        <v>73</v>
      </c>
      <c r="R732" t="s">
        <v>1076</v>
      </c>
      <c r="S732">
        <v>9</v>
      </c>
      <c r="T732" t="str">
        <f>IF(Healthcare_Data[[#This Row],[Final_Bill]]&gt;=50000,"High",IF(Healthcare_Data[[#This Row],[Final_Bill]]&gt;=20000,"Medium","low"))</f>
        <v>Medium</v>
      </c>
    </row>
    <row r="733" spans="1:20" x14ac:dyDescent="0.3">
      <c r="A733" t="s">
        <v>788</v>
      </c>
      <c r="B733">
        <v>45919</v>
      </c>
      <c r="C733" t="s">
        <v>48</v>
      </c>
      <c r="D733" t="s">
        <v>39</v>
      </c>
      <c r="E733" t="s">
        <v>52</v>
      </c>
      <c r="F733" t="s">
        <v>40</v>
      </c>
      <c r="G733">
        <v>65</v>
      </c>
      <c r="H733" t="s">
        <v>22</v>
      </c>
      <c r="I733" t="s">
        <v>61</v>
      </c>
      <c r="J733" t="s">
        <v>24</v>
      </c>
      <c r="K733">
        <v>7</v>
      </c>
      <c r="L733">
        <v>32100</v>
      </c>
      <c r="M733">
        <v>0</v>
      </c>
      <c r="N733">
        <v>32100</v>
      </c>
      <c r="O733" t="s">
        <v>59</v>
      </c>
      <c r="P733">
        <v>3.2</v>
      </c>
      <c r="Q733">
        <v>79</v>
      </c>
      <c r="R733" t="s">
        <v>1076</v>
      </c>
      <c r="S733">
        <v>9</v>
      </c>
      <c r="T733" t="str">
        <f>IF(Healthcare_Data[[#This Row],[Final_Bill]]&gt;=50000,"High",IF(Healthcare_Data[[#This Row],[Final_Bill]]&gt;=20000,"Medium","low"))</f>
        <v>Medium</v>
      </c>
    </row>
    <row r="734" spans="1:20" x14ac:dyDescent="0.3">
      <c r="A734" t="s">
        <v>789</v>
      </c>
      <c r="B734">
        <v>45920</v>
      </c>
      <c r="C734" t="s">
        <v>50</v>
      </c>
      <c r="D734" t="s">
        <v>34</v>
      </c>
      <c r="E734" t="s">
        <v>20</v>
      </c>
      <c r="F734" t="s">
        <v>40</v>
      </c>
      <c r="G734">
        <v>21</v>
      </c>
      <c r="H734" t="s">
        <v>22</v>
      </c>
      <c r="I734" t="s">
        <v>63</v>
      </c>
      <c r="J734" t="s">
        <v>24</v>
      </c>
      <c r="K734">
        <v>0</v>
      </c>
      <c r="L734">
        <v>1942</v>
      </c>
      <c r="M734">
        <v>0</v>
      </c>
      <c r="N734">
        <v>1942</v>
      </c>
      <c r="O734" t="s">
        <v>25</v>
      </c>
      <c r="P734" t="s">
        <v>1057</v>
      </c>
      <c r="Q734">
        <v>29</v>
      </c>
      <c r="R734" t="s">
        <v>1076</v>
      </c>
      <c r="S734">
        <v>9</v>
      </c>
      <c r="T734" t="str">
        <f>IF(Healthcare_Data[[#This Row],[Final_Bill]]&gt;=50000,"High",IF(Healthcare_Data[[#This Row],[Final_Bill]]&gt;=20000,"Medium","low"))</f>
        <v>low</v>
      </c>
    </row>
    <row r="735" spans="1:20" x14ac:dyDescent="0.3">
      <c r="A735" t="s">
        <v>790</v>
      </c>
      <c r="B735">
        <v>45921</v>
      </c>
      <c r="C735" t="s">
        <v>50</v>
      </c>
      <c r="D735" t="s">
        <v>34</v>
      </c>
      <c r="E735" t="s">
        <v>20</v>
      </c>
      <c r="F735" t="s">
        <v>21</v>
      </c>
      <c r="G735">
        <v>50</v>
      </c>
      <c r="H735" t="s">
        <v>35</v>
      </c>
      <c r="I735" t="s">
        <v>63</v>
      </c>
      <c r="J735" t="s">
        <v>24</v>
      </c>
      <c r="K735">
        <v>0</v>
      </c>
      <c r="L735">
        <v>17623</v>
      </c>
      <c r="M735">
        <v>0</v>
      </c>
      <c r="N735">
        <v>17623</v>
      </c>
      <c r="O735" t="s">
        <v>25</v>
      </c>
      <c r="P735">
        <v>3.4</v>
      </c>
      <c r="Q735">
        <v>25</v>
      </c>
      <c r="R735" t="s">
        <v>1076</v>
      </c>
      <c r="S735">
        <v>9</v>
      </c>
      <c r="T735" t="str">
        <f>IF(Healthcare_Data[[#This Row],[Final_Bill]]&gt;=50000,"High",IF(Healthcare_Data[[#This Row],[Final_Bill]]&gt;=20000,"Medium","low"))</f>
        <v>low</v>
      </c>
    </row>
    <row r="736" spans="1:20" x14ac:dyDescent="0.3">
      <c r="A736" t="s">
        <v>791</v>
      </c>
      <c r="B736">
        <v>45921</v>
      </c>
      <c r="C736" t="s">
        <v>48</v>
      </c>
      <c r="D736" t="s">
        <v>51</v>
      </c>
      <c r="E736" t="s">
        <v>20</v>
      </c>
      <c r="F736" t="s">
        <v>21</v>
      </c>
      <c r="G736">
        <v>59</v>
      </c>
      <c r="H736" t="s">
        <v>46</v>
      </c>
      <c r="I736" t="s">
        <v>63</v>
      </c>
      <c r="J736" t="s">
        <v>58</v>
      </c>
      <c r="K736">
        <v>0</v>
      </c>
      <c r="L736">
        <v>17201</v>
      </c>
      <c r="M736">
        <v>1000</v>
      </c>
      <c r="N736">
        <v>16201</v>
      </c>
      <c r="O736" t="s">
        <v>25</v>
      </c>
      <c r="P736">
        <v>4.7</v>
      </c>
      <c r="Q736">
        <v>69</v>
      </c>
      <c r="R736" t="s">
        <v>1076</v>
      </c>
      <c r="S736">
        <v>9</v>
      </c>
      <c r="T736" t="str">
        <f>IF(Healthcare_Data[[#This Row],[Final_Bill]]&gt;=50000,"High",IF(Healthcare_Data[[#This Row],[Final_Bill]]&gt;=20000,"Medium","low"))</f>
        <v>low</v>
      </c>
    </row>
    <row r="737" spans="1:20" x14ac:dyDescent="0.3">
      <c r="A737" t="s">
        <v>792</v>
      </c>
      <c r="B737">
        <v>45921</v>
      </c>
      <c r="C737" t="s">
        <v>44</v>
      </c>
      <c r="D737" t="s">
        <v>28</v>
      </c>
      <c r="E737" t="s">
        <v>52</v>
      </c>
      <c r="F737" t="s">
        <v>40</v>
      </c>
      <c r="G737">
        <v>38</v>
      </c>
      <c r="H737" t="s">
        <v>41</v>
      </c>
      <c r="I737" t="s">
        <v>63</v>
      </c>
      <c r="J737" t="s">
        <v>24</v>
      </c>
      <c r="K737">
        <v>14</v>
      </c>
      <c r="L737">
        <v>23118</v>
      </c>
      <c r="M737">
        <v>0</v>
      </c>
      <c r="N737">
        <v>23118</v>
      </c>
      <c r="O737" t="s">
        <v>32</v>
      </c>
      <c r="P737">
        <v>2.5</v>
      </c>
      <c r="Q737">
        <v>71</v>
      </c>
      <c r="R737" t="s">
        <v>1076</v>
      </c>
      <c r="S737">
        <v>9</v>
      </c>
      <c r="T737" t="str">
        <f>IF(Healthcare_Data[[#This Row],[Final_Bill]]&gt;=50000,"High",IF(Healthcare_Data[[#This Row],[Final_Bill]]&gt;=20000,"Medium","low"))</f>
        <v>Medium</v>
      </c>
    </row>
    <row r="738" spans="1:20" x14ac:dyDescent="0.3">
      <c r="A738" t="s">
        <v>793</v>
      </c>
      <c r="B738">
        <v>45921</v>
      </c>
      <c r="C738" t="s">
        <v>38</v>
      </c>
      <c r="D738" t="s">
        <v>28</v>
      </c>
      <c r="E738" t="s">
        <v>52</v>
      </c>
      <c r="F738" t="s">
        <v>21</v>
      </c>
      <c r="G738">
        <v>27</v>
      </c>
      <c r="H738" t="s">
        <v>29</v>
      </c>
      <c r="I738" t="s">
        <v>23</v>
      </c>
      <c r="J738" t="s">
        <v>36</v>
      </c>
      <c r="K738">
        <v>2</v>
      </c>
      <c r="L738">
        <v>64080</v>
      </c>
      <c r="M738">
        <v>0</v>
      </c>
      <c r="N738">
        <v>64080</v>
      </c>
      <c r="O738" t="s">
        <v>25</v>
      </c>
      <c r="P738">
        <v>2.9</v>
      </c>
      <c r="Q738">
        <v>28</v>
      </c>
      <c r="R738" t="s">
        <v>1076</v>
      </c>
      <c r="S738">
        <v>9</v>
      </c>
      <c r="T738" t="str">
        <f>IF(Healthcare_Data[[#This Row],[Final_Bill]]&gt;=50000,"High",IF(Healthcare_Data[[#This Row],[Final_Bill]]&gt;=20000,"Medium","low"))</f>
        <v>High</v>
      </c>
    </row>
    <row r="739" spans="1:20" x14ac:dyDescent="0.3">
      <c r="A739" t="s">
        <v>794</v>
      </c>
      <c r="B739">
        <v>45921</v>
      </c>
      <c r="C739" t="s">
        <v>54</v>
      </c>
      <c r="D739" t="s">
        <v>19</v>
      </c>
      <c r="E739" t="s">
        <v>52</v>
      </c>
      <c r="F739" t="s">
        <v>21</v>
      </c>
      <c r="G739">
        <v>55</v>
      </c>
      <c r="H739" t="s">
        <v>56</v>
      </c>
      <c r="I739" t="s">
        <v>30</v>
      </c>
      <c r="J739" t="s">
        <v>36</v>
      </c>
      <c r="K739">
        <v>7</v>
      </c>
      <c r="L739">
        <v>66672</v>
      </c>
      <c r="M739">
        <v>0</v>
      </c>
      <c r="N739">
        <v>66672</v>
      </c>
      <c r="O739" t="s">
        <v>25</v>
      </c>
      <c r="P739">
        <v>3.1</v>
      </c>
      <c r="Q739">
        <v>104</v>
      </c>
      <c r="R739" t="s">
        <v>1076</v>
      </c>
      <c r="S739">
        <v>9</v>
      </c>
      <c r="T739" t="str">
        <f>IF(Healthcare_Data[[#This Row],[Final_Bill]]&gt;=50000,"High",IF(Healthcare_Data[[#This Row],[Final_Bill]]&gt;=20000,"Medium","low"))</f>
        <v>High</v>
      </c>
    </row>
    <row r="740" spans="1:20" x14ac:dyDescent="0.3">
      <c r="A740" t="s">
        <v>795</v>
      </c>
      <c r="B740">
        <v>45921</v>
      </c>
      <c r="C740" t="s">
        <v>18</v>
      </c>
      <c r="D740" t="s">
        <v>19</v>
      </c>
      <c r="E740" t="s">
        <v>20</v>
      </c>
      <c r="F740" t="s">
        <v>21</v>
      </c>
      <c r="G740">
        <v>68</v>
      </c>
      <c r="H740" t="s">
        <v>22</v>
      </c>
      <c r="I740" t="s">
        <v>23</v>
      </c>
      <c r="J740" t="s">
        <v>31</v>
      </c>
      <c r="K740">
        <v>0</v>
      </c>
      <c r="L740">
        <v>8627</v>
      </c>
      <c r="M740">
        <v>1000</v>
      </c>
      <c r="N740">
        <v>7627</v>
      </c>
      <c r="O740" t="s">
        <v>25</v>
      </c>
      <c r="P740">
        <v>4.8</v>
      </c>
      <c r="Q740">
        <v>82</v>
      </c>
      <c r="R740" t="s">
        <v>1076</v>
      </c>
      <c r="S740">
        <v>9</v>
      </c>
      <c r="T740" t="str">
        <f>IF(Healthcare_Data[[#This Row],[Final_Bill]]&gt;=50000,"High",IF(Healthcare_Data[[#This Row],[Final_Bill]]&gt;=20000,"Medium","low"))</f>
        <v>low</v>
      </c>
    </row>
    <row r="741" spans="1:20" x14ac:dyDescent="0.3">
      <c r="A741" t="s">
        <v>796</v>
      </c>
      <c r="B741">
        <v>45922</v>
      </c>
      <c r="C741" t="s">
        <v>67</v>
      </c>
      <c r="D741" t="s">
        <v>34</v>
      </c>
      <c r="E741" t="s">
        <v>52</v>
      </c>
      <c r="F741" t="s">
        <v>21</v>
      </c>
      <c r="G741">
        <v>22</v>
      </c>
      <c r="H741" t="s">
        <v>56</v>
      </c>
      <c r="I741" t="s">
        <v>57</v>
      </c>
      <c r="J741" t="s">
        <v>58</v>
      </c>
      <c r="K741">
        <v>9</v>
      </c>
      <c r="L741">
        <v>19114</v>
      </c>
      <c r="M741">
        <v>0</v>
      </c>
      <c r="N741">
        <v>19114</v>
      </c>
      <c r="O741" t="s">
        <v>25</v>
      </c>
      <c r="P741">
        <v>4.5999999999999996</v>
      </c>
      <c r="Q741">
        <v>7</v>
      </c>
      <c r="R741" t="s">
        <v>1076</v>
      </c>
      <c r="S741">
        <v>9</v>
      </c>
      <c r="T741" t="str">
        <f>IF(Healthcare_Data[[#This Row],[Final_Bill]]&gt;=50000,"High",IF(Healthcare_Data[[#This Row],[Final_Bill]]&gt;=20000,"Medium","low"))</f>
        <v>low</v>
      </c>
    </row>
    <row r="742" spans="1:20" x14ac:dyDescent="0.3">
      <c r="A742" t="s">
        <v>797</v>
      </c>
      <c r="B742">
        <v>45922</v>
      </c>
      <c r="C742" t="s">
        <v>18</v>
      </c>
      <c r="D742" t="s">
        <v>39</v>
      </c>
      <c r="E742" t="s">
        <v>20</v>
      </c>
      <c r="F742" t="s">
        <v>21</v>
      </c>
      <c r="G742">
        <v>76</v>
      </c>
      <c r="H742" t="s">
        <v>35</v>
      </c>
      <c r="I742" t="s">
        <v>57</v>
      </c>
      <c r="J742" t="s">
        <v>36</v>
      </c>
      <c r="K742">
        <v>0</v>
      </c>
      <c r="L742">
        <v>1796</v>
      </c>
      <c r="M742">
        <v>0</v>
      </c>
      <c r="N742">
        <v>1796</v>
      </c>
      <c r="O742" t="s">
        <v>25</v>
      </c>
      <c r="P742">
        <v>4.4000000000000004</v>
      </c>
      <c r="Q742">
        <v>36</v>
      </c>
      <c r="R742" t="s">
        <v>1076</v>
      </c>
      <c r="S742">
        <v>9</v>
      </c>
      <c r="T742" t="str">
        <f>IF(Healthcare_Data[[#This Row],[Final_Bill]]&gt;=50000,"High",IF(Healthcare_Data[[#This Row],[Final_Bill]]&gt;=20000,"Medium","low"))</f>
        <v>low</v>
      </c>
    </row>
    <row r="743" spans="1:20" x14ac:dyDescent="0.3">
      <c r="A743" t="s">
        <v>798</v>
      </c>
      <c r="B743">
        <v>45924</v>
      </c>
      <c r="C743" t="s">
        <v>27</v>
      </c>
      <c r="D743" t="s">
        <v>34</v>
      </c>
      <c r="E743" t="s">
        <v>52</v>
      </c>
      <c r="F743" t="s">
        <v>21</v>
      </c>
      <c r="G743">
        <v>49</v>
      </c>
      <c r="H743" t="s">
        <v>56</v>
      </c>
      <c r="I743" t="s">
        <v>30</v>
      </c>
      <c r="J743" t="s">
        <v>24</v>
      </c>
      <c r="K743">
        <v>3</v>
      </c>
      <c r="L743">
        <v>35478</v>
      </c>
      <c r="M743">
        <v>500</v>
      </c>
      <c r="N743">
        <v>34978</v>
      </c>
      <c r="O743" t="s">
        <v>25</v>
      </c>
      <c r="P743">
        <v>2.8</v>
      </c>
      <c r="Q743">
        <v>119</v>
      </c>
      <c r="R743" t="s">
        <v>1076</v>
      </c>
      <c r="S743">
        <v>9</v>
      </c>
      <c r="T743" t="str">
        <f>IF(Healthcare_Data[[#This Row],[Final_Bill]]&gt;=50000,"High",IF(Healthcare_Data[[#This Row],[Final_Bill]]&gt;=20000,"Medium","low"))</f>
        <v>Medium</v>
      </c>
    </row>
    <row r="744" spans="1:20" x14ac:dyDescent="0.3">
      <c r="A744" t="s">
        <v>799</v>
      </c>
      <c r="B744">
        <v>45924</v>
      </c>
      <c r="C744" t="s">
        <v>27</v>
      </c>
      <c r="D744" t="s">
        <v>51</v>
      </c>
      <c r="E744" t="s">
        <v>20</v>
      </c>
      <c r="F744" t="s">
        <v>21</v>
      </c>
      <c r="G744">
        <v>37</v>
      </c>
      <c r="H744" t="s">
        <v>56</v>
      </c>
      <c r="I744" t="s">
        <v>63</v>
      </c>
      <c r="J744" t="s">
        <v>24</v>
      </c>
      <c r="K744">
        <v>0</v>
      </c>
      <c r="L744">
        <v>9745</v>
      </c>
      <c r="M744">
        <v>1500</v>
      </c>
      <c r="N744">
        <v>8245</v>
      </c>
      <c r="O744" t="s">
        <v>25</v>
      </c>
      <c r="P744">
        <v>4.4000000000000004</v>
      </c>
      <c r="Q744">
        <v>118</v>
      </c>
      <c r="R744" t="s">
        <v>1076</v>
      </c>
      <c r="S744">
        <v>9</v>
      </c>
      <c r="T744" t="str">
        <f>IF(Healthcare_Data[[#This Row],[Final_Bill]]&gt;=50000,"High",IF(Healthcare_Data[[#This Row],[Final_Bill]]&gt;=20000,"Medium","low"))</f>
        <v>low</v>
      </c>
    </row>
    <row r="745" spans="1:20" x14ac:dyDescent="0.3">
      <c r="A745" t="s">
        <v>800</v>
      </c>
      <c r="B745">
        <v>45925</v>
      </c>
      <c r="C745" t="s">
        <v>67</v>
      </c>
      <c r="D745" t="s">
        <v>51</v>
      </c>
      <c r="E745" t="s">
        <v>20</v>
      </c>
      <c r="F745" t="s">
        <v>40</v>
      </c>
      <c r="G745">
        <v>78</v>
      </c>
      <c r="H745" t="s">
        <v>29</v>
      </c>
      <c r="I745" t="s">
        <v>30</v>
      </c>
      <c r="J745" t="s">
        <v>24</v>
      </c>
      <c r="K745">
        <v>0</v>
      </c>
      <c r="L745">
        <v>8891</v>
      </c>
      <c r="M745">
        <v>1500</v>
      </c>
      <c r="N745">
        <v>7391</v>
      </c>
      <c r="O745" t="s">
        <v>25</v>
      </c>
      <c r="P745">
        <v>4.0999999999999996</v>
      </c>
      <c r="Q745">
        <v>52</v>
      </c>
      <c r="R745" t="s">
        <v>1076</v>
      </c>
      <c r="S745">
        <v>9</v>
      </c>
      <c r="T745" t="str">
        <f>IF(Healthcare_Data[[#This Row],[Final_Bill]]&gt;=50000,"High",IF(Healthcare_Data[[#This Row],[Final_Bill]]&gt;=20000,"Medium","low"))</f>
        <v>low</v>
      </c>
    </row>
    <row r="746" spans="1:20" x14ac:dyDescent="0.3">
      <c r="A746" t="s">
        <v>801</v>
      </c>
      <c r="B746">
        <v>45925</v>
      </c>
      <c r="C746" t="s">
        <v>54</v>
      </c>
      <c r="D746" t="s">
        <v>28</v>
      </c>
      <c r="E746" t="s">
        <v>20</v>
      </c>
      <c r="F746" t="s">
        <v>40</v>
      </c>
      <c r="G746">
        <v>27</v>
      </c>
      <c r="H746" t="s">
        <v>65</v>
      </c>
      <c r="I746" t="s">
        <v>30</v>
      </c>
      <c r="J746" t="s">
        <v>24</v>
      </c>
      <c r="K746">
        <v>0</v>
      </c>
      <c r="L746">
        <v>4685</v>
      </c>
      <c r="M746">
        <v>1500</v>
      </c>
      <c r="N746">
        <v>3185</v>
      </c>
      <c r="O746" t="s">
        <v>25</v>
      </c>
      <c r="P746">
        <v>3.4</v>
      </c>
      <c r="Q746">
        <v>25</v>
      </c>
      <c r="R746" t="s">
        <v>1076</v>
      </c>
      <c r="S746">
        <v>9</v>
      </c>
      <c r="T746" t="str">
        <f>IF(Healthcare_Data[[#This Row],[Final_Bill]]&gt;=50000,"High",IF(Healthcare_Data[[#This Row],[Final_Bill]]&gt;=20000,"Medium","low"))</f>
        <v>low</v>
      </c>
    </row>
    <row r="747" spans="1:20" x14ac:dyDescent="0.3">
      <c r="A747" t="s">
        <v>802</v>
      </c>
      <c r="B747">
        <v>45925</v>
      </c>
      <c r="C747" t="s">
        <v>18</v>
      </c>
      <c r="D747" t="s">
        <v>51</v>
      </c>
      <c r="E747" t="s">
        <v>54</v>
      </c>
      <c r="F747" t="s">
        <v>21</v>
      </c>
      <c r="G747">
        <v>71</v>
      </c>
      <c r="H747" t="s">
        <v>22</v>
      </c>
      <c r="I747" t="s">
        <v>57</v>
      </c>
      <c r="J747" t="s">
        <v>36</v>
      </c>
      <c r="K747">
        <v>0</v>
      </c>
      <c r="L747">
        <v>23401</v>
      </c>
      <c r="M747">
        <v>0</v>
      </c>
      <c r="N747">
        <v>23401</v>
      </c>
      <c r="O747" t="s">
        <v>59</v>
      </c>
      <c r="P747">
        <v>2.5</v>
      </c>
      <c r="Q747">
        <v>80</v>
      </c>
      <c r="R747" t="s">
        <v>1076</v>
      </c>
      <c r="S747">
        <v>9</v>
      </c>
      <c r="T747" t="str">
        <f>IF(Healthcare_Data[[#This Row],[Final_Bill]]&gt;=50000,"High",IF(Healthcare_Data[[#This Row],[Final_Bill]]&gt;=20000,"Medium","low"))</f>
        <v>Medium</v>
      </c>
    </row>
    <row r="748" spans="1:20" x14ac:dyDescent="0.3">
      <c r="A748" t="s">
        <v>803</v>
      </c>
      <c r="B748">
        <v>45925</v>
      </c>
      <c r="C748" t="s">
        <v>38</v>
      </c>
      <c r="D748" t="s">
        <v>39</v>
      </c>
      <c r="E748" t="s">
        <v>20</v>
      </c>
      <c r="F748" t="s">
        <v>21</v>
      </c>
      <c r="G748">
        <v>65</v>
      </c>
      <c r="H748" t="s">
        <v>22</v>
      </c>
      <c r="I748" t="s">
        <v>69</v>
      </c>
      <c r="J748" t="s">
        <v>24</v>
      </c>
      <c r="K748">
        <v>0</v>
      </c>
      <c r="L748">
        <v>10360</v>
      </c>
      <c r="M748">
        <v>0</v>
      </c>
      <c r="N748">
        <v>10360</v>
      </c>
      <c r="O748" t="s">
        <v>32</v>
      </c>
      <c r="P748">
        <v>4.5</v>
      </c>
      <c r="Q748">
        <v>51</v>
      </c>
      <c r="R748" t="s">
        <v>1076</v>
      </c>
      <c r="S748">
        <v>9</v>
      </c>
      <c r="T748" t="str">
        <f>IF(Healthcare_Data[[#This Row],[Final_Bill]]&gt;=50000,"High",IF(Healthcare_Data[[#This Row],[Final_Bill]]&gt;=20000,"Medium","low"))</f>
        <v>low</v>
      </c>
    </row>
    <row r="749" spans="1:20" x14ac:dyDescent="0.3">
      <c r="A749" t="s">
        <v>804</v>
      </c>
      <c r="B749">
        <v>45925</v>
      </c>
      <c r="C749" t="s">
        <v>50</v>
      </c>
      <c r="D749" t="s">
        <v>19</v>
      </c>
      <c r="E749" t="s">
        <v>52</v>
      </c>
      <c r="F749" t="s">
        <v>40</v>
      </c>
      <c r="G749">
        <v>44</v>
      </c>
      <c r="H749" t="s">
        <v>22</v>
      </c>
      <c r="I749" t="s">
        <v>61</v>
      </c>
      <c r="J749" t="s">
        <v>58</v>
      </c>
      <c r="K749">
        <v>3</v>
      </c>
      <c r="L749">
        <v>48270</v>
      </c>
      <c r="M749">
        <v>1500</v>
      </c>
      <c r="N749">
        <v>46770</v>
      </c>
      <c r="O749" t="s">
        <v>32</v>
      </c>
      <c r="P749">
        <v>3.3</v>
      </c>
      <c r="Q749">
        <v>42</v>
      </c>
      <c r="R749" t="s">
        <v>1076</v>
      </c>
      <c r="S749">
        <v>9</v>
      </c>
      <c r="T749" t="str">
        <f>IF(Healthcare_Data[[#This Row],[Final_Bill]]&gt;=50000,"High",IF(Healthcare_Data[[#This Row],[Final_Bill]]&gt;=20000,"Medium","low"))</f>
        <v>Medium</v>
      </c>
    </row>
    <row r="750" spans="1:20" x14ac:dyDescent="0.3">
      <c r="A750" t="s">
        <v>805</v>
      </c>
      <c r="B750">
        <v>45926</v>
      </c>
      <c r="C750" t="s">
        <v>44</v>
      </c>
      <c r="D750" t="s">
        <v>39</v>
      </c>
      <c r="E750" t="s">
        <v>20</v>
      </c>
      <c r="F750" t="s">
        <v>40</v>
      </c>
      <c r="G750">
        <v>49</v>
      </c>
      <c r="H750" t="s">
        <v>29</v>
      </c>
      <c r="I750" t="s">
        <v>57</v>
      </c>
      <c r="J750" t="s">
        <v>36</v>
      </c>
      <c r="K750">
        <v>0</v>
      </c>
      <c r="L750">
        <v>19762</v>
      </c>
      <c r="M750">
        <v>0</v>
      </c>
      <c r="N750">
        <v>19762</v>
      </c>
      <c r="O750" t="s">
        <v>25</v>
      </c>
      <c r="P750">
        <v>2.6</v>
      </c>
      <c r="Q750">
        <v>22</v>
      </c>
      <c r="R750" t="s">
        <v>1076</v>
      </c>
      <c r="S750">
        <v>9</v>
      </c>
      <c r="T750" t="str">
        <f>IF(Healthcare_Data[[#This Row],[Final_Bill]]&gt;=50000,"High",IF(Healthcare_Data[[#This Row],[Final_Bill]]&gt;=20000,"Medium","low"))</f>
        <v>low</v>
      </c>
    </row>
    <row r="751" spans="1:20" x14ac:dyDescent="0.3">
      <c r="A751" t="s">
        <v>806</v>
      </c>
      <c r="B751">
        <v>45927</v>
      </c>
      <c r="C751" t="s">
        <v>48</v>
      </c>
      <c r="D751" t="s">
        <v>39</v>
      </c>
      <c r="E751" t="s">
        <v>20</v>
      </c>
      <c r="F751" t="s">
        <v>40</v>
      </c>
      <c r="G751">
        <v>57</v>
      </c>
      <c r="H751" t="s">
        <v>41</v>
      </c>
      <c r="I751" t="s">
        <v>30</v>
      </c>
      <c r="J751" t="s">
        <v>24</v>
      </c>
      <c r="K751">
        <v>0</v>
      </c>
      <c r="L751">
        <v>19781</v>
      </c>
      <c r="M751">
        <v>1000</v>
      </c>
      <c r="N751">
        <v>18781</v>
      </c>
      <c r="O751" t="s">
        <v>32</v>
      </c>
      <c r="P751" t="s">
        <v>1057</v>
      </c>
      <c r="Q751">
        <v>108</v>
      </c>
      <c r="R751" t="s">
        <v>1076</v>
      </c>
      <c r="S751">
        <v>9</v>
      </c>
      <c r="T751" t="str">
        <f>IF(Healthcare_Data[[#This Row],[Final_Bill]]&gt;=50000,"High",IF(Healthcare_Data[[#This Row],[Final_Bill]]&gt;=20000,"Medium","low"))</f>
        <v>low</v>
      </c>
    </row>
    <row r="752" spans="1:20" x14ac:dyDescent="0.3">
      <c r="A752" t="s">
        <v>807</v>
      </c>
      <c r="B752">
        <v>45928</v>
      </c>
      <c r="C752" t="s">
        <v>27</v>
      </c>
      <c r="D752" t="s">
        <v>34</v>
      </c>
      <c r="E752" t="s">
        <v>52</v>
      </c>
      <c r="F752" t="s">
        <v>40</v>
      </c>
      <c r="G752">
        <v>25</v>
      </c>
      <c r="H752" t="s">
        <v>46</v>
      </c>
      <c r="I752" t="s">
        <v>57</v>
      </c>
      <c r="J752" t="s">
        <v>31</v>
      </c>
      <c r="K752">
        <v>7</v>
      </c>
      <c r="L752">
        <v>69942</v>
      </c>
      <c r="M752">
        <v>500</v>
      </c>
      <c r="N752">
        <v>69442</v>
      </c>
      <c r="O752" t="s">
        <v>25</v>
      </c>
      <c r="P752">
        <v>3</v>
      </c>
      <c r="Q752">
        <v>27</v>
      </c>
      <c r="R752" t="s">
        <v>1076</v>
      </c>
      <c r="S752">
        <v>9</v>
      </c>
      <c r="T752" t="str">
        <f>IF(Healthcare_Data[[#This Row],[Final_Bill]]&gt;=50000,"High",IF(Healthcare_Data[[#This Row],[Final_Bill]]&gt;=20000,"Medium","low"))</f>
        <v>High</v>
      </c>
    </row>
    <row r="753" spans="1:20" x14ac:dyDescent="0.3">
      <c r="A753" t="s">
        <v>808</v>
      </c>
      <c r="B753">
        <v>45928</v>
      </c>
      <c r="C753" t="s">
        <v>38</v>
      </c>
      <c r="D753" t="s">
        <v>51</v>
      </c>
      <c r="E753" t="s">
        <v>52</v>
      </c>
      <c r="F753" t="s">
        <v>21</v>
      </c>
      <c r="G753">
        <v>55</v>
      </c>
      <c r="H753" t="s">
        <v>65</v>
      </c>
      <c r="I753" t="s">
        <v>72</v>
      </c>
      <c r="J753" t="s">
        <v>24</v>
      </c>
      <c r="K753">
        <v>3</v>
      </c>
      <c r="L753">
        <v>71214</v>
      </c>
      <c r="M753">
        <v>1500</v>
      </c>
      <c r="N753">
        <v>69714</v>
      </c>
      <c r="O753" t="s">
        <v>25</v>
      </c>
      <c r="P753">
        <v>4</v>
      </c>
      <c r="Q753">
        <v>79</v>
      </c>
      <c r="R753" t="s">
        <v>1076</v>
      </c>
      <c r="S753">
        <v>9</v>
      </c>
      <c r="T753" t="str">
        <f>IF(Healthcare_Data[[#This Row],[Final_Bill]]&gt;=50000,"High",IF(Healthcare_Data[[#This Row],[Final_Bill]]&gt;=20000,"Medium","low"))</f>
        <v>High</v>
      </c>
    </row>
    <row r="754" spans="1:20" x14ac:dyDescent="0.3">
      <c r="A754" t="s">
        <v>809</v>
      </c>
      <c r="B754">
        <v>45928</v>
      </c>
      <c r="C754" t="s">
        <v>54</v>
      </c>
      <c r="D754" t="s">
        <v>34</v>
      </c>
      <c r="E754" t="s">
        <v>20</v>
      </c>
      <c r="F754" t="s">
        <v>21</v>
      </c>
      <c r="G754">
        <v>60</v>
      </c>
      <c r="H754" t="s">
        <v>65</v>
      </c>
      <c r="I754" t="s">
        <v>63</v>
      </c>
      <c r="J754" t="s">
        <v>24</v>
      </c>
      <c r="K754">
        <v>0</v>
      </c>
      <c r="L754">
        <v>10155</v>
      </c>
      <c r="M754">
        <v>0</v>
      </c>
      <c r="N754">
        <v>10155</v>
      </c>
      <c r="O754" t="s">
        <v>25</v>
      </c>
      <c r="P754">
        <v>2.6</v>
      </c>
      <c r="Q754">
        <v>98</v>
      </c>
      <c r="R754" t="s">
        <v>1076</v>
      </c>
      <c r="S754">
        <v>9</v>
      </c>
      <c r="T754" t="str">
        <f>IF(Healthcare_Data[[#This Row],[Final_Bill]]&gt;=50000,"High",IF(Healthcare_Data[[#This Row],[Final_Bill]]&gt;=20000,"Medium","low"))</f>
        <v>low</v>
      </c>
    </row>
    <row r="755" spans="1:20" x14ac:dyDescent="0.3">
      <c r="A755" t="s">
        <v>810</v>
      </c>
      <c r="B755">
        <v>45928</v>
      </c>
      <c r="C755" t="s">
        <v>38</v>
      </c>
      <c r="D755" t="s">
        <v>19</v>
      </c>
      <c r="E755" t="s">
        <v>20</v>
      </c>
      <c r="F755" t="s">
        <v>21</v>
      </c>
      <c r="G755">
        <v>77</v>
      </c>
      <c r="H755" t="s">
        <v>56</v>
      </c>
      <c r="I755" t="s">
        <v>69</v>
      </c>
      <c r="J755" t="s">
        <v>36</v>
      </c>
      <c r="K755">
        <v>0</v>
      </c>
      <c r="L755">
        <v>11355</v>
      </c>
      <c r="M755">
        <v>0</v>
      </c>
      <c r="N755">
        <v>11355</v>
      </c>
      <c r="O755" t="s">
        <v>25</v>
      </c>
      <c r="P755">
        <v>3</v>
      </c>
      <c r="Q755">
        <v>115</v>
      </c>
      <c r="R755" t="s">
        <v>1076</v>
      </c>
      <c r="S755">
        <v>9</v>
      </c>
      <c r="T755" t="str">
        <f>IF(Healthcare_Data[[#This Row],[Final_Bill]]&gt;=50000,"High",IF(Healthcare_Data[[#This Row],[Final_Bill]]&gt;=20000,"Medium","low"))</f>
        <v>low</v>
      </c>
    </row>
    <row r="756" spans="1:20" x14ac:dyDescent="0.3">
      <c r="A756" t="s">
        <v>811</v>
      </c>
      <c r="B756">
        <v>45929</v>
      </c>
      <c r="C756" t="s">
        <v>54</v>
      </c>
      <c r="D756" t="s">
        <v>34</v>
      </c>
      <c r="E756" t="s">
        <v>52</v>
      </c>
      <c r="F756" t="s">
        <v>40</v>
      </c>
      <c r="G756">
        <v>22</v>
      </c>
      <c r="H756" t="s">
        <v>29</v>
      </c>
      <c r="I756" t="s">
        <v>63</v>
      </c>
      <c r="J756" t="s">
        <v>24</v>
      </c>
      <c r="K756">
        <v>12</v>
      </c>
      <c r="L756">
        <v>64069</v>
      </c>
      <c r="M756">
        <v>0</v>
      </c>
      <c r="N756">
        <v>64069</v>
      </c>
      <c r="O756" t="s">
        <v>32</v>
      </c>
      <c r="P756">
        <v>4.5</v>
      </c>
      <c r="Q756">
        <v>55</v>
      </c>
      <c r="R756" t="s">
        <v>1076</v>
      </c>
      <c r="S756">
        <v>9</v>
      </c>
      <c r="T756" t="str">
        <f>IF(Healthcare_Data[[#This Row],[Final_Bill]]&gt;=50000,"High",IF(Healthcare_Data[[#This Row],[Final_Bill]]&gt;=20000,"Medium","low"))</f>
        <v>High</v>
      </c>
    </row>
    <row r="757" spans="1:20" x14ac:dyDescent="0.3">
      <c r="A757" t="s">
        <v>812</v>
      </c>
      <c r="B757">
        <v>45929</v>
      </c>
      <c r="C757" t="s">
        <v>48</v>
      </c>
      <c r="D757" t="s">
        <v>28</v>
      </c>
      <c r="E757" t="s">
        <v>20</v>
      </c>
      <c r="F757" t="s">
        <v>40</v>
      </c>
      <c r="G757">
        <v>55</v>
      </c>
      <c r="H757" t="s">
        <v>35</v>
      </c>
      <c r="I757" t="s">
        <v>42</v>
      </c>
      <c r="J757" t="s">
        <v>36</v>
      </c>
      <c r="K757">
        <v>0</v>
      </c>
      <c r="L757">
        <v>18300</v>
      </c>
      <c r="M757">
        <v>1000</v>
      </c>
      <c r="N757">
        <v>17300</v>
      </c>
      <c r="O757" t="s">
        <v>25</v>
      </c>
      <c r="P757">
        <v>4</v>
      </c>
      <c r="Q757">
        <v>85</v>
      </c>
      <c r="R757" t="s">
        <v>1076</v>
      </c>
      <c r="S757">
        <v>9</v>
      </c>
      <c r="T757" t="str">
        <f>IF(Healthcare_Data[[#This Row],[Final_Bill]]&gt;=50000,"High",IF(Healthcare_Data[[#This Row],[Final_Bill]]&gt;=20000,"Medium","low"))</f>
        <v>low</v>
      </c>
    </row>
    <row r="758" spans="1:20" x14ac:dyDescent="0.3">
      <c r="A758" t="s">
        <v>813</v>
      </c>
      <c r="B758">
        <v>45930</v>
      </c>
      <c r="C758" t="s">
        <v>50</v>
      </c>
      <c r="D758" t="s">
        <v>39</v>
      </c>
      <c r="E758" t="s">
        <v>54</v>
      </c>
      <c r="F758" t="s">
        <v>40</v>
      </c>
      <c r="G758">
        <v>54</v>
      </c>
      <c r="H758" t="s">
        <v>35</v>
      </c>
      <c r="I758" t="s">
        <v>72</v>
      </c>
      <c r="J758" t="s">
        <v>24</v>
      </c>
      <c r="K758">
        <v>0</v>
      </c>
      <c r="L758">
        <v>33215</v>
      </c>
      <c r="M758">
        <v>0</v>
      </c>
      <c r="N758">
        <v>33215</v>
      </c>
      <c r="O758" t="s">
        <v>25</v>
      </c>
      <c r="P758">
        <v>2.6</v>
      </c>
      <c r="Q758">
        <v>37</v>
      </c>
      <c r="R758" t="s">
        <v>1076</v>
      </c>
      <c r="S758">
        <v>9</v>
      </c>
      <c r="T758" t="str">
        <f>IF(Healthcare_Data[[#This Row],[Final_Bill]]&gt;=50000,"High",IF(Healthcare_Data[[#This Row],[Final_Bill]]&gt;=20000,"Medium","low"))</f>
        <v>Medium</v>
      </c>
    </row>
    <row r="759" spans="1:20" x14ac:dyDescent="0.3">
      <c r="A759" t="s">
        <v>814</v>
      </c>
      <c r="B759">
        <v>45930</v>
      </c>
      <c r="C759" t="s">
        <v>54</v>
      </c>
      <c r="D759" t="s">
        <v>39</v>
      </c>
      <c r="E759" t="s">
        <v>52</v>
      </c>
      <c r="F759" t="s">
        <v>21</v>
      </c>
      <c r="G759">
        <v>60</v>
      </c>
      <c r="H759" t="s">
        <v>56</v>
      </c>
      <c r="I759" t="s">
        <v>42</v>
      </c>
      <c r="J759" t="s">
        <v>36</v>
      </c>
      <c r="K759">
        <v>4</v>
      </c>
      <c r="L759">
        <v>59772</v>
      </c>
      <c r="M759">
        <v>1500</v>
      </c>
      <c r="N759">
        <v>58272</v>
      </c>
      <c r="O759" t="s">
        <v>25</v>
      </c>
      <c r="P759">
        <v>4.0999999999999996</v>
      </c>
      <c r="Q759">
        <v>31</v>
      </c>
      <c r="R759" t="s">
        <v>1076</v>
      </c>
      <c r="S759">
        <v>9</v>
      </c>
      <c r="T759" t="str">
        <f>IF(Healthcare_Data[[#This Row],[Final_Bill]]&gt;=50000,"High",IF(Healthcare_Data[[#This Row],[Final_Bill]]&gt;=20000,"Medium","low"))</f>
        <v>High</v>
      </c>
    </row>
    <row r="760" spans="1:20" x14ac:dyDescent="0.3">
      <c r="A760" t="s">
        <v>815</v>
      </c>
      <c r="B760">
        <v>45930</v>
      </c>
      <c r="C760" t="s">
        <v>50</v>
      </c>
      <c r="D760" t="s">
        <v>19</v>
      </c>
      <c r="E760" t="s">
        <v>20</v>
      </c>
      <c r="F760" t="s">
        <v>21</v>
      </c>
      <c r="G760">
        <v>35</v>
      </c>
      <c r="H760" t="s">
        <v>56</v>
      </c>
      <c r="I760" t="s">
        <v>61</v>
      </c>
      <c r="J760" t="s">
        <v>36</v>
      </c>
      <c r="K760">
        <v>0</v>
      </c>
      <c r="L760">
        <v>15231</v>
      </c>
      <c r="M760">
        <v>500</v>
      </c>
      <c r="N760">
        <v>14731</v>
      </c>
      <c r="O760" t="s">
        <v>25</v>
      </c>
      <c r="P760">
        <v>3.3</v>
      </c>
      <c r="Q760">
        <v>51</v>
      </c>
      <c r="R760" t="s">
        <v>1076</v>
      </c>
      <c r="S760">
        <v>9</v>
      </c>
      <c r="T760" t="str">
        <f>IF(Healthcare_Data[[#This Row],[Final_Bill]]&gt;=50000,"High",IF(Healthcare_Data[[#This Row],[Final_Bill]]&gt;=20000,"Medium","low"))</f>
        <v>low</v>
      </c>
    </row>
    <row r="761" spans="1:20" x14ac:dyDescent="0.3">
      <c r="A761" t="s">
        <v>816</v>
      </c>
      <c r="B761">
        <v>45930</v>
      </c>
      <c r="C761" t="s">
        <v>48</v>
      </c>
      <c r="D761" t="s">
        <v>19</v>
      </c>
      <c r="E761" t="s">
        <v>52</v>
      </c>
      <c r="F761" t="s">
        <v>40</v>
      </c>
      <c r="G761">
        <v>20</v>
      </c>
      <c r="H761" t="s">
        <v>22</v>
      </c>
      <c r="I761" t="s">
        <v>69</v>
      </c>
      <c r="J761" t="s">
        <v>31</v>
      </c>
      <c r="K761">
        <v>10</v>
      </c>
      <c r="L761">
        <v>26542</v>
      </c>
      <c r="M761">
        <v>1000</v>
      </c>
      <c r="N761">
        <v>25542</v>
      </c>
      <c r="O761" t="s">
        <v>59</v>
      </c>
      <c r="P761">
        <v>3.6</v>
      </c>
      <c r="Q761">
        <v>71</v>
      </c>
      <c r="R761" t="s">
        <v>1076</v>
      </c>
      <c r="S761">
        <v>9</v>
      </c>
      <c r="T761" t="str">
        <f>IF(Healthcare_Data[[#This Row],[Final_Bill]]&gt;=50000,"High",IF(Healthcare_Data[[#This Row],[Final_Bill]]&gt;=20000,"Medium","low"))</f>
        <v>Medium</v>
      </c>
    </row>
    <row r="762" spans="1:20" x14ac:dyDescent="0.3">
      <c r="A762" t="s">
        <v>817</v>
      </c>
      <c r="B762">
        <v>45931</v>
      </c>
      <c r="C762" t="s">
        <v>18</v>
      </c>
      <c r="D762" t="s">
        <v>19</v>
      </c>
      <c r="E762" t="s">
        <v>52</v>
      </c>
      <c r="F762" t="s">
        <v>40</v>
      </c>
      <c r="G762">
        <v>67</v>
      </c>
      <c r="H762" t="s">
        <v>22</v>
      </c>
      <c r="I762" t="s">
        <v>63</v>
      </c>
      <c r="J762" t="s">
        <v>36</v>
      </c>
      <c r="K762">
        <v>2</v>
      </c>
      <c r="L762">
        <v>67672</v>
      </c>
      <c r="M762">
        <v>2000</v>
      </c>
      <c r="N762">
        <v>65672</v>
      </c>
      <c r="O762" t="s">
        <v>32</v>
      </c>
      <c r="P762">
        <v>3.6</v>
      </c>
      <c r="Q762">
        <v>93</v>
      </c>
      <c r="R762" t="s">
        <v>1077</v>
      </c>
      <c r="S762">
        <v>10</v>
      </c>
      <c r="T762" t="str">
        <f>IF(Healthcare_Data[[#This Row],[Final_Bill]]&gt;=50000,"High",IF(Healthcare_Data[[#This Row],[Final_Bill]]&gt;=20000,"Medium","low"))</f>
        <v>High</v>
      </c>
    </row>
    <row r="763" spans="1:20" x14ac:dyDescent="0.3">
      <c r="A763" t="s">
        <v>818</v>
      </c>
      <c r="B763">
        <v>45931</v>
      </c>
      <c r="C763" t="s">
        <v>54</v>
      </c>
      <c r="D763" t="s">
        <v>19</v>
      </c>
      <c r="E763" t="s">
        <v>52</v>
      </c>
      <c r="F763" t="s">
        <v>21</v>
      </c>
      <c r="G763">
        <v>62</v>
      </c>
      <c r="H763" t="s">
        <v>22</v>
      </c>
      <c r="I763" t="s">
        <v>61</v>
      </c>
      <c r="J763" t="s">
        <v>24</v>
      </c>
      <c r="K763">
        <v>7</v>
      </c>
      <c r="L763">
        <v>38697</v>
      </c>
      <c r="M763">
        <v>1500</v>
      </c>
      <c r="N763">
        <v>37197</v>
      </c>
      <c r="O763" t="s">
        <v>32</v>
      </c>
      <c r="P763">
        <v>4.8</v>
      </c>
      <c r="Q763">
        <v>98</v>
      </c>
      <c r="R763" t="s">
        <v>1077</v>
      </c>
      <c r="S763">
        <v>10</v>
      </c>
      <c r="T763" t="str">
        <f>IF(Healthcare_Data[[#This Row],[Final_Bill]]&gt;=50000,"High",IF(Healthcare_Data[[#This Row],[Final_Bill]]&gt;=20000,"Medium","low"))</f>
        <v>Medium</v>
      </c>
    </row>
    <row r="764" spans="1:20" x14ac:dyDescent="0.3">
      <c r="A764" t="s">
        <v>819</v>
      </c>
      <c r="B764">
        <v>45932</v>
      </c>
      <c r="C764" t="s">
        <v>38</v>
      </c>
      <c r="D764" t="s">
        <v>28</v>
      </c>
      <c r="E764" t="s">
        <v>20</v>
      </c>
      <c r="F764" t="s">
        <v>21</v>
      </c>
      <c r="G764">
        <v>75</v>
      </c>
      <c r="H764" t="s">
        <v>65</v>
      </c>
      <c r="I764" t="s">
        <v>63</v>
      </c>
      <c r="J764" t="s">
        <v>31</v>
      </c>
      <c r="K764">
        <v>0</v>
      </c>
      <c r="L764">
        <v>17955</v>
      </c>
      <c r="M764">
        <v>2000</v>
      </c>
      <c r="N764">
        <v>15955</v>
      </c>
      <c r="O764" t="s">
        <v>25</v>
      </c>
      <c r="P764">
        <v>4.0999999999999996</v>
      </c>
      <c r="Q764">
        <v>10</v>
      </c>
      <c r="R764" t="s">
        <v>1077</v>
      </c>
      <c r="S764">
        <v>10</v>
      </c>
      <c r="T764" t="str">
        <f>IF(Healthcare_Data[[#This Row],[Final_Bill]]&gt;=50000,"High",IF(Healthcare_Data[[#This Row],[Final_Bill]]&gt;=20000,"Medium","low"))</f>
        <v>low</v>
      </c>
    </row>
    <row r="765" spans="1:20" x14ac:dyDescent="0.3">
      <c r="A765" t="s">
        <v>820</v>
      </c>
      <c r="B765">
        <v>45932</v>
      </c>
      <c r="C765" t="s">
        <v>54</v>
      </c>
      <c r="D765" t="s">
        <v>39</v>
      </c>
      <c r="E765" t="s">
        <v>52</v>
      </c>
      <c r="F765" t="s">
        <v>40</v>
      </c>
      <c r="G765">
        <v>54</v>
      </c>
      <c r="H765" t="s">
        <v>41</v>
      </c>
      <c r="I765" t="s">
        <v>69</v>
      </c>
      <c r="J765" t="s">
        <v>24</v>
      </c>
      <c r="K765">
        <v>6</v>
      </c>
      <c r="L765">
        <v>53029</v>
      </c>
      <c r="M765">
        <v>500</v>
      </c>
      <c r="N765">
        <v>52529</v>
      </c>
      <c r="O765" t="s">
        <v>25</v>
      </c>
      <c r="P765">
        <v>4.4000000000000004</v>
      </c>
      <c r="Q765">
        <v>84</v>
      </c>
      <c r="R765" t="s">
        <v>1077</v>
      </c>
      <c r="S765">
        <v>10</v>
      </c>
      <c r="T765" t="str">
        <f>IF(Healthcare_Data[[#This Row],[Final_Bill]]&gt;=50000,"High",IF(Healthcare_Data[[#This Row],[Final_Bill]]&gt;=20000,"Medium","low"))</f>
        <v>High</v>
      </c>
    </row>
    <row r="766" spans="1:20" x14ac:dyDescent="0.3">
      <c r="A766" t="s">
        <v>821</v>
      </c>
      <c r="B766">
        <v>45932</v>
      </c>
      <c r="C766" t="s">
        <v>18</v>
      </c>
      <c r="D766" t="s">
        <v>28</v>
      </c>
      <c r="E766" t="s">
        <v>20</v>
      </c>
      <c r="F766" t="s">
        <v>40</v>
      </c>
      <c r="G766">
        <v>74</v>
      </c>
      <c r="H766" t="s">
        <v>35</v>
      </c>
      <c r="I766" t="s">
        <v>23</v>
      </c>
      <c r="J766" t="s">
        <v>36</v>
      </c>
      <c r="K766">
        <v>0</v>
      </c>
      <c r="L766">
        <v>17265</v>
      </c>
      <c r="M766">
        <v>500</v>
      </c>
      <c r="N766">
        <v>16765</v>
      </c>
      <c r="O766" t="s">
        <v>25</v>
      </c>
      <c r="P766">
        <v>3.5</v>
      </c>
      <c r="Q766">
        <v>94</v>
      </c>
      <c r="R766" t="s">
        <v>1077</v>
      </c>
      <c r="S766">
        <v>10</v>
      </c>
      <c r="T766" t="str">
        <f>IF(Healthcare_Data[[#This Row],[Final_Bill]]&gt;=50000,"High",IF(Healthcare_Data[[#This Row],[Final_Bill]]&gt;=20000,"Medium","low"))</f>
        <v>low</v>
      </c>
    </row>
    <row r="767" spans="1:20" x14ac:dyDescent="0.3">
      <c r="A767" t="s">
        <v>822</v>
      </c>
      <c r="B767">
        <v>45934</v>
      </c>
      <c r="C767" t="s">
        <v>54</v>
      </c>
      <c r="D767" t="s">
        <v>19</v>
      </c>
      <c r="E767" t="s">
        <v>20</v>
      </c>
      <c r="F767" t="s">
        <v>40</v>
      </c>
      <c r="G767">
        <v>24</v>
      </c>
      <c r="H767" t="s">
        <v>56</v>
      </c>
      <c r="I767" t="s">
        <v>69</v>
      </c>
      <c r="J767" t="s">
        <v>36</v>
      </c>
      <c r="K767">
        <v>0</v>
      </c>
      <c r="L767">
        <v>18424</v>
      </c>
      <c r="M767">
        <v>0</v>
      </c>
      <c r="N767">
        <v>18424</v>
      </c>
      <c r="O767" t="s">
        <v>25</v>
      </c>
      <c r="P767">
        <v>2.9</v>
      </c>
      <c r="Q767">
        <v>23</v>
      </c>
      <c r="R767" t="s">
        <v>1077</v>
      </c>
      <c r="S767">
        <v>10</v>
      </c>
      <c r="T767" t="str">
        <f>IF(Healthcare_Data[[#This Row],[Final_Bill]]&gt;=50000,"High",IF(Healthcare_Data[[#This Row],[Final_Bill]]&gt;=20000,"Medium","low"))</f>
        <v>low</v>
      </c>
    </row>
    <row r="768" spans="1:20" x14ac:dyDescent="0.3">
      <c r="A768" t="s">
        <v>823</v>
      </c>
      <c r="B768">
        <v>45934</v>
      </c>
      <c r="C768" t="s">
        <v>44</v>
      </c>
      <c r="D768" t="s">
        <v>19</v>
      </c>
      <c r="E768" t="s">
        <v>54</v>
      </c>
      <c r="F768" t="s">
        <v>21</v>
      </c>
      <c r="G768">
        <v>63</v>
      </c>
      <c r="H768" t="s">
        <v>65</v>
      </c>
      <c r="I768" t="s">
        <v>63</v>
      </c>
      <c r="J768" t="s">
        <v>36</v>
      </c>
      <c r="K768">
        <v>0</v>
      </c>
      <c r="L768">
        <v>30891</v>
      </c>
      <c r="M768">
        <v>1000</v>
      </c>
      <c r="N768">
        <v>29891</v>
      </c>
      <c r="O768" t="s">
        <v>59</v>
      </c>
      <c r="P768">
        <v>3.9</v>
      </c>
      <c r="Q768">
        <v>111</v>
      </c>
      <c r="R768" t="s">
        <v>1077</v>
      </c>
      <c r="S768">
        <v>10</v>
      </c>
      <c r="T768" t="str">
        <f>IF(Healthcare_Data[[#This Row],[Final_Bill]]&gt;=50000,"High",IF(Healthcare_Data[[#This Row],[Final_Bill]]&gt;=20000,"Medium","low"))</f>
        <v>Medium</v>
      </c>
    </row>
    <row r="769" spans="1:20" x14ac:dyDescent="0.3">
      <c r="A769" t="s">
        <v>824</v>
      </c>
      <c r="B769">
        <v>45934</v>
      </c>
      <c r="C769" t="s">
        <v>50</v>
      </c>
      <c r="D769" t="s">
        <v>19</v>
      </c>
      <c r="E769" t="s">
        <v>52</v>
      </c>
      <c r="F769" t="s">
        <v>40</v>
      </c>
      <c r="G769">
        <v>64</v>
      </c>
      <c r="H769" t="s">
        <v>35</v>
      </c>
      <c r="I769" t="s">
        <v>69</v>
      </c>
      <c r="J769" t="s">
        <v>24</v>
      </c>
      <c r="K769">
        <v>8</v>
      </c>
      <c r="L769">
        <v>58183</v>
      </c>
      <c r="M769">
        <v>2000</v>
      </c>
      <c r="N769">
        <v>56183</v>
      </c>
      <c r="O769" t="s">
        <v>32</v>
      </c>
      <c r="P769">
        <v>2.8</v>
      </c>
      <c r="Q769">
        <v>44</v>
      </c>
      <c r="R769" t="s">
        <v>1077</v>
      </c>
      <c r="S769">
        <v>10</v>
      </c>
      <c r="T769" t="str">
        <f>IF(Healthcare_Data[[#This Row],[Final_Bill]]&gt;=50000,"High",IF(Healthcare_Data[[#This Row],[Final_Bill]]&gt;=20000,"Medium","low"))</f>
        <v>High</v>
      </c>
    </row>
    <row r="770" spans="1:20" x14ac:dyDescent="0.3">
      <c r="A770" t="s">
        <v>825</v>
      </c>
      <c r="B770">
        <v>45934</v>
      </c>
      <c r="C770" t="s">
        <v>67</v>
      </c>
      <c r="D770" t="s">
        <v>28</v>
      </c>
      <c r="E770" t="s">
        <v>20</v>
      </c>
      <c r="F770" t="s">
        <v>21</v>
      </c>
      <c r="G770">
        <v>35</v>
      </c>
      <c r="H770" t="s">
        <v>22</v>
      </c>
      <c r="I770" t="s">
        <v>23</v>
      </c>
      <c r="J770" t="s">
        <v>58</v>
      </c>
      <c r="K770">
        <v>0</v>
      </c>
      <c r="L770">
        <v>19355</v>
      </c>
      <c r="M770">
        <v>0</v>
      </c>
      <c r="N770">
        <v>19355</v>
      </c>
      <c r="O770" t="s">
        <v>25</v>
      </c>
      <c r="P770">
        <v>4.9000000000000004</v>
      </c>
      <c r="Q770">
        <v>68</v>
      </c>
      <c r="R770" t="s">
        <v>1077</v>
      </c>
      <c r="S770">
        <v>10</v>
      </c>
      <c r="T770" t="str">
        <f>IF(Healthcare_Data[[#This Row],[Final_Bill]]&gt;=50000,"High",IF(Healthcare_Data[[#This Row],[Final_Bill]]&gt;=20000,"Medium","low"))</f>
        <v>low</v>
      </c>
    </row>
    <row r="771" spans="1:20" x14ac:dyDescent="0.3">
      <c r="A771" t="s">
        <v>826</v>
      </c>
      <c r="B771">
        <v>45934</v>
      </c>
      <c r="C771" t="s">
        <v>48</v>
      </c>
      <c r="D771" t="s">
        <v>19</v>
      </c>
      <c r="E771" t="s">
        <v>20</v>
      </c>
      <c r="F771" t="s">
        <v>40</v>
      </c>
      <c r="G771">
        <v>72</v>
      </c>
      <c r="H771" t="s">
        <v>46</v>
      </c>
      <c r="I771" t="s">
        <v>61</v>
      </c>
      <c r="J771" t="s">
        <v>36</v>
      </c>
      <c r="K771">
        <v>0</v>
      </c>
      <c r="L771">
        <v>2069</v>
      </c>
      <c r="M771">
        <v>1000</v>
      </c>
      <c r="N771">
        <v>1069</v>
      </c>
      <c r="O771" t="s">
        <v>25</v>
      </c>
      <c r="P771">
        <v>4.3</v>
      </c>
      <c r="Q771">
        <v>110</v>
      </c>
      <c r="R771" t="s">
        <v>1077</v>
      </c>
      <c r="S771">
        <v>10</v>
      </c>
      <c r="T771" t="str">
        <f>IF(Healthcare_Data[[#This Row],[Final_Bill]]&gt;=50000,"High",IF(Healthcare_Data[[#This Row],[Final_Bill]]&gt;=20000,"Medium","low"))</f>
        <v>low</v>
      </c>
    </row>
    <row r="772" spans="1:20" x14ac:dyDescent="0.3">
      <c r="A772" t="s">
        <v>827</v>
      </c>
      <c r="B772">
        <v>45934</v>
      </c>
      <c r="C772" t="s">
        <v>50</v>
      </c>
      <c r="D772" t="s">
        <v>28</v>
      </c>
      <c r="E772" t="s">
        <v>54</v>
      </c>
      <c r="F772" t="s">
        <v>21</v>
      </c>
      <c r="G772">
        <v>65</v>
      </c>
      <c r="H772" t="s">
        <v>115</v>
      </c>
      <c r="I772" t="s">
        <v>57</v>
      </c>
      <c r="J772" t="s">
        <v>24</v>
      </c>
      <c r="K772">
        <v>0</v>
      </c>
      <c r="L772">
        <v>40746</v>
      </c>
      <c r="M772">
        <v>500</v>
      </c>
      <c r="N772">
        <v>40246</v>
      </c>
      <c r="O772" t="s">
        <v>25</v>
      </c>
      <c r="P772">
        <v>3.5</v>
      </c>
      <c r="Q772">
        <v>71</v>
      </c>
      <c r="R772" t="s">
        <v>1077</v>
      </c>
      <c r="S772">
        <v>10</v>
      </c>
      <c r="T772" t="str">
        <f>IF(Healthcare_Data[[#This Row],[Final_Bill]]&gt;=50000,"High",IF(Healthcare_Data[[#This Row],[Final_Bill]]&gt;=20000,"Medium","low"))</f>
        <v>Medium</v>
      </c>
    </row>
    <row r="773" spans="1:20" x14ac:dyDescent="0.3">
      <c r="A773" t="s">
        <v>828</v>
      </c>
      <c r="B773">
        <v>45935</v>
      </c>
      <c r="C773" t="s">
        <v>54</v>
      </c>
      <c r="D773" t="s">
        <v>28</v>
      </c>
      <c r="E773" t="s">
        <v>20</v>
      </c>
      <c r="F773" t="s">
        <v>21</v>
      </c>
      <c r="G773">
        <v>64</v>
      </c>
      <c r="H773" t="s">
        <v>41</v>
      </c>
      <c r="I773" t="s">
        <v>57</v>
      </c>
      <c r="J773" t="s">
        <v>31</v>
      </c>
      <c r="K773">
        <v>0</v>
      </c>
      <c r="L773">
        <v>2921</v>
      </c>
      <c r="M773">
        <v>500</v>
      </c>
      <c r="N773">
        <v>2421</v>
      </c>
      <c r="O773" t="s">
        <v>25</v>
      </c>
      <c r="P773">
        <v>3.1</v>
      </c>
      <c r="Q773">
        <v>28</v>
      </c>
      <c r="R773" t="s">
        <v>1077</v>
      </c>
      <c r="S773">
        <v>10</v>
      </c>
      <c r="T773" t="str">
        <f>IF(Healthcare_Data[[#This Row],[Final_Bill]]&gt;=50000,"High",IF(Healthcare_Data[[#This Row],[Final_Bill]]&gt;=20000,"Medium","low"))</f>
        <v>low</v>
      </c>
    </row>
    <row r="774" spans="1:20" x14ac:dyDescent="0.3">
      <c r="A774" t="s">
        <v>829</v>
      </c>
      <c r="B774">
        <v>45936</v>
      </c>
      <c r="C774" t="s">
        <v>54</v>
      </c>
      <c r="D774" t="s">
        <v>19</v>
      </c>
      <c r="E774" t="s">
        <v>20</v>
      </c>
      <c r="F774" t="s">
        <v>21</v>
      </c>
      <c r="G774">
        <v>45</v>
      </c>
      <c r="H774" t="s">
        <v>65</v>
      </c>
      <c r="I774" t="s">
        <v>63</v>
      </c>
      <c r="J774" t="s">
        <v>36</v>
      </c>
      <c r="K774">
        <v>0</v>
      </c>
      <c r="L774">
        <v>11416</v>
      </c>
      <c r="M774">
        <v>0</v>
      </c>
      <c r="N774">
        <v>11416</v>
      </c>
      <c r="O774" t="s">
        <v>25</v>
      </c>
      <c r="P774">
        <v>5</v>
      </c>
      <c r="Q774">
        <v>32</v>
      </c>
      <c r="R774" t="s">
        <v>1077</v>
      </c>
      <c r="S774">
        <v>10</v>
      </c>
      <c r="T774" t="str">
        <f>IF(Healthcare_Data[[#This Row],[Final_Bill]]&gt;=50000,"High",IF(Healthcare_Data[[#This Row],[Final_Bill]]&gt;=20000,"Medium","low"))</f>
        <v>low</v>
      </c>
    </row>
    <row r="775" spans="1:20" x14ac:dyDescent="0.3">
      <c r="A775" t="s">
        <v>830</v>
      </c>
      <c r="B775">
        <v>45936</v>
      </c>
      <c r="C775" t="s">
        <v>44</v>
      </c>
      <c r="D775" t="s">
        <v>28</v>
      </c>
      <c r="E775" t="s">
        <v>20</v>
      </c>
      <c r="F775" t="s">
        <v>21</v>
      </c>
      <c r="G775">
        <v>45</v>
      </c>
      <c r="H775" t="s">
        <v>56</v>
      </c>
      <c r="I775" t="s">
        <v>57</v>
      </c>
      <c r="J775" t="s">
        <v>24</v>
      </c>
      <c r="K775">
        <v>0</v>
      </c>
      <c r="L775">
        <v>17549</v>
      </c>
      <c r="M775">
        <v>1500</v>
      </c>
      <c r="N775">
        <v>16049</v>
      </c>
      <c r="O775" t="s">
        <v>25</v>
      </c>
      <c r="P775">
        <v>4.7</v>
      </c>
      <c r="Q775">
        <v>13</v>
      </c>
      <c r="R775" t="s">
        <v>1077</v>
      </c>
      <c r="S775">
        <v>10</v>
      </c>
      <c r="T775" t="str">
        <f>IF(Healthcare_Data[[#This Row],[Final_Bill]]&gt;=50000,"High",IF(Healthcare_Data[[#This Row],[Final_Bill]]&gt;=20000,"Medium","low"))</f>
        <v>low</v>
      </c>
    </row>
    <row r="776" spans="1:20" x14ac:dyDescent="0.3">
      <c r="A776" t="s">
        <v>831</v>
      </c>
      <c r="B776">
        <v>45937</v>
      </c>
      <c r="C776" t="s">
        <v>18</v>
      </c>
      <c r="D776" t="s">
        <v>51</v>
      </c>
      <c r="E776" t="s">
        <v>20</v>
      </c>
      <c r="F776" t="s">
        <v>21</v>
      </c>
      <c r="G776">
        <v>64</v>
      </c>
      <c r="H776" t="s">
        <v>65</v>
      </c>
      <c r="I776" t="s">
        <v>72</v>
      </c>
      <c r="J776" t="s">
        <v>24</v>
      </c>
      <c r="K776">
        <v>0</v>
      </c>
      <c r="L776">
        <v>3785</v>
      </c>
      <c r="M776">
        <v>2000</v>
      </c>
      <c r="N776">
        <v>1785</v>
      </c>
      <c r="O776" t="s">
        <v>25</v>
      </c>
      <c r="P776">
        <v>4.2</v>
      </c>
      <c r="Q776">
        <v>64</v>
      </c>
      <c r="R776" t="s">
        <v>1077</v>
      </c>
      <c r="S776">
        <v>10</v>
      </c>
      <c r="T776" t="str">
        <f>IF(Healthcare_Data[[#This Row],[Final_Bill]]&gt;=50000,"High",IF(Healthcare_Data[[#This Row],[Final_Bill]]&gt;=20000,"Medium","low"))</f>
        <v>low</v>
      </c>
    </row>
    <row r="777" spans="1:20" x14ac:dyDescent="0.3">
      <c r="A777" t="s">
        <v>832</v>
      </c>
      <c r="B777">
        <v>45937</v>
      </c>
      <c r="C777" t="s">
        <v>27</v>
      </c>
      <c r="D777" t="s">
        <v>34</v>
      </c>
      <c r="E777" t="s">
        <v>20</v>
      </c>
      <c r="F777" t="s">
        <v>40</v>
      </c>
      <c r="G777">
        <v>64</v>
      </c>
      <c r="H777" t="s">
        <v>56</v>
      </c>
      <c r="I777" t="s">
        <v>69</v>
      </c>
      <c r="J777" t="s">
        <v>31</v>
      </c>
      <c r="K777">
        <v>0</v>
      </c>
      <c r="L777">
        <v>4411</v>
      </c>
      <c r="M777">
        <v>0</v>
      </c>
      <c r="N777">
        <v>4411</v>
      </c>
      <c r="O777" t="s">
        <v>25</v>
      </c>
      <c r="P777">
        <v>3</v>
      </c>
      <c r="Q777">
        <v>111</v>
      </c>
      <c r="R777" t="s">
        <v>1077</v>
      </c>
      <c r="S777">
        <v>10</v>
      </c>
      <c r="T777" t="str">
        <f>IF(Healthcare_Data[[#This Row],[Final_Bill]]&gt;=50000,"High",IF(Healthcare_Data[[#This Row],[Final_Bill]]&gt;=20000,"Medium","low"))</f>
        <v>low</v>
      </c>
    </row>
    <row r="778" spans="1:20" x14ac:dyDescent="0.3">
      <c r="A778" t="s">
        <v>833</v>
      </c>
      <c r="B778">
        <v>45937</v>
      </c>
      <c r="C778" t="s">
        <v>54</v>
      </c>
      <c r="D778" t="s">
        <v>28</v>
      </c>
      <c r="E778" t="s">
        <v>20</v>
      </c>
      <c r="F778" t="s">
        <v>40</v>
      </c>
      <c r="G778">
        <v>25</v>
      </c>
      <c r="H778" t="s">
        <v>22</v>
      </c>
      <c r="I778" t="s">
        <v>30</v>
      </c>
      <c r="J778" t="s">
        <v>31</v>
      </c>
      <c r="K778">
        <v>0</v>
      </c>
      <c r="L778">
        <v>16088</v>
      </c>
      <c r="M778">
        <v>2000</v>
      </c>
      <c r="N778">
        <v>14088</v>
      </c>
      <c r="O778" t="s">
        <v>25</v>
      </c>
      <c r="P778">
        <v>3.1</v>
      </c>
      <c r="Q778">
        <v>33</v>
      </c>
      <c r="R778" t="s">
        <v>1077</v>
      </c>
      <c r="S778">
        <v>10</v>
      </c>
      <c r="T778" t="str">
        <f>IF(Healthcare_Data[[#This Row],[Final_Bill]]&gt;=50000,"High",IF(Healthcare_Data[[#This Row],[Final_Bill]]&gt;=20000,"Medium","low"))</f>
        <v>low</v>
      </c>
    </row>
    <row r="779" spans="1:20" x14ac:dyDescent="0.3">
      <c r="A779" t="s">
        <v>834</v>
      </c>
      <c r="B779">
        <v>45937</v>
      </c>
      <c r="C779" t="s">
        <v>27</v>
      </c>
      <c r="D779" t="s">
        <v>39</v>
      </c>
      <c r="E779" t="s">
        <v>20</v>
      </c>
      <c r="F779" t="s">
        <v>21</v>
      </c>
      <c r="G779">
        <v>78</v>
      </c>
      <c r="H779" t="s">
        <v>115</v>
      </c>
      <c r="I779" t="s">
        <v>69</v>
      </c>
      <c r="J779" t="s">
        <v>31</v>
      </c>
      <c r="K779">
        <v>0</v>
      </c>
      <c r="L779">
        <v>12479</v>
      </c>
      <c r="M779">
        <v>0</v>
      </c>
      <c r="N779">
        <v>12479</v>
      </c>
      <c r="O779" t="s">
        <v>25</v>
      </c>
      <c r="P779">
        <v>3.7</v>
      </c>
      <c r="Q779">
        <v>62</v>
      </c>
      <c r="R779" t="s">
        <v>1077</v>
      </c>
      <c r="S779">
        <v>10</v>
      </c>
      <c r="T779" t="str">
        <f>IF(Healthcare_Data[[#This Row],[Final_Bill]]&gt;=50000,"High",IF(Healthcare_Data[[#This Row],[Final_Bill]]&gt;=20000,"Medium","low"))</f>
        <v>low</v>
      </c>
    </row>
    <row r="780" spans="1:20" x14ac:dyDescent="0.3">
      <c r="A780" t="s">
        <v>835</v>
      </c>
      <c r="B780">
        <v>45937</v>
      </c>
      <c r="C780" t="s">
        <v>18</v>
      </c>
      <c r="D780" t="s">
        <v>34</v>
      </c>
      <c r="E780" t="s">
        <v>20</v>
      </c>
      <c r="F780" t="s">
        <v>21</v>
      </c>
      <c r="G780">
        <v>60</v>
      </c>
      <c r="H780" t="s">
        <v>115</v>
      </c>
      <c r="I780" t="s">
        <v>30</v>
      </c>
      <c r="J780" t="s">
        <v>24</v>
      </c>
      <c r="K780">
        <v>0</v>
      </c>
      <c r="L780">
        <v>14307</v>
      </c>
      <c r="M780">
        <v>500</v>
      </c>
      <c r="N780">
        <v>13807</v>
      </c>
      <c r="O780" t="s">
        <v>25</v>
      </c>
      <c r="P780">
        <v>4.0999999999999996</v>
      </c>
      <c r="Q780">
        <v>35</v>
      </c>
      <c r="R780" t="s">
        <v>1077</v>
      </c>
      <c r="S780">
        <v>10</v>
      </c>
      <c r="T780" t="str">
        <f>IF(Healthcare_Data[[#This Row],[Final_Bill]]&gt;=50000,"High",IF(Healthcare_Data[[#This Row],[Final_Bill]]&gt;=20000,"Medium","low"))</f>
        <v>low</v>
      </c>
    </row>
    <row r="781" spans="1:20" x14ac:dyDescent="0.3">
      <c r="A781" t="s">
        <v>836</v>
      </c>
      <c r="B781">
        <v>45938</v>
      </c>
      <c r="C781" t="s">
        <v>27</v>
      </c>
      <c r="D781" t="s">
        <v>51</v>
      </c>
      <c r="E781" t="s">
        <v>52</v>
      </c>
      <c r="F781" t="s">
        <v>40</v>
      </c>
      <c r="G781">
        <v>74</v>
      </c>
      <c r="H781" t="s">
        <v>65</v>
      </c>
      <c r="I781" t="s">
        <v>61</v>
      </c>
      <c r="J781" t="s">
        <v>1057</v>
      </c>
      <c r="K781">
        <v>11</v>
      </c>
      <c r="L781">
        <v>17484</v>
      </c>
      <c r="M781">
        <v>0</v>
      </c>
      <c r="N781">
        <v>17484</v>
      </c>
      <c r="O781" t="s">
        <v>25</v>
      </c>
      <c r="P781">
        <v>3.8</v>
      </c>
      <c r="Q781">
        <v>70</v>
      </c>
      <c r="R781" t="s">
        <v>1077</v>
      </c>
      <c r="S781">
        <v>10</v>
      </c>
      <c r="T781" t="str">
        <f>IF(Healthcare_Data[[#This Row],[Final_Bill]]&gt;=50000,"High",IF(Healthcare_Data[[#This Row],[Final_Bill]]&gt;=20000,"Medium","low"))</f>
        <v>low</v>
      </c>
    </row>
    <row r="782" spans="1:20" x14ac:dyDescent="0.3">
      <c r="A782" t="s">
        <v>837</v>
      </c>
      <c r="B782">
        <v>45938</v>
      </c>
      <c r="C782" t="s">
        <v>67</v>
      </c>
      <c r="D782" t="s">
        <v>34</v>
      </c>
      <c r="E782" t="s">
        <v>20</v>
      </c>
      <c r="F782" t="s">
        <v>21</v>
      </c>
      <c r="G782">
        <v>22</v>
      </c>
      <c r="H782" t="s">
        <v>35</v>
      </c>
      <c r="I782" t="s">
        <v>23</v>
      </c>
      <c r="J782" t="s">
        <v>24</v>
      </c>
      <c r="K782">
        <v>0</v>
      </c>
      <c r="L782">
        <v>17201</v>
      </c>
      <c r="M782">
        <v>0</v>
      </c>
      <c r="N782">
        <v>17201</v>
      </c>
      <c r="O782" t="s">
        <v>25</v>
      </c>
      <c r="P782">
        <v>2.6</v>
      </c>
      <c r="Q782">
        <v>61</v>
      </c>
      <c r="R782" t="s">
        <v>1077</v>
      </c>
      <c r="S782">
        <v>10</v>
      </c>
      <c r="T782" t="str">
        <f>IF(Healthcare_Data[[#This Row],[Final_Bill]]&gt;=50000,"High",IF(Healthcare_Data[[#This Row],[Final_Bill]]&gt;=20000,"Medium","low"))</f>
        <v>low</v>
      </c>
    </row>
    <row r="783" spans="1:20" x14ac:dyDescent="0.3">
      <c r="A783" t="s">
        <v>838</v>
      </c>
      <c r="B783">
        <v>45939</v>
      </c>
      <c r="C783" t="s">
        <v>50</v>
      </c>
      <c r="D783" t="s">
        <v>34</v>
      </c>
      <c r="E783" t="s">
        <v>54</v>
      </c>
      <c r="F783" t="s">
        <v>40</v>
      </c>
      <c r="G783">
        <v>40</v>
      </c>
      <c r="H783" t="s">
        <v>46</v>
      </c>
      <c r="I783" t="s">
        <v>30</v>
      </c>
      <c r="J783" t="s">
        <v>31</v>
      </c>
      <c r="K783">
        <v>0</v>
      </c>
      <c r="L783">
        <v>30666</v>
      </c>
      <c r="M783">
        <v>0</v>
      </c>
      <c r="N783">
        <v>30666</v>
      </c>
      <c r="O783" t="s">
        <v>25</v>
      </c>
      <c r="P783">
        <v>4.7</v>
      </c>
      <c r="Q783">
        <v>48</v>
      </c>
      <c r="R783" t="s">
        <v>1077</v>
      </c>
      <c r="S783">
        <v>10</v>
      </c>
      <c r="T783" t="str">
        <f>IF(Healthcare_Data[[#This Row],[Final_Bill]]&gt;=50000,"High",IF(Healthcare_Data[[#This Row],[Final_Bill]]&gt;=20000,"Medium","low"))</f>
        <v>Medium</v>
      </c>
    </row>
    <row r="784" spans="1:20" x14ac:dyDescent="0.3">
      <c r="A784" t="s">
        <v>839</v>
      </c>
      <c r="B784">
        <v>45939</v>
      </c>
      <c r="C784" t="s">
        <v>27</v>
      </c>
      <c r="D784" t="s">
        <v>34</v>
      </c>
      <c r="E784" t="s">
        <v>20</v>
      </c>
      <c r="F784" t="s">
        <v>21</v>
      </c>
      <c r="G784">
        <v>19</v>
      </c>
      <c r="H784" t="s">
        <v>65</v>
      </c>
      <c r="I784" t="s">
        <v>30</v>
      </c>
      <c r="J784" t="s">
        <v>24</v>
      </c>
      <c r="K784">
        <v>0</v>
      </c>
      <c r="L784">
        <v>16775</v>
      </c>
      <c r="M784">
        <v>500</v>
      </c>
      <c r="N784">
        <v>16275</v>
      </c>
      <c r="O784" t="s">
        <v>59</v>
      </c>
      <c r="P784">
        <v>3.8</v>
      </c>
      <c r="Q784">
        <v>96</v>
      </c>
      <c r="R784" t="s">
        <v>1077</v>
      </c>
      <c r="S784">
        <v>10</v>
      </c>
      <c r="T784" t="str">
        <f>IF(Healthcare_Data[[#This Row],[Final_Bill]]&gt;=50000,"High",IF(Healthcare_Data[[#This Row],[Final_Bill]]&gt;=20000,"Medium","low"))</f>
        <v>low</v>
      </c>
    </row>
    <row r="785" spans="1:20" x14ac:dyDescent="0.3">
      <c r="A785" t="s">
        <v>840</v>
      </c>
      <c r="B785">
        <v>45939</v>
      </c>
      <c r="C785" t="s">
        <v>67</v>
      </c>
      <c r="D785" t="s">
        <v>39</v>
      </c>
      <c r="E785" t="s">
        <v>20</v>
      </c>
      <c r="F785" t="s">
        <v>21</v>
      </c>
      <c r="G785">
        <v>30</v>
      </c>
      <c r="H785" t="s">
        <v>56</v>
      </c>
      <c r="I785" t="s">
        <v>42</v>
      </c>
      <c r="J785" t="s">
        <v>24</v>
      </c>
      <c r="K785">
        <v>0</v>
      </c>
      <c r="L785">
        <v>18214</v>
      </c>
      <c r="M785">
        <v>1000</v>
      </c>
      <c r="N785">
        <v>17214</v>
      </c>
      <c r="O785" t="s">
        <v>25</v>
      </c>
      <c r="P785">
        <v>2.6</v>
      </c>
      <c r="Q785">
        <v>58</v>
      </c>
      <c r="R785" t="s">
        <v>1077</v>
      </c>
      <c r="S785">
        <v>10</v>
      </c>
      <c r="T785" t="str">
        <f>IF(Healthcare_Data[[#This Row],[Final_Bill]]&gt;=50000,"High",IF(Healthcare_Data[[#This Row],[Final_Bill]]&gt;=20000,"Medium","low"))</f>
        <v>low</v>
      </c>
    </row>
    <row r="786" spans="1:20" x14ac:dyDescent="0.3">
      <c r="A786" t="s">
        <v>841</v>
      </c>
      <c r="B786">
        <v>45940</v>
      </c>
      <c r="C786" t="s">
        <v>27</v>
      </c>
      <c r="D786" t="s">
        <v>28</v>
      </c>
      <c r="E786" t="s">
        <v>20</v>
      </c>
      <c r="F786" t="s">
        <v>21</v>
      </c>
      <c r="G786">
        <v>48</v>
      </c>
      <c r="H786" t="s">
        <v>22</v>
      </c>
      <c r="I786" t="s">
        <v>72</v>
      </c>
      <c r="J786" t="s">
        <v>58</v>
      </c>
      <c r="K786">
        <v>0</v>
      </c>
      <c r="L786">
        <v>18640</v>
      </c>
      <c r="M786">
        <v>2000</v>
      </c>
      <c r="N786">
        <v>16640</v>
      </c>
      <c r="O786" t="s">
        <v>25</v>
      </c>
      <c r="P786">
        <v>4.0999999999999996</v>
      </c>
      <c r="Q786">
        <v>20</v>
      </c>
      <c r="R786" t="s">
        <v>1077</v>
      </c>
      <c r="S786">
        <v>10</v>
      </c>
      <c r="T786" t="str">
        <f>IF(Healthcare_Data[[#This Row],[Final_Bill]]&gt;=50000,"High",IF(Healthcare_Data[[#This Row],[Final_Bill]]&gt;=20000,"Medium","low"))</f>
        <v>low</v>
      </c>
    </row>
    <row r="787" spans="1:20" x14ac:dyDescent="0.3">
      <c r="A787" t="s">
        <v>842</v>
      </c>
      <c r="B787">
        <v>45940</v>
      </c>
      <c r="C787" t="s">
        <v>48</v>
      </c>
      <c r="D787" t="s">
        <v>51</v>
      </c>
      <c r="E787" t="s">
        <v>52</v>
      </c>
      <c r="F787" t="s">
        <v>40</v>
      </c>
      <c r="G787">
        <v>70</v>
      </c>
      <c r="H787" t="s">
        <v>56</v>
      </c>
      <c r="I787" t="s">
        <v>69</v>
      </c>
      <c r="J787" t="s">
        <v>36</v>
      </c>
      <c r="K787">
        <v>5</v>
      </c>
      <c r="L787">
        <v>73830</v>
      </c>
      <c r="M787">
        <v>1500</v>
      </c>
      <c r="N787">
        <v>72330</v>
      </c>
      <c r="O787" t="s">
        <v>25</v>
      </c>
      <c r="P787">
        <v>2.9</v>
      </c>
      <c r="Q787">
        <v>23</v>
      </c>
      <c r="R787" t="s">
        <v>1077</v>
      </c>
      <c r="S787">
        <v>10</v>
      </c>
      <c r="T787" t="str">
        <f>IF(Healthcare_Data[[#This Row],[Final_Bill]]&gt;=50000,"High",IF(Healthcare_Data[[#This Row],[Final_Bill]]&gt;=20000,"Medium","low"))</f>
        <v>High</v>
      </c>
    </row>
    <row r="788" spans="1:20" x14ac:dyDescent="0.3">
      <c r="A788" t="s">
        <v>843</v>
      </c>
      <c r="B788">
        <v>45940</v>
      </c>
      <c r="C788" t="s">
        <v>27</v>
      </c>
      <c r="D788" t="s">
        <v>28</v>
      </c>
      <c r="E788" t="s">
        <v>20</v>
      </c>
      <c r="F788" t="s">
        <v>40</v>
      </c>
      <c r="G788">
        <v>35</v>
      </c>
      <c r="H788" t="s">
        <v>29</v>
      </c>
      <c r="I788" t="s">
        <v>30</v>
      </c>
      <c r="J788" t="s">
        <v>58</v>
      </c>
      <c r="K788">
        <v>0</v>
      </c>
      <c r="L788">
        <v>17743</v>
      </c>
      <c r="M788">
        <v>0</v>
      </c>
      <c r="N788">
        <v>17743</v>
      </c>
      <c r="O788" t="s">
        <v>25</v>
      </c>
      <c r="P788">
        <v>5</v>
      </c>
      <c r="Q788">
        <v>12</v>
      </c>
      <c r="R788" t="s">
        <v>1077</v>
      </c>
      <c r="S788">
        <v>10</v>
      </c>
      <c r="T788" t="str">
        <f>IF(Healthcare_Data[[#This Row],[Final_Bill]]&gt;=50000,"High",IF(Healthcare_Data[[#This Row],[Final_Bill]]&gt;=20000,"Medium","low"))</f>
        <v>low</v>
      </c>
    </row>
    <row r="789" spans="1:20" x14ac:dyDescent="0.3">
      <c r="A789" t="s">
        <v>844</v>
      </c>
      <c r="B789">
        <v>45940</v>
      </c>
      <c r="C789" t="s">
        <v>67</v>
      </c>
      <c r="D789" t="s">
        <v>28</v>
      </c>
      <c r="E789" t="s">
        <v>52</v>
      </c>
      <c r="F789" t="s">
        <v>40</v>
      </c>
      <c r="G789">
        <v>65</v>
      </c>
      <c r="H789" t="s">
        <v>46</v>
      </c>
      <c r="I789" t="s">
        <v>57</v>
      </c>
      <c r="J789" t="s">
        <v>24</v>
      </c>
      <c r="K789">
        <v>5</v>
      </c>
      <c r="L789">
        <v>39395</v>
      </c>
      <c r="M789">
        <v>500</v>
      </c>
      <c r="N789">
        <v>38895</v>
      </c>
      <c r="O789" t="s">
        <v>25</v>
      </c>
      <c r="P789">
        <v>4.7</v>
      </c>
      <c r="Q789">
        <v>72</v>
      </c>
      <c r="R789" t="s">
        <v>1077</v>
      </c>
      <c r="S789">
        <v>10</v>
      </c>
      <c r="T789" t="str">
        <f>IF(Healthcare_Data[[#This Row],[Final_Bill]]&gt;=50000,"High",IF(Healthcare_Data[[#This Row],[Final_Bill]]&gt;=20000,"Medium","low"))</f>
        <v>Medium</v>
      </c>
    </row>
    <row r="790" spans="1:20" x14ac:dyDescent="0.3">
      <c r="A790" t="s">
        <v>845</v>
      </c>
      <c r="B790">
        <v>45940</v>
      </c>
      <c r="C790" t="s">
        <v>18</v>
      </c>
      <c r="D790" t="s">
        <v>39</v>
      </c>
      <c r="E790" t="s">
        <v>20</v>
      </c>
      <c r="F790" t="s">
        <v>21</v>
      </c>
      <c r="G790">
        <v>47</v>
      </c>
      <c r="H790" t="s">
        <v>35</v>
      </c>
      <c r="I790" t="s">
        <v>23</v>
      </c>
      <c r="J790" t="s">
        <v>58</v>
      </c>
      <c r="K790">
        <v>0</v>
      </c>
      <c r="L790">
        <v>17776</v>
      </c>
      <c r="M790">
        <v>1500</v>
      </c>
      <c r="N790">
        <v>16276</v>
      </c>
      <c r="O790" t="s">
        <v>32</v>
      </c>
      <c r="P790">
        <v>4.5</v>
      </c>
      <c r="Q790">
        <v>44</v>
      </c>
      <c r="R790" t="s">
        <v>1077</v>
      </c>
      <c r="S790">
        <v>10</v>
      </c>
      <c r="T790" t="str">
        <f>IF(Healthcare_Data[[#This Row],[Final_Bill]]&gt;=50000,"High",IF(Healthcare_Data[[#This Row],[Final_Bill]]&gt;=20000,"Medium","low"))</f>
        <v>low</v>
      </c>
    </row>
    <row r="791" spans="1:20" x14ac:dyDescent="0.3">
      <c r="A791" t="s">
        <v>846</v>
      </c>
      <c r="B791">
        <v>45941</v>
      </c>
      <c r="C791" t="s">
        <v>50</v>
      </c>
      <c r="D791" t="s">
        <v>19</v>
      </c>
      <c r="E791" t="s">
        <v>20</v>
      </c>
      <c r="F791" t="s">
        <v>40</v>
      </c>
      <c r="G791">
        <v>36</v>
      </c>
      <c r="H791" t="s">
        <v>41</v>
      </c>
      <c r="I791" t="s">
        <v>61</v>
      </c>
      <c r="J791" t="s">
        <v>36</v>
      </c>
      <c r="K791">
        <v>0</v>
      </c>
      <c r="L791">
        <v>1770</v>
      </c>
      <c r="M791">
        <v>0</v>
      </c>
      <c r="N791">
        <v>1770</v>
      </c>
      <c r="O791" t="s">
        <v>25</v>
      </c>
      <c r="P791">
        <v>4.0999999999999996</v>
      </c>
      <c r="Q791">
        <v>73</v>
      </c>
      <c r="R791" t="s">
        <v>1077</v>
      </c>
      <c r="S791">
        <v>10</v>
      </c>
      <c r="T791" t="str">
        <f>IF(Healthcare_Data[[#This Row],[Final_Bill]]&gt;=50000,"High",IF(Healthcare_Data[[#This Row],[Final_Bill]]&gt;=20000,"Medium","low"))</f>
        <v>low</v>
      </c>
    </row>
    <row r="792" spans="1:20" x14ac:dyDescent="0.3">
      <c r="A792" t="s">
        <v>847</v>
      </c>
      <c r="B792">
        <v>45941</v>
      </c>
      <c r="C792" t="s">
        <v>48</v>
      </c>
      <c r="D792" t="s">
        <v>51</v>
      </c>
      <c r="E792" t="s">
        <v>54</v>
      </c>
      <c r="F792" t="s">
        <v>21</v>
      </c>
      <c r="G792">
        <v>33</v>
      </c>
      <c r="H792" t="s">
        <v>41</v>
      </c>
      <c r="I792" t="s">
        <v>30</v>
      </c>
      <c r="J792" t="s">
        <v>24</v>
      </c>
      <c r="K792">
        <v>0</v>
      </c>
      <c r="L792">
        <v>27622</v>
      </c>
      <c r="M792">
        <v>1000</v>
      </c>
      <c r="N792">
        <v>26622</v>
      </c>
      <c r="O792" t="s">
        <v>25</v>
      </c>
      <c r="P792">
        <v>4.4000000000000004</v>
      </c>
      <c r="Q792">
        <v>57</v>
      </c>
      <c r="R792" t="s">
        <v>1077</v>
      </c>
      <c r="S792">
        <v>10</v>
      </c>
      <c r="T792" t="str">
        <f>IF(Healthcare_Data[[#This Row],[Final_Bill]]&gt;=50000,"High",IF(Healthcare_Data[[#This Row],[Final_Bill]]&gt;=20000,"Medium","low"))</f>
        <v>Medium</v>
      </c>
    </row>
    <row r="793" spans="1:20" x14ac:dyDescent="0.3">
      <c r="A793" t="s">
        <v>848</v>
      </c>
      <c r="B793">
        <v>45941</v>
      </c>
      <c r="C793" t="s">
        <v>50</v>
      </c>
      <c r="D793" t="s">
        <v>28</v>
      </c>
      <c r="E793" t="s">
        <v>20</v>
      </c>
      <c r="F793" t="s">
        <v>21</v>
      </c>
      <c r="G793">
        <v>75</v>
      </c>
      <c r="H793" t="s">
        <v>22</v>
      </c>
      <c r="I793" t="s">
        <v>30</v>
      </c>
      <c r="J793" t="s">
        <v>58</v>
      </c>
      <c r="K793">
        <v>0</v>
      </c>
      <c r="L793">
        <v>12395</v>
      </c>
      <c r="M793">
        <v>0</v>
      </c>
      <c r="N793">
        <v>12395</v>
      </c>
      <c r="O793" t="s">
        <v>32</v>
      </c>
      <c r="P793">
        <v>4.0999999999999996</v>
      </c>
      <c r="Q793">
        <v>73</v>
      </c>
      <c r="R793" t="s">
        <v>1077</v>
      </c>
      <c r="S793">
        <v>10</v>
      </c>
      <c r="T793" t="str">
        <f>IF(Healthcare_Data[[#This Row],[Final_Bill]]&gt;=50000,"High",IF(Healthcare_Data[[#This Row],[Final_Bill]]&gt;=20000,"Medium","low"))</f>
        <v>low</v>
      </c>
    </row>
    <row r="794" spans="1:20" x14ac:dyDescent="0.3">
      <c r="A794" t="s">
        <v>849</v>
      </c>
      <c r="B794">
        <v>45941</v>
      </c>
      <c r="C794" t="s">
        <v>50</v>
      </c>
      <c r="D794" t="s">
        <v>19</v>
      </c>
      <c r="E794" t="s">
        <v>20</v>
      </c>
      <c r="F794" t="s">
        <v>21</v>
      </c>
      <c r="G794">
        <v>37</v>
      </c>
      <c r="H794" t="s">
        <v>41</v>
      </c>
      <c r="I794" t="s">
        <v>63</v>
      </c>
      <c r="J794" t="s">
        <v>36</v>
      </c>
      <c r="K794">
        <v>0</v>
      </c>
      <c r="L794">
        <v>5463</v>
      </c>
      <c r="M794">
        <v>1000</v>
      </c>
      <c r="N794">
        <v>4463</v>
      </c>
      <c r="O794" t="s">
        <v>25</v>
      </c>
      <c r="P794">
        <v>2.7</v>
      </c>
      <c r="Q794">
        <v>16</v>
      </c>
      <c r="R794" t="s">
        <v>1077</v>
      </c>
      <c r="S794">
        <v>10</v>
      </c>
      <c r="T794" t="str">
        <f>IF(Healthcare_Data[[#This Row],[Final_Bill]]&gt;=50000,"High",IF(Healthcare_Data[[#This Row],[Final_Bill]]&gt;=20000,"Medium","low"))</f>
        <v>low</v>
      </c>
    </row>
    <row r="795" spans="1:20" x14ac:dyDescent="0.3">
      <c r="A795" t="s">
        <v>850</v>
      </c>
      <c r="B795">
        <v>45942</v>
      </c>
      <c r="C795" t="s">
        <v>67</v>
      </c>
      <c r="D795" t="s">
        <v>19</v>
      </c>
      <c r="E795" t="s">
        <v>52</v>
      </c>
      <c r="F795" t="s">
        <v>40</v>
      </c>
      <c r="G795">
        <v>62</v>
      </c>
      <c r="H795" t="s">
        <v>65</v>
      </c>
      <c r="I795" t="s">
        <v>30</v>
      </c>
      <c r="J795" t="s">
        <v>24</v>
      </c>
      <c r="K795">
        <v>13</v>
      </c>
      <c r="L795">
        <v>28518</v>
      </c>
      <c r="M795">
        <v>1000</v>
      </c>
      <c r="N795">
        <v>27518</v>
      </c>
      <c r="O795" t="s">
        <v>32</v>
      </c>
      <c r="P795">
        <v>2.8</v>
      </c>
      <c r="Q795">
        <v>57</v>
      </c>
      <c r="R795" t="s">
        <v>1077</v>
      </c>
      <c r="S795">
        <v>10</v>
      </c>
      <c r="T795" t="str">
        <f>IF(Healthcare_Data[[#This Row],[Final_Bill]]&gt;=50000,"High",IF(Healthcare_Data[[#This Row],[Final_Bill]]&gt;=20000,"Medium","low"))</f>
        <v>Medium</v>
      </c>
    </row>
    <row r="796" spans="1:20" x14ac:dyDescent="0.3">
      <c r="A796" t="s">
        <v>851</v>
      </c>
      <c r="B796">
        <v>45942</v>
      </c>
      <c r="C796" t="s">
        <v>38</v>
      </c>
      <c r="D796" t="s">
        <v>28</v>
      </c>
      <c r="E796" t="s">
        <v>52</v>
      </c>
      <c r="F796" t="s">
        <v>40</v>
      </c>
      <c r="G796">
        <v>57</v>
      </c>
      <c r="H796" t="s">
        <v>29</v>
      </c>
      <c r="I796" t="s">
        <v>61</v>
      </c>
      <c r="J796" t="s">
        <v>36</v>
      </c>
      <c r="K796">
        <v>13</v>
      </c>
      <c r="L796">
        <v>61882</v>
      </c>
      <c r="M796">
        <v>0</v>
      </c>
      <c r="N796">
        <v>61882</v>
      </c>
      <c r="O796" t="s">
        <v>25</v>
      </c>
      <c r="P796">
        <v>4.5999999999999996</v>
      </c>
      <c r="Q796">
        <v>67</v>
      </c>
      <c r="R796" t="s">
        <v>1077</v>
      </c>
      <c r="S796">
        <v>10</v>
      </c>
      <c r="T796" t="str">
        <f>IF(Healthcare_Data[[#This Row],[Final_Bill]]&gt;=50000,"High",IF(Healthcare_Data[[#This Row],[Final_Bill]]&gt;=20000,"Medium","low"))</f>
        <v>High</v>
      </c>
    </row>
    <row r="797" spans="1:20" x14ac:dyDescent="0.3">
      <c r="A797" t="s">
        <v>852</v>
      </c>
      <c r="B797">
        <v>45942</v>
      </c>
      <c r="C797" t="s">
        <v>44</v>
      </c>
      <c r="D797" t="s">
        <v>19</v>
      </c>
      <c r="E797" t="s">
        <v>20</v>
      </c>
      <c r="F797" t="s">
        <v>21</v>
      </c>
      <c r="G797">
        <v>75</v>
      </c>
      <c r="H797" t="s">
        <v>56</v>
      </c>
      <c r="I797" t="s">
        <v>61</v>
      </c>
      <c r="J797" t="s">
        <v>58</v>
      </c>
      <c r="K797">
        <v>0</v>
      </c>
      <c r="L797">
        <v>3847</v>
      </c>
      <c r="M797">
        <v>500</v>
      </c>
      <c r="N797">
        <v>3347</v>
      </c>
      <c r="O797" t="s">
        <v>25</v>
      </c>
      <c r="P797">
        <v>3</v>
      </c>
      <c r="Q797">
        <v>49</v>
      </c>
      <c r="R797" t="s">
        <v>1077</v>
      </c>
      <c r="S797">
        <v>10</v>
      </c>
      <c r="T797" t="str">
        <f>IF(Healthcare_Data[[#This Row],[Final_Bill]]&gt;=50000,"High",IF(Healthcare_Data[[#This Row],[Final_Bill]]&gt;=20000,"Medium","low"))</f>
        <v>low</v>
      </c>
    </row>
    <row r="798" spans="1:20" x14ac:dyDescent="0.3">
      <c r="A798" t="s">
        <v>853</v>
      </c>
      <c r="B798">
        <v>45943</v>
      </c>
      <c r="C798" t="s">
        <v>50</v>
      </c>
      <c r="D798" t="s">
        <v>34</v>
      </c>
      <c r="E798" t="s">
        <v>20</v>
      </c>
      <c r="F798" t="s">
        <v>40</v>
      </c>
      <c r="G798">
        <v>40</v>
      </c>
      <c r="H798" t="s">
        <v>29</v>
      </c>
      <c r="I798" t="s">
        <v>23</v>
      </c>
      <c r="J798" t="s">
        <v>31</v>
      </c>
      <c r="K798">
        <v>0</v>
      </c>
      <c r="L798">
        <v>1581</v>
      </c>
      <c r="M798">
        <v>0</v>
      </c>
      <c r="N798">
        <v>1581</v>
      </c>
      <c r="O798" t="s">
        <v>25</v>
      </c>
      <c r="P798">
        <v>5</v>
      </c>
      <c r="Q798">
        <v>102</v>
      </c>
      <c r="R798" t="s">
        <v>1077</v>
      </c>
      <c r="S798">
        <v>10</v>
      </c>
      <c r="T798" t="str">
        <f>IF(Healthcare_Data[[#This Row],[Final_Bill]]&gt;=50000,"High",IF(Healthcare_Data[[#This Row],[Final_Bill]]&gt;=20000,"Medium","low"))</f>
        <v>low</v>
      </c>
    </row>
    <row r="799" spans="1:20" x14ac:dyDescent="0.3">
      <c r="A799" t="s">
        <v>854</v>
      </c>
      <c r="B799">
        <v>45943</v>
      </c>
      <c r="C799" t="s">
        <v>67</v>
      </c>
      <c r="D799" t="s">
        <v>28</v>
      </c>
      <c r="E799" t="s">
        <v>20</v>
      </c>
      <c r="F799" t="s">
        <v>40</v>
      </c>
      <c r="G799">
        <v>65</v>
      </c>
      <c r="H799" t="s">
        <v>41</v>
      </c>
      <c r="I799" t="s">
        <v>63</v>
      </c>
      <c r="J799" t="s">
        <v>58</v>
      </c>
      <c r="K799">
        <v>0</v>
      </c>
      <c r="L799">
        <v>11802</v>
      </c>
      <c r="M799">
        <v>0</v>
      </c>
      <c r="N799">
        <v>11802</v>
      </c>
      <c r="O799" t="s">
        <v>25</v>
      </c>
      <c r="P799">
        <v>3.9</v>
      </c>
      <c r="Q799">
        <v>116</v>
      </c>
      <c r="R799" t="s">
        <v>1077</v>
      </c>
      <c r="S799">
        <v>10</v>
      </c>
      <c r="T799" t="str">
        <f>IF(Healthcare_Data[[#This Row],[Final_Bill]]&gt;=50000,"High",IF(Healthcare_Data[[#This Row],[Final_Bill]]&gt;=20000,"Medium","low"))</f>
        <v>low</v>
      </c>
    </row>
    <row r="800" spans="1:20" x14ac:dyDescent="0.3">
      <c r="A800" t="s">
        <v>855</v>
      </c>
      <c r="B800">
        <v>45943</v>
      </c>
      <c r="C800" t="s">
        <v>50</v>
      </c>
      <c r="D800" t="s">
        <v>51</v>
      </c>
      <c r="E800" t="s">
        <v>20</v>
      </c>
      <c r="F800" t="s">
        <v>21</v>
      </c>
      <c r="G800">
        <v>55</v>
      </c>
      <c r="H800" t="s">
        <v>65</v>
      </c>
      <c r="I800" t="s">
        <v>72</v>
      </c>
      <c r="J800" t="s">
        <v>36</v>
      </c>
      <c r="K800">
        <v>0</v>
      </c>
      <c r="L800">
        <v>7438</v>
      </c>
      <c r="M800">
        <v>0</v>
      </c>
      <c r="N800">
        <v>7438</v>
      </c>
      <c r="O800" t="s">
        <v>25</v>
      </c>
      <c r="P800">
        <v>3.9</v>
      </c>
      <c r="Q800">
        <v>98</v>
      </c>
      <c r="R800" t="s">
        <v>1077</v>
      </c>
      <c r="S800">
        <v>10</v>
      </c>
      <c r="T800" t="str">
        <f>IF(Healthcare_Data[[#This Row],[Final_Bill]]&gt;=50000,"High",IF(Healthcare_Data[[#This Row],[Final_Bill]]&gt;=20000,"Medium","low"))</f>
        <v>low</v>
      </c>
    </row>
    <row r="801" spans="1:20" x14ac:dyDescent="0.3">
      <c r="A801" t="s">
        <v>856</v>
      </c>
      <c r="B801">
        <v>45943</v>
      </c>
      <c r="C801" t="s">
        <v>54</v>
      </c>
      <c r="D801" t="s">
        <v>28</v>
      </c>
      <c r="E801" t="s">
        <v>52</v>
      </c>
      <c r="F801" t="s">
        <v>21</v>
      </c>
      <c r="G801">
        <v>73</v>
      </c>
      <c r="H801" t="s">
        <v>35</v>
      </c>
      <c r="I801" t="s">
        <v>61</v>
      </c>
      <c r="J801" t="s">
        <v>24</v>
      </c>
      <c r="K801">
        <v>6</v>
      </c>
      <c r="L801">
        <v>71308</v>
      </c>
      <c r="M801">
        <v>0</v>
      </c>
      <c r="N801">
        <v>71308</v>
      </c>
      <c r="O801" t="s">
        <v>25</v>
      </c>
      <c r="P801">
        <v>3.7</v>
      </c>
      <c r="Q801">
        <v>22</v>
      </c>
      <c r="R801" t="s">
        <v>1077</v>
      </c>
      <c r="S801">
        <v>10</v>
      </c>
      <c r="T801" t="str">
        <f>IF(Healthcare_Data[[#This Row],[Final_Bill]]&gt;=50000,"High",IF(Healthcare_Data[[#This Row],[Final_Bill]]&gt;=20000,"Medium","low"))</f>
        <v>High</v>
      </c>
    </row>
    <row r="802" spans="1:20" x14ac:dyDescent="0.3">
      <c r="A802" t="s">
        <v>857</v>
      </c>
      <c r="B802">
        <v>45943</v>
      </c>
      <c r="C802" t="s">
        <v>54</v>
      </c>
      <c r="D802" t="s">
        <v>51</v>
      </c>
      <c r="E802" t="s">
        <v>52</v>
      </c>
      <c r="F802" t="s">
        <v>40</v>
      </c>
      <c r="G802">
        <v>34</v>
      </c>
      <c r="H802" t="s">
        <v>35</v>
      </c>
      <c r="I802" t="s">
        <v>72</v>
      </c>
      <c r="J802" t="s">
        <v>31</v>
      </c>
      <c r="K802">
        <v>11</v>
      </c>
      <c r="L802">
        <v>52552</v>
      </c>
      <c r="M802">
        <v>1500</v>
      </c>
      <c r="N802">
        <v>51052</v>
      </c>
      <c r="O802" t="s">
        <v>25</v>
      </c>
      <c r="P802">
        <v>3.6</v>
      </c>
      <c r="Q802">
        <v>102</v>
      </c>
      <c r="R802" t="s">
        <v>1077</v>
      </c>
      <c r="S802">
        <v>10</v>
      </c>
      <c r="T802" t="str">
        <f>IF(Healthcare_Data[[#This Row],[Final_Bill]]&gt;=50000,"High",IF(Healthcare_Data[[#This Row],[Final_Bill]]&gt;=20000,"Medium","low"))</f>
        <v>High</v>
      </c>
    </row>
    <row r="803" spans="1:20" x14ac:dyDescent="0.3">
      <c r="A803" t="s">
        <v>858</v>
      </c>
      <c r="B803">
        <v>45945</v>
      </c>
      <c r="C803" t="s">
        <v>67</v>
      </c>
      <c r="D803" t="s">
        <v>39</v>
      </c>
      <c r="E803" t="s">
        <v>54</v>
      </c>
      <c r="F803" t="s">
        <v>21</v>
      </c>
      <c r="G803">
        <v>48</v>
      </c>
      <c r="H803" t="s">
        <v>56</v>
      </c>
      <c r="I803" t="s">
        <v>23</v>
      </c>
      <c r="J803" t="s">
        <v>36</v>
      </c>
      <c r="K803">
        <v>0</v>
      </c>
      <c r="L803">
        <v>18447</v>
      </c>
      <c r="M803">
        <v>1000</v>
      </c>
      <c r="N803">
        <v>17447</v>
      </c>
      <c r="O803" t="s">
        <v>25</v>
      </c>
      <c r="P803">
        <v>4.5</v>
      </c>
      <c r="Q803">
        <v>108</v>
      </c>
      <c r="R803" t="s">
        <v>1077</v>
      </c>
      <c r="S803">
        <v>10</v>
      </c>
      <c r="T803" t="str">
        <f>IF(Healthcare_Data[[#This Row],[Final_Bill]]&gt;=50000,"High",IF(Healthcare_Data[[#This Row],[Final_Bill]]&gt;=20000,"Medium","low"))</f>
        <v>low</v>
      </c>
    </row>
    <row r="804" spans="1:20" x14ac:dyDescent="0.3">
      <c r="A804" t="s">
        <v>859</v>
      </c>
      <c r="B804">
        <v>45945</v>
      </c>
      <c r="C804" t="s">
        <v>50</v>
      </c>
      <c r="D804" t="s">
        <v>19</v>
      </c>
      <c r="E804" t="s">
        <v>52</v>
      </c>
      <c r="F804" t="s">
        <v>21</v>
      </c>
      <c r="G804">
        <v>59</v>
      </c>
      <c r="H804" t="s">
        <v>65</v>
      </c>
      <c r="I804" t="s">
        <v>61</v>
      </c>
      <c r="J804" t="s">
        <v>31</v>
      </c>
      <c r="K804">
        <v>13</v>
      </c>
      <c r="L804">
        <v>71115</v>
      </c>
      <c r="M804">
        <v>1500</v>
      </c>
      <c r="N804">
        <v>69615</v>
      </c>
      <c r="O804" t="s">
        <v>25</v>
      </c>
      <c r="P804">
        <v>3.9</v>
      </c>
      <c r="Q804">
        <v>92</v>
      </c>
      <c r="R804" t="s">
        <v>1077</v>
      </c>
      <c r="S804">
        <v>10</v>
      </c>
      <c r="T804" t="str">
        <f>IF(Healthcare_Data[[#This Row],[Final_Bill]]&gt;=50000,"High",IF(Healthcare_Data[[#This Row],[Final_Bill]]&gt;=20000,"Medium","low"))</f>
        <v>High</v>
      </c>
    </row>
    <row r="805" spans="1:20" x14ac:dyDescent="0.3">
      <c r="A805" t="s">
        <v>860</v>
      </c>
      <c r="B805">
        <v>45945</v>
      </c>
      <c r="C805" t="s">
        <v>44</v>
      </c>
      <c r="D805" t="s">
        <v>51</v>
      </c>
      <c r="E805" t="s">
        <v>54</v>
      </c>
      <c r="F805" t="s">
        <v>21</v>
      </c>
      <c r="G805">
        <v>68</v>
      </c>
      <c r="H805" t="s">
        <v>41</v>
      </c>
      <c r="I805" t="s">
        <v>61</v>
      </c>
      <c r="J805" t="s">
        <v>31</v>
      </c>
      <c r="K805">
        <v>0</v>
      </c>
      <c r="L805">
        <v>28707</v>
      </c>
      <c r="M805">
        <v>500</v>
      </c>
      <c r="N805">
        <v>28207</v>
      </c>
      <c r="O805" t="s">
        <v>25</v>
      </c>
      <c r="P805">
        <v>3.2</v>
      </c>
      <c r="Q805">
        <v>85</v>
      </c>
      <c r="R805" t="s">
        <v>1077</v>
      </c>
      <c r="S805">
        <v>10</v>
      </c>
      <c r="T805" t="str">
        <f>IF(Healthcare_Data[[#This Row],[Final_Bill]]&gt;=50000,"High",IF(Healthcare_Data[[#This Row],[Final_Bill]]&gt;=20000,"Medium","low"))</f>
        <v>Medium</v>
      </c>
    </row>
    <row r="806" spans="1:20" x14ac:dyDescent="0.3">
      <c r="A806" t="s">
        <v>861</v>
      </c>
      <c r="B806">
        <v>45946</v>
      </c>
      <c r="C806" t="s">
        <v>50</v>
      </c>
      <c r="D806" t="s">
        <v>39</v>
      </c>
      <c r="E806" t="s">
        <v>52</v>
      </c>
      <c r="F806" t="s">
        <v>21</v>
      </c>
      <c r="G806">
        <v>72</v>
      </c>
      <c r="H806" t="s">
        <v>29</v>
      </c>
      <c r="I806" t="s">
        <v>30</v>
      </c>
      <c r="J806" t="s">
        <v>36</v>
      </c>
      <c r="K806">
        <v>6</v>
      </c>
      <c r="L806">
        <v>72312</v>
      </c>
      <c r="M806">
        <v>0</v>
      </c>
      <c r="N806">
        <v>72312</v>
      </c>
      <c r="O806" t="s">
        <v>32</v>
      </c>
      <c r="P806">
        <v>3.7</v>
      </c>
      <c r="Q806">
        <v>92</v>
      </c>
      <c r="R806" t="s">
        <v>1077</v>
      </c>
      <c r="S806">
        <v>10</v>
      </c>
      <c r="T806" t="str">
        <f>IF(Healthcare_Data[[#This Row],[Final_Bill]]&gt;=50000,"High",IF(Healthcare_Data[[#This Row],[Final_Bill]]&gt;=20000,"Medium","low"))</f>
        <v>High</v>
      </c>
    </row>
    <row r="807" spans="1:20" x14ac:dyDescent="0.3">
      <c r="A807" t="s">
        <v>862</v>
      </c>
      <c r="B807">
        <v>45946</v>
      </c>
      <c r="C807" t="s">
        <v>54</v>
      </c>
      <c r="D807" t="s">
        <v>39</v>
      </c>
      <c r="E807" t="s">
        <v>20</v>
      </c>
      <c r="F807" t="s">
        <v>40</v>
      </c>
      <c r="G807">
        <v>80</v>
      </c>
      <c r="H807" t="s">
        <v>46</v>
      </c>
      <c r="I807" t="s">
        <v>42</v>
      </c>
      <c r="J807" t="s">
        <v>24</v>
      </c>
      <c r="K807">
        <v>0</v>
      </c>
      <c r="L807">
        <v>17424</v>
      </c>
      <c r="M807">
        <v>500</v>
      </c>
      <c r="N807">
        <v>16924</v>
      </c>
      <c r="O807" t="s">
        <v>25</v>
      </c>
      <c r="P807">
        <v>3</v>
      </c>
      <c r="Q807">
        <v>15</v>
      </c>
      <c r="R807" t="s">
        <v>1077</v>
      </c>
      <c r="S807">
        <v>10</v>
      </c>
      <c r="T807" t="str">
        <f>IF(Healthcare_Data[[#This Row],[Final_Bill]]&gt;=50000,"High",IF(Healthcare_Data[[#This Row],[Final_Bill]]&gt;=20000,"Medium","low"))</f>
        <v>low</v>
      </c>
    </row>
    <row r="808" spans="1:20" x14ac:dyDescent="0.3">
      <c r="A808" t="s">
        <v>863</v>
      </c>
      <c r="B808">
        <v>45946</v>
      </c>
      <c r="C808" t="s">
        <v>18</v>
      </c>
      <c r="D808" t="s">
        <v>19</v>
      </c>
      <c r="E808" t="s">
        <v>20</v>
      </c>
      <c r="F808" t="s">
        <v>21</v>
      </c>
      <c r="G808">
        <v>71</v>
      </c>
      <c r="H808" t="s">
        <v>65</v>
      </c>
      <c r="I808" t="s">
        <v>42</v>
      </c>
      <c r="J808" t="s">
        <v>31</v>
      </c>
      <c r="K808">
        <v>0</v>
      </c>
      <c r="L808">
        <v>19884</v>
      </c>
      <c r="M808">
        <v>1000</v>
      </c>
      <c r="N808">
        <v>18884</v>
      </c>
      <c r="O808" t="s">
        <v>25</v>
      </c>
      <c r="P808">
        <v>4.9000000000000004</v>
      </c>
      <c r="Q808">
        <v>60</v>
      </c>
      <c r="R808" t="s">
        <v>1077</v>
      </c>
      <c r="S808">
        <v>10</v>
      </c>
      <c r="T808" t="str">
        <f>IF(Healthcare_Data[[#This Row],[Final_Bill]]&gt;=50000,"High",IF(Healthcare_Data[[#This Row],[Final_Bill]]&gt;=20000,"Medium","low"))</f>
        <v>low</v>
      </c>
    </row>
    <row r="809" spans="1:20" x14ac:dyDescent="0.3">
      <c r="A809" t="s">
        <v>864</v>
      </c>
      <c r="B809">
        <v>45946</v>
      </c>
      <c r="C809" t="s">
        <v>27</v>
      </c>
      <c r="D809" t="s">
        <v>34</v>
      </c>
      <c r="E809" t="s">
        <v>52</v>
      </c>
      <c r="F809" t="s">
        <v>40</v>
      </c>
      <c r="G809">
        <v>34</v>
      </c>
      <c r="H809" t="s">
        <v>56</v>
      </c>
      <c r="I809" t="s">
        <v>69</v>
      </c>
      <c r="J809" t="s">
        <v>31</v>
      </c>
      <c r="K809">
        <v>2</v>
      </c>
      <c r="L809">
        <v>36942</v>
      </c>
      <c r="M809">
        <v>1000</v>
      </c>
      <c r="N809">
        <v>35942</v>
      </c>
      <c r="O809" t="s">
        <v>25</v>
      </c>
      <c r="P809">
        <v>3.1</v>
      </c>
      <c r="Q809">
        <v>93</v>
      </c>
      <c r="R809" t="s">
        <v>1077</v>
      </c>
      <c r="S809">
        <v>10</v>
      </c>
      <c r="T809" t="str">
        <f>IF(Healthcare_Data[[#This Row],[Final_Bill]]&gt;=50000,"High",IF(Healthcare_Data[[#This Row],[Final_Bill]]&gt;=20000,"Medium","low"))</f>
        <v>Medium</v>
      </c>
    </row>
    <row r="810" spans="1:20" x14ac:dyDescent="0.3">
      <c r="A810" t="s">
        <v>865</v>
      </c>
      <c r="B810">
        <v>45946</v>
      </c>
      <c r="C810" t="s">
        <v>38</v>
      </c>
      <c r="D810" t="s">
        <v>39</v>
      </c>
      <c r="E810" t="s">
        <v>20</v>
      </c>
      <c r="F810" t="s">
        <v>21</v>
      </c>
      <c r="G810">
        <v>43</v>
      </c>
      <c r="H810" t="s">
        <v>46</v>
      </c>
      <c r="I810" t="s">
        <v>69</v>
      </c>
      <c r="J810" t="s">
        <v>36</v>
      </c>
      <c r="K810">
        <v>0</v>
      </c>
      <c r="L810">
        <v>12588</v>
      </c>
      <c r="M810">
        <v>1000</v>
      </c>
      <c r="N810">
        <v>11588</v>
      </c>
      <c r="O810" t="s">
        <v>32</v>
      </c>
      <c r="P810">
        <v>3.2</v>
      </c>
      <c r="Q810">
        <v>23</v>
      </c>
      <c r="R810" t="s">
        <v>1077</v>
      </c>
      <c r="S810">
        <v>10</v>
      </c>
      <c r="T810" t="str">
        <f>IF(Healthcare_Data[[#This Row],[Final_Bill]]&gt;=50000,"High",IF(Healthcare_Data[[#This Row],[Final_Bill]]&gt;=20000,"Medium","low"))</f>
        <v>low</v>
      </c>
    </row>
    <row r="811" spans="1:20" x14ac:dyDescent="0.3">
      <c r="A811" t="s">
        <v>866</v>
      </c>
      <c r="B811">
        <v>45947</v>
      </c>
      <c r="C811" t="s">
        <v>54</v>
      </c>
      <c r="D811" t="s">
        <v>39</v>
      </c>
      <c r="E811" t="s">
        <v>20</v>
      </c>
      <c r="F811" t="s">
        <v>21</v>
      </c>
      <c r="G811">
        <v>80</v>
      </c>
      <c r="H811" t="s">
        <v>46</v>
      </c>
      <c r="I811" t="s">
        <v>42</v>
      </c>
      <c r="J811" t="s">
        <v>24</v>
      </c>
      <c r="K811">
        <v>0</v>
      </c>
      <c r="L811">
        <v>16176</v>
      </c>
      <c r="M811">
        <v>1500</v>
      </c>
      <c r="N811">
        <v>14676</v>
      </c>
      <c r="O811" t="s">
        <v>25</v>
      </c>
      <c r="P811">
        <v>4.2</v>
      </c>
      <c r="Q811">
        <v>118</v>
      </c>
      <c r="R811" t="s">
        <v>1077</v>
      </c>
      <c r="S811">
        <v>10</v>
      </c>
      <c r="T811" t="str">
        <f>IF(Healthcare_Data[[#This Row],[Final_Bill]]&gt;=50000,"High",IF(Healthcare_Data[[#This Row],[Final_Bill]]&gt;=20000,"Medium","low"))</f>
        <v>low</v>
      </c>
    </row>
    <row r="812" spans="1:20" x14ac:dyDescent="0.3">
      <c r="A812" t="s">
        <v>867</v>
      </c>
      <c r="B812">
        <v>45947</v>
      </c>
      <c r="C812" t="s">
        <v>27</v>
      </c>
      <c r="D812" t="s">
        <v>39</v>
      </c>
      <c r="E812" t="s">
        <v>20</v>
      </c>
      <c r="F812" t="s">
        <v>40</v>
      </c>
      <c r="G812">
        <v>44</v>
      </c>
      <c r="H812" t="s">
        <v>29</v>
      </c>
      <c r="I812" t="s">
        <v>57</v>
      </c>
      <c r="J812" t="s">
        <v>58</v>
      </c>
      <c r="K812">
        <v>0</v>
      </c>
      <c r="L812">
        <v>11982</v>
      </c>
      <c r="M812">
        <v>500</v>
      </c>
      <c r="N812">
        <v>11482</v>
      </c>
      <c r="O812" t="s">
        <v>25</v>
      </c>
      <c r="P812">
        <v>2.5</v>
      </c>
      <c r="Q812">
        <v>25</v>
      </c>
      <c r="R812" t="s">
        <v>1077</v>
      </c>
      <c r="S812">
        <v>10</v>
      </c>
      <c r="T812" t="str">
        <f>IF(Healthcare_Data[[#This Row],[Final_Bill]]&gt;=50000,"High",IF(Healthcare_Data[[#This Row],[Final_Bill]]&gt;=20000,"Medium","low"))</f>
        <v>low</v>
      </c>
    </row>
    <row r="813" spans="1:20" x14ac:dyDescent="0.3">
      <c r="A813" t="s">
        <v>868</v>
      </c>
      <c r="B813">
        <v>45949</v>
      </c>
      <c r="C813" t="s">
        <v>27</v>
      </c>
      <c r="D813" t="s">
        <v>34</v>
      </c>
      <c r="E813" t="s">
        <v>20</v>
      </c>
      <c r="F813" t="s">
        <v>40</v>
      </c>
      <c r="G813">
        <v>64</v>
      </c>
      <c r="H813" t="s">
        <v>22</v>
      </c>
      <c r="I813" t="s">
        <v>57</v>
      </c>
      <c r="J813" t="s">
        <v>31</v>
      </c>
      <c r="K813">
        <v>0</v>
      </c>
      <c r="L813">
        <v>19681</v>
      </c>
      <c r="M813">
        <v>0</v>
      </c>
      <c r="N813">
        <v>19681</v>
      </c>
      <c r="O813" t="s">
        <v>25</v>
      </c>
      <c r="P813">
        <v>2.9</v>
      </c>
      <c r="Q813">
        <v>81</v>
      </c>
      <c r="R813" t="s">
        <v>1077</v>
      </c>
      <c r="S813">
        <v>10</v>
      </c>
      <c r="T813" t="str">
        <f>IF(Healthcare_Data[[#This Row],[Final_Bill]]&gt;=50000,"High",IF(Healthcare_Data[[#This Row],[Final_Bill]]&gt;=20000,"Medium","low"))</f>
        <v>low</v>
      </c>
    </row>
    <row r="814" spans="1:20" x14ac:dyDescent="0.3">
      <c r="A814" t="s">
        <v>869</v>
      </c>
      <c r="B814">
        <v>45949</v>
      </c>
      <c r="C814" t="s">
        <v>48</v>
      </c>
      <c r="D814" t="s">
        <v>28</v>
      </c>
      <c r="E814" t="s">
        <v>20</v>
      </c>
      <c r="F814" t="s">
        <v>21</v>
      </c>
      <c r="G814">
        <v>73</v>
      </c>
      <c r="H814" t="s">
        <v>35</v>
      </c>
      <c r="I814" t="s">
        <v>23</v>
      </c>
      <c r="J814" t="s">
        <v>24</v>
      </c>
      <c r="K814">
        <v>0</v>
      </c>
      <c r="L814">
        <v>11860</v>
      </c>
      <c r="M814">
        <v>2000</v>
      </c>
      <c r="N814">
        <v>9860</v>
      </c>
      <c r="O814" t="s">
        <v>25</v>
      </c>
      <c r="P814">
        <v>4</v>
      </c>
      <c r="Q814">
        <v>26</v>
      </c>
      <c r="R814" t="s">
        <v>1077</v>
      </c>
      <c r="S814">
        <v>10</v>
      </c>
      <c r="T814" t="str">
        <f>IF(Healthcare_Data[[#This Row],[Final_Bill]]&gt;=50000,"High",IF(Healthcare_Data[[#This Row],[Final_Bill]]&gt;=20000,"Medium","low"))</f>
        <v>low</v>
      </c>
    </row>
    <row r="815" spans="1:20" x14ac:dyDescent="0.3">
      <c r="A815" t="s">
        <v>870</v>
      </c>
      <c r="B815">
        <v>45950</v>
      </c>
      <c r="C815" t="s">
        <v>38</v>
      </c>
      <c r="D815" t="s">
        <v>39</v>
      </c>
      <c r="E815" t="s">
        <v>20</v>
      </c>
      <c r="F815" t="s">
        <v>40</v>
      </c>
      <c r="G815">
        <v>54</v>
      </c>
      <c r="H815" t="s">
        <v>29</v>
      </c>
      <c r="I815" t="s">
        <v>61</v>
      </c>
      <c r="J815" t="s">
        <v>36</v>
      </c>
      <c r="K815">
        <v>0</v>
      </c>
      <c r="L815">
        <v>12071</v>
      </c>
      <c r="M815">
        <v>0</v>
      </c>
      <c r="N815">
        <v>12071</v>
      </c>
      <c r="O815" t="s">
        <v>59</v>
      </c>
      <c r="P815">
        <v>3</v>
      </c>
      <c r="Q815">
        <v>38</v>
      </c>
      <c r="R815" t="s">
        <v>1077</v>
      </c>
      <c r="S815">
        <v>10</v>
      </c>
      <c r="T815" t="str">
        <f>IF(Healthcare_Data[[#This Row],[Final_Bill]]&gt;=50000,"High",IF(Healthcare_Data[[#This Row],[Final_Bill]]&gt;=20000,"Medium","low"))</f>
        <v>low</v>
      </c>
    </row>
    <row r="816" spans="1:20" x14ac:dyDescent="0.3">
      <c r="A816" t="s">
        <v>871</v>
      </c>
      <c r="B816">
        <v>45950</v>
      </c>
      <c r="C816" t="s">
        <v>38</v>
      </c>
      <c r="D816" t="s">
        <v>19</v>
      </c>
      <c r="E816" t="s">
        <v>20</v>
      </c>
      <c r="F816" t="s">
        <v>40</v>
      </c>
      <c r="G816">
        <v>61</v>
      </c>
      <c r="H816" t="s">
        <v>46</v>
      </c>
      <c r="I816" t="s">
        <v>63</v>
      </c>
      <c r="J816" t="s">
        <v>58</v>
      </c>
      <c r="K816">
        <v>0</v>
      </c>
      <c r="L816">
        <v>14394</v>
      </c>
      <c r="M816">
        <v>0</v>
      </c>
      <c r="N816">
        <v>14394</v>
      </c>
      <c r="O816" t="s">
        <v>25</v>
      </c>
      <c r="P816">
        <v>3.9</v>
      </c>
      <c r="Q816">
        <v>8</v>
      </c>
      <c r="R816" t="s">
        <v>1077</v>
      </c>
      <c r="S816">
        <v>10</v>
      </c>
      <c r="T816" t="str">
        <f>IF(Healthcare_Data[[#This Row],[Final_Bill]]&gt;=50000,"High",IF(Healthcare_Data[[#This Row],[Final_Bill]]&gt;=20000,"Medium","low"))</f>
        <v>low</v>
      </c>
    </row>
    <row r="817" spans="1:20" x14ac:dyDescent="0.3">
      <c r="A817" t="s">
        <v>872</v>
      </c>
      <c r="B817">
        <v>45951</v>
      </c>
      <c r="C817" t="s">
        <v>54</v>
      </c>
      <c r="D817" t="s">
        <v>19</v>
      </c>
      <c r="E817" t="s">
        <v>20</v>
      </c>
      <c r="F817" t="s">
        <v>21</v>
      </c>
      <c r="G817">
        <v>72</v>
      </c>
      <c r="H817" t="s">
        <v>29</v>
      </c>
      <c r="I817" t="s">
        <v>63</v>
      </c>
      <c r="J817" t="s">
        <v>24</v>
      </c>
      <c r="K817">
        <v>0</v>
      </c>
      <c r="L817">
        <v>14811</v>
      </c>
      <c r="M817">
        <v>500</v>
      </c>
      <c r="N817">
        <v>14311</v>
      </c>
      <c r="O817" t="s">
        <v>25</v>
      </c>
      <c r="P817" t="s">
        <v>1057</v>
      </c>
      <c r="Q817">
        <v>56</v>
      </c>
      <c r="R817" t="s">
        <v>1077</v>
      </c>
      <c r="S817">
        <v>10</v>
      </c>
      <c r="T817" t="str">
        <f>IF(Healthcare_Data[[#This Row],[Final_Bill]]&gt;=50000,"High",IF(Healthcare_Data[[#This Row],[Final_Bill]]&gt;=20000,"Medium","low"))</f>
        <v>low</v>
      </c>
    </row>
    <row r="818" spans="1:20" x14ac:dyDescent="0.3">
      <c r="A818" t="s">
        <v>873</v>
      </c>
      <c r="B818">
        <v>45951</v>
      </c>
      <c r="C818" t="s">
        <v>67</v>
      </c>
      <c r="D818" t="s">
        <v>19</v>
      </c>
      <c r="E818" t="s">
        <v>20</v>
      </c>
      <c r="F818" t="s">
        <v>40</v>
      </c>
      <c r="G818">
        <v>24</v>
      </c>
      <c r="H818" t="s">
        <v>41</v>
      </c>
      <c r="I818" t="s">
        <v>30</v>
      </c>
      <c r="J818" t="s">
        <v>36</v>
      </c>
      <c r="K818">
        <v>0</v>
      </c>
      <c r="L818">
        <v>12590</v>
      </c>
      <c r="M818">
        <v>500</v>
      </c>
      <c r="N818">
        <v>12090</v>
      </c>
      <c r="O818" t="s">
        <v>32</v>
      </c>
      <c r="P818">
        <v>4.5</v>
      </c>
      <c r="Q818">
        <v>23</v>
      </c>
      <c r="R818" t="s">
        <v>1077</v>
      </c>
      <c r="S818">
        <v>10</v>
      </c>
      <c r="T818" t="str">
        <f>IF(Healthcare_Data[[#This Row],[Final_Bill]]&gt;=50000,"High",IF(Healthcare_Data[[#This Row],[Final_Bill]]&gt;=20000,"Medium","low"))</f>
        <v>low</v>
      </c>
    </row>
    <row r="819" spans="1:20" x14ac:dyDescent="0.3">
      <c r="A819" t="s">
        <v>874</v>
      </c>
      <c r="B819">
        <v>45951</v>
      </c>
      <c r="C819" t="s">
        <v>54</v>
      </c>
      <c r="D819" t="s">
        <v>19</v>
      </c>
      <c r="E819" t="s">
        <v>20</v>
      </c>
      <c r="F819" t="s">
        <v>21</v>
      </c>
      <c r="G819">
        <v>59</v>
      </c>
      <c r="H819" t="s">
        <v>56</v>
      </c>
      <c r="I819" t="s">
        <v>61</v>
      </c>
      <c r="J819" t="s">
        <v>31</v>
      </c>
      <c r="K819">
        <v>0</v>
      </c>
      <c r="L819">
        <v>10241</v>
      </c>
      <c r="M819">
        <v>2000</v>
      </c>
      <c r="N819">
        <v>8241</v>
      </c>
      <c r="O819" t="s">
        <v>32</v>
      </c>
      <c r="P819">
        <v>3.6</v>
      </c>
      <c r="Q819">
        <v>52</v>
      </c>
      <c r="R819" t="s">
        <v>1077</v>
      </c>
      <c r="S819">
        <v>10</v>
      </c>
      <c r="T819" t="str">
        <f>IF(Healthcare_Data[[#This Row],[Final_Bill]]&gt;=50000,"High",IF(Healthcare_Data[[#This Row],[Final_Bill]]&gt;=20000,"Medium","low"))</f>
        <v>low</v>
      </c>
    </row>
    <row r="820" spans="1:20" x14ac:dyDescent="0.3">
      <c r="A820" t="s">
        <v>875</v>
      </c>
      <c r="B820">
        <v>45951</v>
      </c>
      <c r="C820" t="s">
        <v>48</v>
      </c>
      <c r="D820" t="s">
        <v>19</v>
      </c>
      <c r="E820" t="s">
        <v>20</v>
      </c>
      <c r="F820" t="s">
        <v>40</v>
      </c>
      <c r="G820">
        <v>40</v>
      </c>
      <c r="H820" t="s">
        <v>65</v>
      </c>
      <c r="I820" t="s">
        <v>61</v>
      </c>
      <c r="J820" t="s">
        <v>24</v>
      </c>
      <c r="K820">
        <v>0</v>
      </c>
      <c r="L820">
        <v>5349</v>
      </c>
      <c r="M820">
        <v>0</v>
      </c>
      <c r="N820">
        <v>5349</v>
      </c>
      <c r="O820" t="s">
        <v>25</v>
      </c>
      <c r="P820">
        <v>4</v>
      </c>
      <c r="Q820">
        <v>80</v>
      </c>
      <c r="R820" t="s">
        <v>1077</v>
      </c>
      <c r="S820">
        <v>10</v>
      </c>
      <c r="T820" t="str">
        <f>IF(Healthcare_Data[[#This Row],[Final_Bill]]&gt;=50000,"High",IF(Healthcare_Data[[#This Row],[Final_Bill]]&gt;=20000,"Medium","low"))</f>
        <v>low</v>
      </c>
    </row>
    <row r="821" spans="1:20" x14ac:dyDescent="0.3">
      <c r="A821" t="s">
        <v>876</v>
      </c>
      <c r="B821">
        <v>45952</v>
      </c>
      <c r="C821" t="s">
        <v>67</v>
      </c>
      <c r="D821" t="s">
        <v>28</v>
      </c>
      <c r="E821" t="s">
        <v>20</v>
      </c>
      <c r="F821" t="s">
        <v>21</v>
      </c>
      <c r="G821">
        <v>21</v>
      </c>
      <c r="H821" t="s">
        <v>115</v>
      </c>
      <c r="I821" t="s">
        <v>69</v>
      </c>
      <c r="J821" t="s">
        <v>24</v>
      </c>
      <c r="K821">
        <v>0</v>
      </c>
      <c r="L821">
        <v>14645</v>
      </c>
      <c r="M821">
        <v>500</v>
      </c>
      <c r="N821">
        <v>14145</v>
      </c>
      <c r="O821" t="s">
        <v>25</v>
      </c>
      <c r="P821">
        <v>3.5</v>
      </c>
      <c r="Q821">
        <v>36</v>
      </c>
      <c r="R821" t="s">
        <v>1077</v>
      </c>
      <c r="S821">
        <v>10</v>
      </c>
      <c r="T821" t="str">
        <f>IF(Healthcare_Data[[#This Row],[Final_Bill]]&gt;=50000,"High",IF(Healthcare_Data[[#This Row],[Final_Bill]]&gt;=20000,"Medium","low"))</f>
        <v>low</v>
      </c>
    </row>
    <row r="822" spans="1:20" x14ac:dyDescent="0.3">
      <c r="A822" t="s">
        <v>877</v>
      </c>
      <c r="B822">
        <v>45953</v>
      </c>
      <c r="C822" t="s">
        <v>50</v>
      </c>
      <c r="D822" t="s">
        <v>39</v>
      </c>
      <c r="E822" t="s">
        <v>52</v>
      </c>
      <c r="F822" t="s">
        <v>40</v>
      </c>
      <c r="G822">
        <v>77</v>
      </c>
      <c r="H822" t="s">
        <v>56</v>
      </c>
      <c r="I822" t="s">
        <v>61</v>
      </c>
      <c r="J822" t="s">
        <v>24</v>
      </c>
      <c r="K822">
        <v>10</v>
      </c>
      <c r="L822">
        <v>30471</v>
      </c>
      <c r="M822">
        <v>0</v>
      </c>
      <c r="N822">
        <v>30471</v>
      </c>
      <c r="O822" t="s">
        <v>25</v>
      </c>
      <c r="P822">
        <v>3.1</v>
      </c>
      <c r="Q822">
        <v>101</v>
      </c>
      <c r="R822" t="s">
        <v>1077</v>
      </c>
      <c r="S822">
        <v>10</v>
      </c>
      <c r="T822" t="str">
        <f>IF(Healthcare_Data[[#This Row],[Final_Bill]]&gt;=50000,"High",IF(Healthcare_Data[[#This Row],[Final_Bill]]&gt;=20000,"Medium","low"))</f>
        <v>Medium</v>
      </c>
    </row>
    <row r="823" spans="1:20" x14ac:dyDescent="0.3">
      <c r="A823" t="s">
        <v>878</v>
      </c>
      <c r="B823">
        <v>45955</v>
      </c>
      <c r="C823" t="s">
        <v>50</v>
      </c>
      <c r="D823" t="s">
        <v>34</v>
      </c>
      <c r="E823" t="s">
        <v>20</v>
      </c>
      <c r="F823" t="s">
        <v>40</v>
      </c>
      <c r="G823">
        <v>80</v>
      </c>
      <c r="H823" t="s">
        <v>56</v>
      </c>
      <c r="I823" t="s">
        <v>30</v>
      </c>
      <c r="J823" t="s">
        <v>31</v>
      </c>
      <c r="K823">
        <v>0</v>
      </c>
      <c r="L823">
        <v>17726</v>
      </c>
      <c r="M823">
        <v>0</v>
      </c>
      <c r="N823">
        <v>17726</v>
      </c>
      <c r="O823" t="s">
        <v>25</v>
      </c>
      <c r="P823">
        <v>4.4000000000000004</v>
      </c>
      <c r="Q823">
        <v>99</v>
      </c>
      <c r="R823" t="s">
        <v>1077</v>
      </c>
      <c r="S823">
        <v>10</v>
      </c>
      <c r="T823" t="str">
        <f>IF(Healthcare_Data[[#This Row],[Final_Bill]]&gt;=50000,"High",IF(Healthcare_Data[[#This Row],[Final_Bill]]&gt;=20000,"Medium","low"))</f>
        <v>low</v>
      </c>
    </row>
    <row r="824" spans="1:20" x14ac:dyDescent="0.3">
      <c r="A824" t="s">
        <v>879</v>
      </c>
      <c r="B824">
        <v>45956</v>
      </c>
      <c r="C824" t="s">
        <v>67</v>
      </c>
      <c r="D824" t="s">
        <v>19</v>
      </c>
      <c r="E824" t="s">
        <v>20</v>
      </c>
      <c r="F824" t="s">
        <v>21</v>
      </c>
      <c r="G824">
        <v>34</v>
      </c>
      <c r="H824" t="s">
        <v>22</v>
      </c>
      <c r="I824" t="s">
        <v>57</v>
      </c>
      <c r="J824" t="s">
        <v>24</v>
      </c>
      <c r="K824">
        <v>0</v>
      </c>
      <c r="L824">
        <v>6181</v>
      </c>
      <c r="M824">
        <v>1500</v>
      </c>
      <c r="N824">
        <v>4681</v>
      </c>
      <c r="O824" t="s">
        <v>32</v>
      </c>
      <c r="P824">
        <v>4.4000000000000004</v>
      </c>
      <c r="Q824">
        <v>52</v>
      </c>
      <c r="R824" t="s">
        <v>1077</v>
      </c>
      <c r="S824">
        <v>10</v>
      </c>
      <c r="T824" t="str">
        <f>IF(Healthcare_Data[[#This Row],[Final_Bill]]&gt;=50000,"High",IF(Healthcare_Data[[#This Row],[Final_Bill]]&gt;=20000,"Medium","low"))</f>
        <v>low</v>
      </c>
    </row>
    <row r="825" spans="1:20" x14ac:dyDescent="0.3">
      <c r="A825" t="s">
        <v>880</v>
      </c>
      <c r="B825">
        <v>45957</v>
      </c>
      <c r="C825" t="s">
        <v>67</v>
      </c>
      <c r="D825" t="s">
        <v>19</v>
      </c>
      <c r="E825" t="s">
        <v>20</v>
      </c>
      <c r="F825" t="s">
        <v>21</v>
      </c>
      <c r="G825">
        <v>33</v>
      </c>
      <c r="H825" t="s">
        <v>41</v>
      </c>
      <c r="I825" t="s">
        <v>63</v>
      </c>
      <c r="J825" t="s">
        <v>36</v>
      </c>
      <c r="K825">
        <v>0</v>
      </c>
      <c r="L825">
        <v>15746</v>
      </c>
      <c r="M825">
        <v>1000</v>
      </c>
      <c r="N825">
        <v>14746</v>
      </c>
      <c r="O825" t="s">
        <v>32</v>
      </c>
      <c r="P825">
        <v>4.7</v>
      </c>
      <c r="Q825">
        <v>101</v>
      </c>
      <c r="R825" t="s">
        <v>1077</v>
      </c>
      <c r="S825">
        <v>10</v>
      </c>
      <c r="T825" t="str">
        <f>IF(Healthcare_Data[[#This Row],[Final_Bill]]&gt;=50000,"High",IF(Healthcare_Data[[#This Row],[Final_Bill]]&gt;=20000,"Medium","low"))</f>
        <v>low</v>
      </c>
    </row>
    <row r="826" spans="1:20" x14ac:dyDescent="0.3">
      <c r="A826" t="s">
        <v>881</v>
      </c>
      <c r="B826">
        <v>45957</v>
      </c>
      <c r="C826" t="s">
        <v>38</v>
      </c>
      <c r="D826" t="s">
        <v>51</v>
      </c>
      <c r="E826" t="s">
        <v>20</v>
      </c>
      <c r="F826" t="s">
        <v>40</v>
      </c>
      <c r="G826">
        <v>24</v>
      </c>
      <c r="H826" t="s">
        <v>46</v>
      </c>
      <c r="I826" t="s">
        <v>72</v>
      </c>
      <c r="J826" t="s">
        <v>58</v>
      </c>
      <c r="K826">
        <v>0</v>
      </c>
      <c r="L826">
        <v>4560</v>
      </c>
      <c r="M826">
        <v>0</v>
      </c>
      <c r="N826">
        <v>4560</v>
      </c>
      <c r="O826" t="s">
        <v>25</v>
      </c>
      <c r="P826">
        <v>3.6</v>
      </c>
      <c r="Q826">
        <v>39</v>
      </c>
      <c r="R826" t="s">
        <v>1077</v>
      </c>
      <c r="S826">
        <v>10</v>
      </c>
      <c r="T826" t="str">
        <f>IF(Healthcare_Data[[#This Row],[Final_Bill]]&gt;=50000,"High",IF(Healthcare_Data[[#This Row],[Final_Bill]]&gt;=20000,"Medium","low"))</f>
        <v>low</v>
      </c>
    </row>
    <row r="827" spans="1:20" x14ac:dyDescent="0.3">
      <c r="A827" t="s">
        <v>882</v>
      </c>
      <c r="B827">
        <v>45958</v>
      </c>
      <c r="C827" t="s">
        <v>44</v>
      </c>
      <c r="D827" t="s">
        <v>19</v>
      </c>
      <c r="E827" t="s">
        <v>52</v>
      </c>
      <c r="F827" t="s">
        <v>40</v>
      </c>
      <c r="G827">
        <v>58</v>
      </c>
      <c r="H827" t="s">
        <v>29</v>
      </c>
      <c r="I827" t="s">
        <v>69</v>
      </c>
      <c r="J827" t="s">
        <v>58</v>
      </c>
      <c r="K827">
        <v>5</v>
      </c>
      <c r="L827">
        <v>43873</v>
      </c>
      <c r="M827">
        <v>0</v>
      </c>
      <c r="N827">
        <v>43873</v>
      </c>
      <c r="O827" t="s">
        <v>25</v>
      </c>
      <c r="P827">
        <v>2.9</v>
      </c>
      <c r="Q827">
        <v>51</v>
      </c>
      <c r="R827" t="s">
        <v>1077</v>
      </c>
      <c r="S827">
        <v>10</v>
      </c>
      <c r="T827" t="str">
        <f>IF(Healthcare_Data[[#This Row],[Final_Bill]]&gt;=50000,"High",IF(Healthcare_Data[[#This Row],[Final_Bill]]&gt;=20000,"Medium","low"))</f>
        <v>Medium</v>
      </c>
    </row>
    <row r="828" spans="1:20" x14ac:dyDescent="0.3">
      <c r="A828" t="s">
        <v>883</v>
      </c>
      <c r="B828">
        <v>45958</v>
      </c>
      <c r="C828" t="s">
        <v>67</v>
      </c>
      <c r="D828" t="s">
        <v>39</v>
      </c>
      <c r="E828" t="s">
        <v>20</v>
      </c>
      <c r="F828" t="s">
        <v>40</v>
      </c>
      <c r="G828">
        <v>57</v>
      </c>
      <c r="H828" t="s">
        <v>35</v>
      </c>
      <c r="I828" t="s">
        <v>61</v>
      </c>
      <c r="J828" t="s">
        <v>58</v>
      </c>
      <c r="K828">
        <v>0</v>
      </c>
      <c r="L828">
        <v>4517</v>
      </c>
      <c r="M828">
        <v>0</v>
      </c>
      <c r="N828">
        <v>4517</v>
      </c>
      <c r="O828" t="s">
        <v>25</v>
      </c>
      <c r="P828">
        <v>3.7</v>
      </c>
      <c r="Q828">
        <v>94</v>
      </c>
      <c r="R828" t="s">
        <v>1077</v>
      </c>
      <c r="S828">
        <v>10</v>
      </c>
      <c r="T828" t="str">
        <f>IF(Healthcare_Data[[#This Row],[Final_Bill]]&gt;=50000,"High",IF(Healthcare_Data[[#This Row],[Final_Bill]]&gt;=20000,"Medium","low"))</f>
        <v>low</v>
      </c>
    </row>
    <row r="829" spans="1:20" x14ac:dyDescent="0.3">
      <c r="A829" t="s">
        <v>884</v>
      </c>
      <c r="B829">
        <v>45958</v>
      </c>
      <c r="C829" t="s">
        <v>48</v>
      </c>
      <c r="D829" t="s">
        <v>39</v>
      </c>
      <c r="E829" t="s">
        <v>20</v>
      </c>
      <c r="F829" t="s">
        <v>21</v>
      </c>
      <c r="G829">
        <v>21</v>
      </c>
      <c r="H829" t="s">
        <v>41</v>
      </c>
      <c r="I829" t="s">
        <v>69</v>
      </c>
      <c r="J829" t="s">
        <v>24</v>
      </c>
      <c r="K829">
        <v>0</v>
      </c>
      <c r="L829">
        <v>12784</v>
      </c>
      <c r="M829">
        <v>500</v>
      </c>
      <c r="N829">
        <v>12284</v>
      </c>
      <c r="O829" t="s">
        <v>25</v>
      </c>
      <c r="P829">
        <v>4.8</v>
      </c>
      <c r="Q829">
        <v>50</v>
      </c>
      <c r="R829" t="s">
        <v>1077</v>
      </c>
      <c r="S829">
        <v>10</v>
      </c>
      <c r="T829" t="str">
        <f>IF(Healthcare_Data[[#This Row],[Final_Bill]]&gt;=50000,"High",IF(Healthcare_Data[[#This Row],[Final_Bill]]&gt;=20000,"Medium","low"))</f>
        <v>low</v>
      </c>
    </row>
    <row r="830" spans="1:20" x14ac:dyDescent="0.3">
      <c r="A830" t="s">
        <v>885</v>
      </c>
      <c r="B830">
        <v>45959</v>
      </c>
      <c r="C830" t="s">
        <v>18</v>
      </c>
      <c r="D830" t="s">
        <v>39</v>
      </c>
      <c r="E830" t="s">
        <v>20</v>
      </c>
      <c r="F830" t="s">
        <v>21</v>
      </c>
      <c r="G830">
        <v>61</v>
      </c>
      <c r="H830" t="s">
        <v>35</v>
      </c>
      <c r="I830" t="s">
        <v>30</v>
      </c>
      <c r="J830" t="s">
        <v>31</v>
      </c>
      <c r="K830">
        <v>0</v>
      </c>
      <c r="L830">
        <v>13072</v>
      </c>
      <c r="M830">
        <v>1000</v>
      </c>
      <c r="N830">
        <v>12072</v>
      </c>
      <c r="O830" t="s">
        <v>25</v>
      </c>
      <c r="P830">
        <v>3.9</v>
      </c>
      <c r="Q830">
        <v>6</v>
      </c>
      <c r="R830" t="s">
        <v>1077</v>
      </c>
      <c r="S830">
        <v>10</v>
      </c>
      <c r="T830" t="str">
        <f>IF(Healthcare_Data[[#This Row],[Final_Bill]]&gt;=50000,"High",IF(Healthcare_Data[[#This Row],[Final_Bill]]&gt;=20000,"Medium","low"))</f>
        <v>low</v>
      </c>
    </row>
    <row r="831" spans="1:20" x14ac:dyDescent="0.3">
      <c r="A831" t="s">
        <v>886</v>
      </c>
      <c r="B831">
        <v>45959</v>
      </c>
      <c r="C831" t="s">
        <v>50</v>
      </c>
      <c r="D831" t="s">
        <v>34</v>
      </c>
      <c r="E831" t="s">
        <v>54</v>
      </c>
      <c r="F831" t="s">
        <v>21</v>
      </c>
      <c r="G831">
        <v>37</v>
      </c>
      <c r="H831" t="s">
        <v>56</v>
      </c>
      <c r="I831" t="s">
        <v>30</v>
      </c>
      <c r="J831" t="s">
        <v>36</v>
      </c>
      <c r="K831">
        <v>0</v>
      </c>
      <c r="L831">
        <v>11621</v>
      </c>
      <c r="M831">
        <v>0</v>
      </c>
      <c r="N831">
        <v>11621</v>
      </c>
      <c r="O831" t="s">
        <v>25</v>
      </c>
      <c r="P831">
        <v>4.0999999999999996</v>
      </c>
      <c r="Q831">
        <v>95</v>
      </c>
      <c r="R831" t="s">
        <v>1077</v>
      </c>
      <c r="S831">
        <v>10</v>
      </c>
      <c r="T831" t="str">
        <f>IF(Healthcare_Data[[#This Row],[Final_Bill]]&gt;=50000,"High",IF(Healthcare_Data[[#This Row],[Final_Bill]]&gt;=20000,"Medium","low"))</f>
        <v>low</v>
      </c>
    </row>
    <row r="832" spans="1:20" x14ac:dyDescent="0.3">
      <c r="A832" t="s">
        <v>887</v>
      </c>
      <c r="B832">
        <v>45960</v>
      </c>
      <c r="C832" t="s">
        <v>38</v>
      </c>
      <c r="D832" t="s">
        <v>28</v>
      </c>
      <c r="E832" t="s">
        <v>20</v>
      </c>
      <c r="F832" t="s">
        <v>40</v>
      </c>
      <c r="G832">
        <v>67</v>
      </c>
      <c r="H832" t="s">
        <v>29</v>
      </c>
      <c r="I832" t="s">
        <v>72</v>
      </c>
      <c r="J832" t="s">
        <v>24</v>
      </c>
      <c r="K832">
        <v>0</v>
      </c>
      <c r="L832">
        <v>7893</v>
      </c>
      <c r="M832">
        <v>2000</v>
      </c>
      <c r="N832">
        <v>5893</v>
      </c>
      <c r="O832" t="s">
        <v>25</v>
      </c>
      <c r="P832">
        <v>3.4</v>
      </c>
      <c r="Q832">
        <v>48</v>
      </c>
      <c r="R832" t="s">
        <v>1077</v>
      </c>
      <c r="S832">
        <v>10</v>
      </c>
      <c r="T832" t="str">
        <f>IF(Healthcare_Data[[#This Row],[Final_Bill]]&gt;=50000,"High",IF(Healthcare_Data[[#This Row],[Final_Bill]]&gt;=20000,"Medium","low"))</f>
        <v>low</v>
      </c>
    </row>
    <row r="833" spans="1:20" x14ac:dyDescent="0.3">
      <c r="A833" t="s">
        <v>888</v>
      </c>
      <c r="B833">
        <v>45960</v>
      </c>
      <c r="C833" t="s">
        <v>44</v>
      </c>
      <c r="D833" t="s">
        <v>34</v>
      </c>
      <c r="E833" t="s">
        <v>20</v>
      </c>
      <c r="F833" t="s">
        <v>21</v>
      </c>
      <c r="G833">
        <v>25</v>
      </c>
      <c r="H833" t="s">
        <v>41</v>
      </c>
      <c r="I833" t="s">
        <v>72</v>
      </c>
      <c r="J833" t="s">
        <v>31</v>
      </c>
      <c r="K833">
        <v>0</v>
      </c>
      <c r="L833">
        <v>4093</v>
      </c>
      <c r="M833">
        <v>500</v>
      </c>
      <c r="N833">
        <v>3593</v>
      </c>
      <c r="O833" t="s">
        <v>25</v>
      </c>
      <c r="P833">
        <v>3.4</v>
      </c>
      <c r="Q833">
        <v>76</v>
      </c>
      <c r="R833" t="s">
        <v>1077</v>
      </c>
      <c r="S833">
        <v>10</v>
      </c>
      <c r="T833" t="str">
        <f>IF(Healthcare_Data[[#This Row],[Final_Bill]]&gt;=50000,"High",IF(Healthcare_Data[[#This Row],[Final_Bill]]&gt;=20000,"Medium","low"))</f>
        <v>low</v>
      </c>
    </row>
    <row r="834" spans="1:20" x14ac:dyDescent="0.3">
      <c r="A834" t="s">
        <v>889</v>
      </c>
      <c r="B834">
        <v>45960</v>
      </c>
      <c r="C834" t="s">
        <v>54</v>
      </c>
      <c r="D834" t="s">
        <v>34</v>
      </c>
      <c r="E834" t="s">
        <v>20</v>
      </c>
      <c r="F834" t="s">
        <v>21</v>
      </c>
      <c r="G834">
        <v>52</v>
      </c>
      <c r="H834" t="s">
        <v>115</v>
      </c>
      <c r="I834" t="s">
        <v>61</v>
      </c>
      <c r="J834" t="s">
        <v>24</v>
      </c>
      <c r="K834">
        <v>0</v>
      </c>
      <c r="L834">
        <v>1755</v>
      </c>
      <c r="M834">
        <v>500</v>
      </c>
      <c r="N834">
        <v>1255</v>
      </c>
      <c r="O834" t="s">
        <v>25</v>
      </c>
      <c r="P834">
        <v>2.6</v>
      </c>
      <c r="Q834">
        <v>60</v>
      </c>
      <c r="R834" t="s">
        <v>1077</v>
      </c>
      <c r="S834">
        <v>10</v>
      </c>
      <c r="T834" t="str">
        <f>IF(Healthcare_Data[[#This Row],[Final_Bill]]&gt;=50000,"High",IF(Healthcare_Data[[#This Row],[Final_Bill]]&gt;=20000,"Medium","low"))</f>
        <v>low</v>
      </c>
    </row>
    <row r="835" spans="1:20" x14ac:dyDescent="0.3">
      <c r="A835" t="s">
        <v>890</v>
      </c>
      <c r="B835">
        <v>45960</v>
      </c>
      <c r="C835" t="s">
        <v>50</v>
      </c>
      <c r="D835" t="s">
        <v>19</v>
      </c>
      <c r="E835" t="s">
        <v>52</v>
      </c>
      <c r="F835" t="s">
        <v>40</v>
      </c>
      <c r="G835">
        <v>63</v>
      </c>
      <c r="H835" t="s">
        <v>56</v>
      </c>
      <c r="I835" t="s">
        <v>69</v>
      </c>
      <c r="J835" t="s">
        <v>58</v>
      </c>
      <c r="K835">
        <v>7</v>
      </c>
      <c r="L835">
        <v>38555</v>
      </c>
      <c r="M835">
        <v>500</v>
      </c>
      <c r="N835">
        <v>38055</v>
      </c>
      <c r="O835" t="s">
        <v>25</v>
      </c>
      <c r="P835">
        <v>3.2</v>
      </c>
      <c r="Q835">
        <v>27</v>
      </c>
      <c r="R835" t="s">
        <v>1077</v>
      </c>
      <c r="S835">
        <v>10</v>
      </c>
      <c r="T835" t="str">
        <f>IF(Healthcare_Data[[#This Row],[Final_Bill]]&gt;=50000,"High",IF(Healthcare_Data[[#This Row],[Final_Bill]]&gt;=20000,"Medium","low"))</f>
        <v>Medium</v>
      </c>
    </row>
    <row r="836" spans="1:20" x14ac:dyDescent="0.3">
      <c r="A836" t="s">
        <v>891</v>
      </c>
      <c r="B836">
        <v>45961</v>
      </c>
      <c r="C836" t="s">
        <v>44</v>
      </c>
      <c r="D836" t="s">
        <v>28</v>
      </c>
      <c r="E836" t="s">
        <v>54</v>
      </c>
      <c r="F836" t="s">
        <v>21</v>
      </c>
      <c r="G836">
        <v>80</v>
      </c>
      <c r="H836" t="s">
        <v>56</v>
      </c>
      <c r="I836" t="s">
        <v>69</v>
      </c>
      <c r="J836" t="s">
        <v>31</v>
      </c>
      <c r="K836">
        <v>0</v>
      </c>
      <c r="L836">
        <v>22855</v>
      </c>
      <c r="M836">
        <v>500</v>
      </c>
      <c r="N836">
        <v>22355</v>
      </c>
      <c r="O836" t="s">
        <v>25</v>
      </c>
      <c r="P836">
        <v>3.5</v>
      </c>
      <c r="Q836">
        <v>107</v>
      </c>
      <c r="R836" t="s">
        <v>1077</v>
      </c>
      <c r="S836">
        <v>10</v>
      </c>
      <c r="T836" t="str">
        <f>IF(Healthcare_Data[[#This Row],[Final_Bill]]&gt;=50000,"High",IF(Healthcare_Data[[#This Row],[Final_Bill]]&gt;=20000,"Medium","low"))</f>
        <v>Medium</v>
      </c>
    </row>
    <row r="837" spans="1:20" x14ac:dyDescent="0.3">
      <c r="A837" t="s">
        <v>892</v>
      </c>
      <c r="B837">
        <v>45961</v>
      </c>
      <c r="C837" t="s">
        <v>54</v>
      </c>
      <c r="D837" t="s">
        <v>39</v>
      </c>
      <c r="E837" t="s">
        <v>52</v>
      </c>
      <c r="F837" t="s">
        <v>40</v>
      </c>
      <c r="G837">
        <v>30</v>
      </c>
      <c r="H837" t="s">
        <v>46</v>
      </c>
      <c r="I837" t="s">
        <v>69</v>
      </c>
      <c r="J837" t="s">
        <v>24</v>
      </c>
      <c r="K837">
        <v>13</v>
      </c>
      <c r="L837">
        <v>61707</v>
      </c>
      <c r="M837">
        <v>1000</v>
      </c>
      <c r="N837">
        <v>60707</v>
      </c>
      <c r="O837" t="s">
        <v>25</v>
      </c>
      <c r="P837">
        <v>4.0999999999999996</v>
      </c>
      <c r="Q837">
        <v>99</v>
      </c>
      <c r="R837" t="s">
        <v>1077</v>
      </c>
      <c r="S837">
        <v>10</v>
      </c>
      <c r="T837" t="str">
        <f>IF(Healthcare_Data[[#This Row],[Final_Bill]]&gt;=50000,"High",IF(Healthcare_Data[[#This Row],[Final_Bill]]&gt;=20000,"Medium","low"))</f>
        <v>High</v>
      </c>
    </row>
    <row r="838" spans="1:20" x14ac:dyDescent="0.3">
      <c r="A838" t="s">
        <v>893</v>
      </c>
      <c r="B838">
        <v>45961</v>
      </c>
      <c r="C838" t="s">
        <v>18</v>
      </c>
      <c r="D838" t="s">
        <v>34</v>
      </c>
      <c r="E838" t="s">
        <v>20</v>
      </c>
      <c r="F838" t="s">
        <v>21</v>
      </c>
      <c r="G838">
        <v>63</v>
      </c>
      <c r="H838" t="s">
        <v>56</v>
      </c>
      <c r="I838" t="s">
        <v>42</v>
      </c>
      <c r="J838" t="s">
        <v>58</v>
      </c>
      <c r="K838">
        <v>0</v>
      </c>
      <c r="L838">
        <v>5587</v>
      </c>
      <c r="M838">
        <v>0</v>
      </c>
      <c r="N838">
        <v>5587</v>
      </c>
      <c r="O838" t="s">
        <v>25</v>
      </c>
      <c r="P838">
        <v>2.9</v>
      </c>
      <c r="Q838">
        <v>29</v>
      </c>
      <c r="R838" t="s">
        <v>1077</v>
      </c>
      <c r="S838">
        <v>10</v>
      </c>
      <c r="T838" t="str">
        <f>IF(Healthcare_Data[[#This Row],[Final_Bill]]&gt;=50000,"High",IF(Healthcare_Data[[#This Row],[Final_Bill]]&gt;=20000,"Medium","low"))</f>
        <v>low</v>
      </c>
    </row>
    <row r="839" spans="1:20" x14ac:dyDescent="0.3">
      <c r="A839" t="s">
        <v>894</v>
      </c>
      <c r="B839">
        <v>45961</v>
      </c>
      <c r="C839" t="s">
        <v>48</v>
      </c>
      <c r="D839" t="s">
        <v>39</v>
      </c>
      <c r="E839" t="s">
        <v>20</v>
      </c>
      <c r="F839" t="s">
        <v>40</v>
      </c>
      <c r="G839">
        <v>32</v>
      </c>
      <c r="H839" t="s">
        <v>22</v>
      </c>
      <c r="I839" t="s">
        <v>69</v>
      </c>
      <c r="J839" t="s">
        <v>58</v>
      </c>
      <c r="K839">
        <v>0</v>
      </c>
      <c r="L839">
        <v>9141</v>
      </c>
      <c r="M839">
        <v>0</v>
      </c>
      <c r="N839">
        <v>9141</v>
      </c>
      <c r="O839" t="s">
        <v>25</v>
      </c>
      <c r="P839">
        <v>4.4000000000000004</v>
      </c>
      <c r="Q839">
        <v>119</v>
      </c>
      <c r="R839" t="s">
        <v>1077</v>
      </c>
      <c r="S839">
        <v>10</v>
      </c>
      <c r="T839" t="str">
        <f>IF(Healthcare_Data[[#This Row],[Final_Bill]]&gt;=50000,"High",IF(Healthcare_Data[[#This Row],[Final_Bill]]&gt;=20000,"Medium","low"))</f>
        <v>low</v>
      </c>
    </row>
    <row r="840" spans="1:20" x14ac:dyDescent="0.3">
      <c r="A840" t="s">
        <v>895</v>
      </c>
      <c r="B840">
        <v>45961</v>
      </c>
      <c r="C840" t="s">
        <v>50</v>
      </c>
      <c r="D840" t="s">
        <v>34</v>
      </c>
      <c r="E840" t="s">
        <v>20</v>
      </c>
      <c r="F840" t="s">
        <v>21</v>
      </c>
      <c r="G840">
        <v>37</v>
      </c>
      <c r="H840" t="s">
        <v>35</v>
      </c>
      <c r="I840" t="s">
        <v>61</v>
      </c>
      <c r="J840" t="s">
        <v>36</v>
      </c>
      <c r="K840">
        <v>0</v>
      </c>
      <c r="L840">
        <v>8558</v>
      </c>
      <c r="M840">
        <v>1500</v>
      </c>
      <c r="N840">
        <v>7058</v>
      </c>
      <c r="O840" t="s">
        <v>25</v>
      </c>
      <c r="P840">
        <v>2.5</v>
      </c>
      <c r="Q840">
        <v>74</v>
      </c>
      <c r="R840" t="s">
        <v>1077</v>
      </c>
      <c r="S840">
        <v>10</v>
      </c>
      <c r="T840" t="str">
        <f>IF(Healthcare_Data[[#This Row],[Final_Bill]]&gt;=50000,"High",IF(Healthcare_Data[[#This Row],[Final_Bill]]&gt;=20000,"Medium","low"))</f>
        <v>low</v>
      </c>
    </row>
    <row r="841" spans="1:20" x14ac:dyDescent="0.3">
      <c r="A841" t="s">
        <v>896</v>
      </c>
      <c r="B841">
        <v>45962</v>
      </c>
      <c r="C841" t="s">
        <v>67</v>
      </c>
      <c r="D841" t="s">
        <v>51</v>
      </c>
      <c r="E841" t="s">
        <v>20</v>
      </c>
      <c r="F841" t="s">
        <v>40</v>
      </c>
      <c r="G841">
        <v>34</v>
      </c>
      <c r="H841" t="s">
        <v>46</v>
      </c>
      <c r="I841" t="s">
        <v>1057</v>
      </c>
      <c r="J841" t="s">
        <v>36</v>
      </c>
      <c r="K841">
        <v>0</v>
      </c>
      <c r="L841">
        <v>9565</v>
      </c>
      <c r="M841">
        <v>0</v>
      </c>
      <c r="N841">
        <v>9565</v>
      </c>
      <c r="O841" t="s">
        <v>25</v>
      </c>
      <c r="P841">
        <v>3.9</v>
      </c>
      <c r="Q841">
        <v>77</v>
      </c>
      <c r="R841" t="s">
        <v>1078</v>
      </c>
      <c r="S841">
        <v>11</v>
      </c>
      <c r="T841" t="str">
        <f>IF(Healthcare_Data[[#This Row],[Final_Bill]]&gt;=50000,"High",IF(Healthcare_Data[[#This Row],[Final_Bill]]&gt;=20000,"Medium","low"))</f>
        <v>low</v>
      </c>
    </row>
    <row r="842" spans="1:20" x14ac:dyDescent="0.3">
      <c r="A842" t="s">
        <v>897</v>
      </c>
      <c r="B842">
        <v>45962</v>
      </c>
      <c r="C842" t="s">
        <v>27</v>
      </c>
      <c r="D842" t="s">
        <v>19</v>
      </c>
      <c r="E842" t="s">
        <v>20</v>
      </c>
      <c r="F842" t="s">
        <v>40</v>
      </c>
      <c r="G842">
        <v>23</v>
      </c>
      <c r="H842" t="s">
        <v>22</v>
      </c>
      <c r="I842" t="s">
        <v>23</v>
      </c>
      <c r="J842" t="s">
        <v>31</v>
      </c>
      <c r="K842">
        <v>0</v>
      </c>
      <c r="L842">
        <v>11720</v>
      </c>
      <c r="M842">
        <v>0</v>
      </c>
      <c r="N842">
        <v>11720</v>
      </c>
      <c r="O842" t="s">
        <v>25</v>
      </c>
      <c r="P842">
        <v>3.7</v>
      </c>
      <c r="Q842">
        <v>9</v>
      </c>
      <c r="R842" t="s">
        <v>1078</v>
      </c>
      <c r="S842">
        <v>11</v>
      </c>
      <c r="T842" t="str">
        <f>IF(Healthcare_Data[[#This Row],[Final_Bill]]&gt;=50000,"High",IF(Healthcare_Data[[#This Row],[Final_Bill]]&gt;=20000,"Medium","low"))</f>
        <v>low</v>
      </c>
    </row>
    <row r="843" spans="1:20" x14ac:dyDescent="0.3">
      <c r="A843" t="s">
        <v>898</v>
      </c>
      <c r="B843">
        <v>45963</v>
      </c>
      <c r="C843" t="s">
        <v>44</v>
      </c>
      <c r="D843" t="s">
        <v>19</v>
      </c>
      <c r="E843" t="s">
        <v>20</v>
      </c>
      <c r="F843" t="s">
        <v>21</v>
      </c>
      <c r="G843">
        <v>59</v>
      </c>
      <c r="H843" t="s">
        <v>35</v>
      </c>
      <c r="I843" t="s">
        <v>23</v>
      </c>
      <c r="J843" t="s">
        <v>31</v>
      </c>
      <c r="K843">
        <v>0</v>
      </c>
      <c r="L843">
        <v>15091</v>
      </c>
      <c r="M843">
        <v>0</v>
      </c>
      <c r="N843">
        <v>15091</v>
      </c>
      <c r="O843" t="s">
        <v>59</v>
      </c>
      <c r="P843">
        <v>4.7</v>
      </c>
      <c r="Q843">
        <v>37</v>
      </c>
      <c r="R843" t="s">
        <v>1078</v>
      </c>
      <c r="S843">
        <v>11</v>
      </c>
      <c r="T843" t="str">
        <f>IF(Healthcare_Data[[#This Row],[Final_Bill]]&gt;=50000,"High",IF(Healthcare_Data[[#This Row],[Final_Bill]]&gt;=20000,"Medium","low"))</f>
        <v>low</v>
      </c>
    </row>
    <row r="844" spans="1:20" x14ac:dyDescent="0.3">
      <c r="A844" t="s">
        <v>899</v>
      </c>
      <c r="B844">
        <v>45963</v>
      </c>
      <c r="C844" t="s">
        <v>50</v>
      </c>
      <c r="D844" t="s">
        <v>34</v>
      </c>
      <c r="E844" t="s">
        <v>20</v>
      </c>
      <c r="F844" t="s">
        <v>40</v>
      </c>
      <c r="G844">
        <v>40</v>
      </c>
      <c r="H844" t="s">
        <v>35</v>
      </c>
      <c r="I844" t="s">
        <v>57</v>
      </c>
      <c r="J844" t="s">
        <v>31</v>
      </c>
      <c r="K844">
        <v>0</v>
      </c>
      <c r="L844">
        <v>10021</v>
      </c>
      <c r="M844">
        <v>500</v>
      </c>
      <c r="N844">
        <v>9521</v>
      </c>
      <c r="O844" t="s">
        <v>32</v>
      </c>
      <c r="P844">
        <v>3</v>
      </c>
      <c r="Q844">
        <v>70</v>
      </c>
      <c r="R844" t="s">
        <v>1078</v>
      </c>
      <c r="S844">
        <v>11</v>
      </c>
      <c r="T844" t="str">
        <f>IF(Healthcare_Data[[#This Row],[Final_Bill]]&gt;=50000,"High",IF(Healthcare_Data[[#This Row],[Final_Bill]]&gt;=20000,"Medium","low"))</f>
        <v>low</v>
      </c>
    </row>
    <row r="845" spans="1:20" x14ac:dyDescent="0.3">
      <c r="A845" t="s">
        <v>900</v>
      </c>
      <c r="B845">
        <v>45963</v>
      </c>
      <c r="C845" t="s">
        <v>54</v>
      </c>
      <c r="D845" t="s">
        <v>39</v>
      </c>
      <c r="E845" t="s">
        <v>20</v>
      </c>
      <c r="F845" t="s">
        <v>40</v>
      </c>
      <c r="G845">
        <v>22</v>
      </c>
      <c r="H845" t="s">
        <v>65</v>
      </c>
      <c r="I845" t="s">
        <v>72</v>
      </c>
      <c r="J845" t="s">
        <v>31</v>
      </c>
      <c r="K845">
        <v>0</v>
      </c>
      <c r="L845">
        <v>8349</v>
      </c>
      <c r="M845">
        <v>500</v>
      </c>
      <c r="N845">
        <v>7849</v>
      </c>
      <c r="O845" t="s">
        <v>25</v>
      </c>
      <c r="P845">
        <v>3.9</v>
      </c>
      <c r="Q845">
        <v>69</v>
      </c>
      <c r="R845" t="s">
        <v>1078</v>
      </c>
      <c r="S845">
        <v>11</v>
      </c>
      <c r="T845" t="str">
        <f>IF(Healthcare_Data[[#This Row],[Final_Bill]]&gt;=50000,"High",IF(Healthcare_Data[[#This Row],[Final_Bill]]&gt;=20000,"Medium","low"))</f>
        <v>low</v>
      </c>
    </row>
    <row r="846" spans="1:20" x14ac:dyDescent="0.3">
      <c r="A846" t="s">
        <v>901</v>
      </c>
      <c r="B846">
        <v>45964</v>
      </c>
      <c r="C846" t="s">
        <v>54</v>
      </c>
      <c r="D846" t="s">
        <v>51</v>
      </c>
      <c r="E846" t="s">
        <v>20</v>
      </c>
      <c r="F846" t="s">
        <v>21</v>
      </c>
      <c r="G846">
        <v>62</v>
      </c>
      <c r="H846" t="s">
        <v>29</v>
      </c>
      <c r="I846" t="s">
        <v>72</v>
      </c>
      <c r="J846" t="s">
        <v>31</v>
      </c>
      <c r="K846">
        <v>0</v>
      </c>
      <c r="L846">
        <v>17559</v>
      </c>
      <c r="M846">
        <v>1000</v>
      </c>
      <c r="N846">
        <v>16559</v>
      </c>
      <c r="O846" t="s">
        <v>25</v>
      </c>
      <c r="P846">
        <v>4.7</v>
      </c>
      <c r="Q846">
        <v>95</v>
      </c>
      <c r="R846" t="s">
        <v>1078</v>
      </c>
      <c r="S846">
        <v>11</v>
      </c>
      <c r="T846" t="str">
        <f>IF(Healthcare_Data[[#This Row],[Final_Bill]]&gt;=50000,"High",IF(Healthcare_Data[[#This Row],[Final_Bill]]&gt;=20000,"Medium","low"))</f>
        <v>low</v>
      </c>
    </row>
    <row r="847" spans="1:20" x14ac:dyDescent="0.3">
      <c r="A847" t="s">
        <v>902</v>
      </c>
      <c r="B847">
        <v>45964</v>
      </c>
      <c r="C847" t="s">
        <v>38</v>
      </c>
      <c r="D847" t="s">
        <v>28</v>
      </c>
      <c r="E847" t="s">
        <v>20</v>
      </c>
      <c r="F847" t="s">
        <v>40</v>
      </c>
      <c r="G847">
        <v>46</v>
      </c>
      <c r="H847" t="s">
        <v>115</v>
      </c>
      <c r="I847" t="s">
        <v>23</v>
      </c>
      <c r="J847" t="s">
        <v>24</v>
      </c>
      <c r="K847">
        <v>0</v>
      </c>
      <c r="L847">
        <v>8630</v>
      </c>
      <c r="M847">
        <v>0</v>
      </c>
      <c r="N847">
        <v>8630</v>
      </c>
      <c r="O847" t="s">
        <v>25</v>
      </c>
      <c r="P847">
        <v>3.1</v>
      </c>
      <c r="Q847">
        <v>18</v>
      </c>
      <c r="R847" t="s">
        <v>1078</v>
      </c>
      <c r="S847">
        <v>11</v>
      </c>
      <c r="T847" t="str">
        <f>IF(Healthcare_Data[[#This Row],[Final_Bill]]&gt;=50000,"High",IF(Healthcare_Data[[#This Row],[Final_Bill]]&gt;=20000,"Medium","low"))</f>
        <v>low</v>
      </c>
    </row>
    <row r="848" spans="1:20" x14ac:dyDescent="0.3">
      <c r="A848" t="s">
        <v>903</v>
      </c>
      <c r="B848">
        <v>45965</v>
      </c>
      <c r="C848" t="s">
        <v>38</v>
      </c>
      <c r="D848" t="s">
        <v>19</v>
      </c>
      <c r="E848" t="s">
        <v>20</v>
      </c>
      <c r="F848" t="s">
        <v>21</v>
      </c>
      <c r="G848">
        <v>80</v>
      </c>
      <c r="H848" t="s">
        <v>29</v>
      </c>
      <c r="I848" t="s">
        <v>57</v>
      </c>
      <c r="J848" t="s">
        <v>58</v>
      </c>
      <c r="K848">
        <v>0</v>
      </c>
      <c r="L848">
        <v>14571</v>
      </c>
      <c r="M848">
        <v>1000</v>
      </c>
      <c r="N848">
        <v>13571</v>
      </c>
      <c r="O848" t="s">
        <v>25</v>
      </c>
      <c r="P848">
        <v>2.9</v>
      </c>
      <c r="Q848">
        <v>92</v>
      </c>
      <c r="R848" t="s">
        <v>1078</v>
      </c>
      <c r="S848">
        <v>11</v>
      </c>
      <c r="T848" t="str">
        <f>IF(Healthcare_Data[[#This Row],[Final_Bill]]&gt;=50000,"High",IF(Healthcare_Data[[#This Row],[Final_Bill]]&gt;=20000,"Medium","low"))</f>
        <v>low</v>
      </c>
    </row>
    <row r="849" spans="1:20" x14ac:dyDescent="0.3">
      <c r="A849" t="s">
        <v>904</v>
      </c>
      <c r="B849">
        <v>45965</v>
      </c>
      <c r="C849" t="s">
        <v>18</v>
      </c>
      <c r="D849" t="s">
        <v>34</v>
      </c>
      <c r="E849" t="s">
        <v>54</v>
      </c>
      <c r="F849" t="s">
        <v>21</v>
      </c>
      <c r="G849">
        <v>63</v>
      </c>
      <c r="H849" t="s">
        <v>65</v>
      </c>
      <c r="I849" t="s">
        <v>42</v>
      </c>
      <c r="J849" t="s">
        <v>58</v>
      </c>
      <c r="K849">
        <v>0</v>
      </c>
      <c r="L849">
        <v>21017</v>
      </c>
      <c r="M849">
        <v>1500</v>
      </c>
      <c r="N849">
        <v>19517</v>
      </c>
      <c r="O849" t="s">
        <v>25</v>
      </c>
      <c r="P849">
        <v>3.2</v>
      </c>
      <c r="Q849">
        <v>53</v>
      </c>
      <c r="R849" t="s">
        <v>1078</v>
      </c>
      <c r="S849">
        <v>11</v>
      </c>
      <c r="T849" t="str">
        <f>IF(Healthcare_Data[[#This Row],[Final_Bill]]&gt;=50000,"High",IF(Healthcare_Data[[#This Row],[Final_Bill]]&gt;=20000,"Medium","low"))</f>
        <v>low</v>
      </c>
    </row>
    <row r="850" spans="1:20" x14ac:dyDescent="0.3">
      <c r="A850" t="s">
        <v>905</v>
      </c>
      <c r="B850">
        <v>45965</v>
      </c>
      <c r="C850" t="s">
        <v>67</v>
      </c>
      <c r="D850" t="s">
        <v>19</v>
      </c>
      <c r="E850" t="s">
        <v>20</v>
      </c>
      <c r="F850" t="s">
        <v>40</v>
      </c>
      <c r="G850">
        <v>69</v>
      </c>
      <c r="H850" t="s">
        <v>56</v>
      </c>
      <c r="I850" t="s">
        <v>42</v>
      </c>
      <c r="J850" t="s">
        <v>58</v>
      </c>
      <c r="K850">
        <v>0</v>
      </c>
      <c r="L850">
        <v>3669</v>
      </c>
      <c r="M850">
        <v>2000</v>
      </c>
      <c r="N850">
        <v>1669</v>
      </c>
      <c r="O850" t="s">
        <v>25</v>
      </c>
      <c r="P850">
        <v>4.5999999999999996</v>
      </c>
      <c r="Q850">
        <v>55</v>
      </c>
      <c r="R850" t="s">
        <v>1078</v>
      </c>
      <c r="S850">
        <v>11</v>
      </c>
      <c r="T850" t="str">
        <f>IF(Healthcare_Data[[#This Row],[Final_Bill]]&gt;=50000,"High",IF(Healthcare_Data[[#This Row],[Final_Bill]]&gt;=20000,"Medium","low"))</f>
        <v>low</v>
      </c>
    </row>
    <row r="851" spans="1:20" x14ac:dyDescent="0.3">
      <c r="A851" t="s">
        <v>906</v>
      </c>
      <c r="B851">
        <v>45966</v>
      </c>
      <c r="C851" t="s">
        <v>27</v>
      </c>
      <c r="D851" t="s">
        <v>34</v>
      </c>
      <c r="E851" t="s">
        <v>20</v>
      </c>
      <c r="F851" t="s">
        <v>21</v>
      </c>
      <c r="G851">
        <v>68</v>
      </c>
      <c r="H851" t="s">
        <v>46</v>
      </c>
      <c r="I851" t="s">
        <v>61</v>
      </c>
      <c r="J851" t="s">
        <v>31</v>
      </c>
      <c r="K851">
        <v>0</v>
      </c>
      <c r="L851">
        <v>6261</v>
      </c>
      <c r="M851">
        <v>500</v>
      </c>
      <c r="N851">
        <v>5761</v>
      </c>
      <c r="O851" t="s">
        <v>32</v>
      </c>
      <c r="P851">
        <v>3.7</v>
      </c>
      <c r="Q851">
        <v>106</v>
      </c>
      <c r="R851" t="s">
        <v>1078</v>
      </c>
      <c r="S851">
        <v>11</v>
      </c>
      <c r="T851" t="str">
        <f>IF(Healthcare_Data[[#This Row],[Final_Bill]]&gt;=50000,"High",IF(Healthcare_Data[[#This Row],[Final_Bill]]&gt;=20000,"Medium","low"))</f>
        <v>low</v>
      </c>
    </row>
    <row r="852" spans="1:20" x14ac:dyDescent="0.3">
      <c r="A852" t="s">
        <v>907</v>
      </c>
      <c r="B852">
        <v>45967</v>
      </c>
      <c r="C852" t="s">
        <v>44</v>
      </c>
      <c r="D852" t="s">
        <v>39</v>
      </c>
      <c r="E852" t="s">
        <v>52</v>
      </c>
      <c r="F852" t="s">
        <v>21</v>
      </c>
      <c r="G852">
        <v>57</v>
      </c>
      <c r="H852" t="s">
        <v>35</v>
      </c>
      <c r="I852" t="s">
        <v>61</v>
      </c>
      <c r="J852" t="s">
        <v>1057</v>
      </c>
      <c r="K852">
        <v>13</v>
      </c>
      <c r="L852">
        <v>19150</v>
      </c>
      <c r="M852">
        <v>0</v>
      </c>
      <c r="N852">
        <v>19150</v>
      </c>
      <c r="O852" t="s">
        <v>25</v>
      </c>
      <c r="P852">
        <v>4.2</v>
      </c>
      <c r="Q852">
        <v>24</v>
      </c>
      <c r="R852" t="s">
        <v>1078</v>
      </c>
      <c r="S852">
        <v>11</v>
      </c>
      <c r="T852" t="str">
        <f>IF(Healthcare_Data[[#This Row],[Final_Bill]]&gt;=50000,"High",IF(Healthcare_Data[[#This Row],[Final_Bill]]&gt;=20000,"Medium","low"))</f>
        <v>low</v>
      </c>
    </row>
    <row r="853" spans="1:20" x14ac:dyDescent="0.3">
      <c r="A853" t="s">
        <v>908</v>
      </c>
      <c r="B853">
        <v>45967</v>
      </c>
      <c r="C853" t="s">
        <v>27</v>
      </c>
      <c r="D853" t="s">
        <v>39</v>
      </c>
      <c r="E853" t="s">
        <v>20</v>
      </c>
      <c r="F853" t="s">
        <v>40</v>
      </c>
      <c r="G853">
        <v>45</v>
      </c>
      <c r="H853" t="s">
        <v>46</v>
      </c>
      <c r="I853" t="s">
        <v>61</v>
      </c>
      <c r="J853" t="s">
        <v>58</v>
      </c>
      <c r="K853">
        <v>0</v>
      </c>
      <c r="L853">
        <v>18774</v>
      </c>
      <c r="M853">
        <v>500</v>
      </c>
      <c r="N853">
        <v>18274</v>
      </c>
      <c r="O853" t="s">
        <v>32</v>
      </c>
      <c r="P853">
        <v>4.0999999999999996</v>
      </c>
      <c r="Q853">
        <v>102</v>
      </c>
      <c r="R853" t="s">
        <v>1078</v>
      </c>
      <c r="S853">
        <v>11</v>
      </c>
      <c r="T853" t="str">
        <f>IF(Healthcare_Data[[#This Row],[Final_Bill]]&gt;=50000,"High",IF(Healthcare_Data[[#This Row],[Final_Bill]]&gt;=20000,"Medium","low"))</f>
        <v>low</v>
      </c>
    </row>
    <row r="854" spans="1:20" x14ac:dyDescent="0.3">
      <c r="A854" t="s">
        <v>909</v>
      </c>
      <c r="B854">
        <v>45968</v>
      </c>
      <c r="C854" t="s">
        <v>50</v>
      </c>
      <c r="D854" t="s">
        <v>19</v>
      </c>
      <c r="E854" t="s">
        <v>54</v>
      </c>
      <c r="F854" t="s">
        <v>40</v>
      </c>
      <c r="G854">
        <v>60</v>
      </c>
      <c r="H854" t="s">
        <v>65</v>
      </c>
      <c r="I854" t="s">
        <v>23</v>
      </c>
      <c r="J854" t="s">
        <v>24</v>
      </c>
      <c r="K854">
        <v>0</v>
      </c>
      <c r="L854">
        <v>20334</v>
      </c>
      <c r="M854">
        <v>0</v>
      </c>
      <c r="N854">
        <v>20334</v>
      </c>
      <c r="O854" t="s">
        <v>32</v>
      </c>
      <c r="P854">
        <v>3.1</v>
      </c>
      <c r="Q854">
        <v>36</v>
      </c>
      <c r="R854" t="s">
        <v>1078</v>
      </c>
      <c r="S854">
        <v>11</v>
      </c>
      <c r="T854" t="str">
        <f>IF(Healthcare_Data[[#This Row],[Final_Bill]]&gt;=50000,"High",IF(Healthcare_Data[[#This Row],[Final_Bill]]&gt;=20000,"Medium","low"))</f>
        <v>Medium</v>
      </c>
    </row>
    <row r="855" spans="1:20" x14ac:dyDescent="0.3">
      <c r="A855" t="s">
        <v>910</v>
      </c>
      <c r="B855">
        <v>45968</v>
      </c>
      <c r="C855" t="s">
        <v>38</v>
      </c>
      <c r="D855" t="s">
        <v>34</v>
      </c>
      <c r="E855" t="s">
        <v>20</v>
      </c>
      <c r="F855" t="s">
        <v>21</v>
      </c>
      <c r="G855">
        <v>30</v>
      </c>
      <c r="H855" t="s">
        <v>56</v>
      </c>
      <c r="I855" t="s">
        <v>30</v>
      </c>
      <c r="J855" t="s">
        <v>31</v>
      </c>
      <c r="K855">
        <v>0</v>
      </c>
      <c r="L855">
        <v>5397</v>
      </c>
      <c r="M855">
        <v>0</v>
      </c>
      <c r="N855">
        <v>5397</v>
      </c>
      <c r="O855" t="s">
        <v>32</v>
      </c>
      <c r="P855">
        <v>3.4</v>
      </c>
      <c r="Q855">
        <v>119</v>
      </c>
      <c r="R855" t="s">
        <v>1078</v>
      </c>
      <c r="S855">
        <v>11</v>
      </c>
      <c r="T855" t="str">
        <f>IF(Healthcare_Data[[#This Row],[Final_Bill]]&gt;=50000,"High",IF(Healthcare_Data[[#This Row],[Final_Bill]]&gt;=20000,"Medium","low"))</f>
        <v>low</v>
      </c>
    </row>
    <row r="856" spans="1:20" x14ac:dyDescent="0.3">
      <c r="A856" t="s">
        <v>911</v>
      </c>
      <c r="B856">
        <v>45968</v>
      </c>
      <c r="C856" t="s">
        <v>38</v>
      </c>
      <c r="D856" t="s">
        <v>28</v>
      </c>
      <c r="E856" t="s">
        <v>54</v>
      </c>
      <c r="F856" t="s">
        <v>21</v>
      </c>
      <c r="G856">
        <v>57</v>
      </c>
      <c r="H856" t="s">
        <v>35</v>
      </c>
      <c r="I856" t="s">
        <v>23</v>
      </c>
      <c r="J856" t="s">
        <v>24</v>
      </c>
      <c r="K856">
        <v>0</v>
      </c>
      <c r="L856">
        <v>24679</v>
      </c>
      <c r="M856">
        <v>1000</v>
      </c>
      <c r="N856">
        <v>23679</v>
      </c>
      <c r="O856" t="s">
        <v>25</v>
      </c>
      <c r="P856">
        <v>2.6</v>
      </c>
      <c r="Q856">
        <v>21</v>
      </c>
      <c r="R856" t="s">
        <v>1078</v>
      </c>
      <c r="S856">
        <v>11</v>
      </c>
      <c r="T856" t="str">
        <f>IF(Healthcare_Data[[#This Row],[Final_Bill]]&gt;=50000,"High",IF(Healthcare_Data[[#This Row],[Final_Bill]]&gt;=20000,"Medium","low"))</f>
        <v>Medium</v>
      </c>
    </row>
    <row r="857" spans="1:20" x14ac:dyDescent="0.3">
      <c r="A857" t="s">
        <v>912</v>
      </c>
      <c r="B857">
        <v>45969</v>
      </c>
      <c r="C857" t="s">
        <v>44</v>
      </c>
      <c r="D857" t="s">
        <v>19</v>
      </c>
      <c r="E857" t="s">
        <v>20</v>
      </c>
      <c r="F857" t="s">
        <v>40</v>
      </c>
      <c r="G857">
        <v>75</v>
      </c>
      <c r="H857" t="s">
        <v>46</v>
      </c>
      <c r="I857" t="s">
        <v>30</v>
      </c>
      <c r="J857" t="s">
        <v>24</v>
      </c>
      <c r="K857">
        <v>0</v>
      </c>
      <c r="L857">
        <v>6156</v>
      </c>
      <c r="M857">
        <v>1500</v>
      </c>
      <c r="N857">
        <v>4656</v>
      </c>
      <c r="O857" t="s">
        <v>25</v>
      </c>
      <c r="P857">
        <v>4.7</v>
      </c>
      <c r="Q857">
        <v>21</v>
      </c>
      <c r="R857" t="s">
        <v>1078</v>
      </c>
      <c r="S857">
        <v>11</v>
      </c>
      <c r="T857" t="str">
        <f>IF(Healthcare_Data[[#This Row],[Final_Bill]]&gt;=50000,"High",IF(Healthcare_Data[[#This Row],[Final_Bill]]&gt;=20000,"Medium","low"))</f>
        <v>low</v>
      </c>
    </row>
    <row r="858" spans="1:20" x14ac:dyDescent="0.3">
      <c r="A858" t="s">
        <v>913</v>
      </c>
      <c r="B858">
        <v>45969</v>
      </c>
      <c r="C858" t="s">
        <v>44</v>
      </c>
      <c r="D858" t="s">
        <v>39</v>
      </c>
      <c r="E858" t="s">
        <v>20</v>
      </c>
      <c r="F858" t="s">
        <v>40</v>
      </c>
      <c r="G858">
        <v>34</v>
      </c>
      <c r="H858" t="s">
        <v>41</v>
      </c>
      <c r="I858" t="s">
        <v>69</v>
      </c>
      <c r="J858" t="s">
        <v>24</v>
      </c>
      <c r="K858">
        <v>0</v>
      </c>
      <c r="L858">
        <v>15798</v>
      </c>
      <c r="M858">
        <v>0</v>
      </c>
      <c r="N858">
        <v>15798</v>
      </c>
      <c r="O858" t="s">
        <v>25</v>
      </c>
      <c r="P858">
        <v>4.2</v>
      </c>
      <c r="Q858">
        <v>75</v>
      </c>
      <c r="R858" t="s">
        <v>1078</v>
      </c>
      <c r="S858">
        <v>11</v>
      </c>
      <c r="T858" t="str">
        <f>IF(Healthcare_Data[[#This Row],[Final_Bill]]&gt;=50000,"High",IF(Healthcare_Data[[#This Row],[Final_Bill]]&gt;=20000,"Medium","low"))</f>
        <v>low</v>
      </c>
    </row>
    <row r="859" spans="1:20" x14ac:dyDescent="0.3">
      <c r="A859" t="s">
        <v>914</v>
      </c>
      <c r="B859">
        <v>45969</v>
      </c>
      <c r="C859" t="s">
        <v>18</v>
      </c>
      <c r="D859" t="s">
        <v>51</v>
      </c>
      <c r="E859" t="s">
        <v>20</v>
      </c>
      <c r="F859" t="s">
        <v>21</v>
      </c>
      <c r="G859">
        <v>27</v>
      </c>
      <c r="H859" t="s">
        <v>22</v>
      </c>
      <c r="I859" t="s">
        <v>42</v>
      </c>
      <c r="J859" t="s">
        <v>36</v>
      </c>
      <c r="K859">
        <v>0</v>
      </c>
      <c r="L859">
        <v>3165</v>
      </c>
      <c r="M859">
        <v>500</v>
      </c>
      <c r="N859">
        <v>2665</v>
      </c>
      <c r="O859" t="s">
        <v>25</v>
      </c>
      <c r="P859">
        <v>4.5999999999999996</v>
      </c>
      <c r="Q859">
        <v>26</v>
      </c>
      <c r="R859" t="s">
        <v>1078</v>
      </c>
      <c r="S859">
        <v>11</v>
      </c>
      <c r="T859" t="str">
        <f>IF(Healthcare_Data[[#This Row],[Final_Bill]]&gt;=50000,"High",IF(Healthcare_Data[[#This Row],[Final_Bill]]&gt;=20000,"Medium","low"))</f>
        <v>low</v>
      </c>
    </row>
    <row r="860" spans="1:20" x14ac:dyDescent="0.3">
      <c r="A860" t="s">
        <v>915</v>
      </c>
      <c r="B860">
        <v>45970</v>
      </c>
      <c r="C860" t="s">
        <v>38</v>
      </c>
      <c r="D860" t="s">
        <v>28</v>
      </c>
      <c r="E860" t="s">
        <v>52</v>
      </c>
      <c r="F860" t="s">
        <v>21</v>
      </c>
      <c r="G860">
        <v>27</v>
      </c>
      <c r="H860" t="s">
        <v>41</v>
      </c>
      <c r="I860" t="s">
        <v>72</v>
      </c>
      <c r="J860" t="s">
        <v>36</v>
      </c>
      <c r="K860">
        <v>12</v>
      </c>
      <c r="L860">
        <v>57845</v>
      </c>
      <c r="M860">
        <v>500</v>
      </c>
      <c r="N860">
        <v>57345</v>
      </c>
      <c r="O860" t="s">
        <v>32</v>
      </c>
      <c r="P860">
        <v>4.5999999999999996</v>
      </c>
      <c r="Q860">
        <v>8</v>
      </c>
      <c r="R860" t="s">
        <v>1078</v>
      </c>
      <c r="S860">
        <v>11</v>
      </c>
      <c r="T860" t="str">
        <f>IF(Healthcare_Data[[#This Row],[Final_Bill]]&gt;=50000,"High",IF(Healthcare_Data[[#This Row],[Final_Bill]]&gt;=20000,"Medium","low"))</f>
        <v>High</v>
      </c>
    </row>
    <row r="861" spans="1:20" x14ac:dyDescent="0.3">
      <c r="A861" t="s">
        <v>916</v>
      </c>
      <c r="B861">
        <v>45970</v>
      </c>
      <c r="C861" t="s">
        <v>44</v>
      </c>
      <c r="D861" t="s">
        <v>19</v>
      </c>
      <c r="E861" t="s">
        <v>20</v>
      </c>
      <c r="F861" t="s">
        <v>21</v>
      </c>
      <c r="G861">
        <v>39</v>
      </c>
      <c r="H861" t="s">
        <v>56</v>
      </c>
      <c r="I861" t="s">
        <v>30</v>
      </c>
      <c r="J861" t="s">
        <v>24</v>
      </c>
      <c r="K861">
        <v>0</v>
      </c>
      <c r="L861">
        <v>18668</v>
      </c>
      <c r="M861">
        <v>1000</v>
      </c>
      <c r="N861">
        <v>17668</v>
      </c>
      <c r="O861" t="s">
        <v>32</v>
      </c>
      <c r="P861">
        <v>4.5999999999999996</v>
      </c>
      <c r="Q861">
        <v>36</v>
      </c>
      <c r="R861" t="s">
        <v>1078</v>
      </c>
      <c r="S861">
        <v>11</v>
      </c>
      <c r="T861" t="str">
        <f>IF(Healthcare_Data[[#This Row],[Final_Bill]]&gt;=50000,"High",IF(Healthcare_Data[[#This Row],[Final_Bill]]&gt;=20000,"Medium","low"))</f>
        <v>low</v>
      </c>
    </row>
    <row r="862" spans="1:20" x14ac:dyDescent="0.3">
      <c r="A862" t="s">
        <v>917</v>
      </c>
      <c r="B862">
        <v>45971</v>
      </c>
      <c r="C862" t="s">
        <v>67</v>
      </c>
      <c r="D862" t="s">
        <v>39</v>
      </c>
      <c r="E862" t="s">
        <v>52</v>
      </c>
      <c r="F862" t="s">
        <v>40</v>
      </c>
      <c r="G862">
        <v>56</v>
      </c>
      <c r="H862" t="s">
        <v>115</v>
      </c>
      <c r="I862" t="s">
        <v>72</v>
      </c>
      <c r="J862" t="s">
        <v>31</v>
      </c>
      <c r="K862">
        <v>10</v>
      </c>
      <c r="L862">
        <v>79322</v>
      </c>
      <c r="M862">
        <v>1000</v>
      </c>
      <c r="N862">
        <v>78322</v>
      </c>
      <c r="O862" t="s">
        <v>59</v>
      </c>
      <c r="P862">
        <v>2.6</v>
      </c>
      <c r="Q862">
        <v>66</v>
      </c>
      <c r="R862" t="s">
        <v>1078</v>
      </c>
      <c r="S862">
        <v>11</v>
      </c>
      <c r="T862" t="str">
        <f>IF(Healthcare_Data[[#This Row],[Final_Bill]]&gt;=50000,"High",IF(Healthcare_Data[[#This Row],[Final_Bill]]&gt;=20000,"Medium","low"))</f>
        <v>High</v>
      </c>
    </row>
    <row r="863" spans="1:20" x14ac:dyDescent="0.3">
      <c r="A863" t="s">
        <v>918</v>
      </c>
      <c r="B863">
        <v>45971</v>
      </c>
      <c r="C863" t="s">
        <v>18</v>
      </c>
      <c r="D863" t="s">
        <v>51</v>
      </c>
      <c r="E863" t="s">
        <v>20</v>
      </c>
      <c r="F863" t="s">
        <v>21</v>
      </c>
      <c r="G863">
        <v>72</v>
      </c>
      <c r="H863" t="s">
        <v>22</v>
      </c>
      <c r="I863" t="s">
        <v>61</v>
      </c>
      <c r="J863" t="s">
        <v>36</v>
      </c>
      <c r="K863">
        <v>0</v>
      </c>
      <c r="L863">
        <v>3383</v>
      </c>
      <c r="M863">
        <v>1000</v>
      </c>
      <c r="N863">
        <v>2383</v>
      </c>
      <c r="O863" t="s">
        <v>25</v>
      </c>
      <c r="P863">
        <v>3.8</v>
      </c>
      <c r="Q863">
        <v>88</v>
      </c>
      <c r="R863" t="s">
        <v>1078</v>
      </c>
      <c r="S863">
        <v>11</v>
      </c>
      <c r="T863" t="str">
        <f>IF(Healthcare_Data[[#This Row],[Final_Bill]]&gt;=50000,"High",IF(Healthcare_Data[[#This Row],[Final_Bill]]&gt;=20000,"Medium","low"))</f>
        <v>low</v>
      </c>
    </row>
    <row r="864" spans="1:20" x14ac:dyDescent="0.3">
      <c r="A864" t="s">
        <v>919</v>
      </c>
      <c r="B864">
        <v>45971</v>
      </c>
      <c r="C864" t="s">
        <v>50</v>
      </c>
      <c r="D864" t="s">
        <v>39</v>
      </c>
      <c r="E864" t="s">
        <v>20</v>
      </c>
      <c r="F864" t="s">
        <v>21</v>
      </c>
      <c r="G864">
        <v>75</v>
      </c>
      <c r="H864" t="s">
        <v>35</v>
      </c>
      <c r="I864" t="s">
        <v>63</v>
      </c>
      <c r="J864" t="s">
        <v>58</v>
      </c>
      <c r="K864">
        <v>0</v>
      </c>
      <c r="L864">
        <v>15840</v>
      </c>
      <c r="M864">
        <v>1500</v>
      </c>
      <c r="N864">
        <v>14340</v>
      </c>
      <c r="O864" t="s">
        <v>25</v>
      </c>
      <c r="P864">
        <v>3.9</v>
      </c>
      <c r="Q864">
        <v>86</v>
      </c>
      <c r="R864" t="s">
        <v>1078</v>
      </c>
      <c r="S864">
        <v>11</v>
      </c>
      <c r="T864" t="str">
        <f>IF(Healthcare_Data[[#This Row],[Final_Bill]]&gt;=50000,"High",IF(Healthcare_Data[[#This Row],[Final_Bill]]&gt;=20000,"Medium","low"))</f>
        <v>low</v>
      </c>
    </row>
    <row r="865" spans="1:20" x14ac:dyDescent="0.3">
      <c r="A865" t="s">
        <v>920</v>
      </c>
      <c r="B865">
        <v>45972</v>
      </c>
      <c r="C865" t="s">
        <v>38</v>
      </c>
      <c r="D865" t="s">
        <v>34</v>
      </c>
      <c r="E865" t="s">
        <v>20</v>
      </c>
      <c r="F865" t="s">
        <v>21</v>
      </c>
      <c r="G865">
        <v>23</v>
      </c>
      <c r="H865" t="s">
        <v>115</v>
      </c>
      <c r="I865" t="s">
        <v>69</v>
      </c>
      <c r="J865" t="s">
        <v>36</v>
      </c>
      <c r="K865">
        <v>0</v>
      </c>
      <c r="L865">
        <v>1831</v>
      </c>
      <c r="M865">
        <v>0</v>
      </c>
      <c r="N865">
        <v>1831</v>
      </c>
      <c r="O865" t="s">
        <v>25</v>
      </c>
      <c r="P865">
        <v>4.3</v>
      </c>
      <c r="Q865">
        <v>94</v>
      </c>
      <c r="R865" t="s">
        <v>1078</v>
      </c>
      <c r="S865">
        <v>11</v>
      </c>
      <c r="T865" t="str">
        <f>IF(Healthcare_Data[[#This Row],[Final_Bill]]&gt;=50000,"High",IF(Healthcare_Data[[#This Row],[Final_Bill]]&gt;=20000,"Medium","low"))</f>
        <v>low</v>
      </c>
    </row>
    <row r="866" spans="1:20" x14ac:dyDescent="0.3">
      <c r="A866" t="s">
        <v>921</v>
      </c>
      <c r="B866">
        <v>45972</v>
      </c>
      <c r="C866" t="s">
        <v>50</v>
      </c>
      <c r="D866" t="s">
        <v>39</v>
      </c>
      <c r="E866" t="s">
        <v>54</v>
      </c>
      <c r="F866" t="s">
        <v>21</v>
      </c>
      <c r="G866">
        <v>54</v>
      </c>
      <c r="H866" t="s">
        <v>41</v>
      </c>
      <c r="I866" t="s">
        <v>69</v>
      </c>
      <c r="J866" t="s">
        <v>24</v>
      </c>
      <c r="K866">
        <v>0</v>
      </c>
      <c r="L866">
        <v>29702</v>
      </c>
      <c r="M866">
        <v>1500</v>
      </c>
      <c r="N866">
        <v>28202</v>
      </c>
      <c r="O866" t="s">
        <v>25</v>
      </c>
      <c r="P866">
        <v>3</v>
      </c>
      <c r="Q866">
        <v>64</v>
      </c>
      <c r="R866" t="s">
        <v>1078</v>
      </c>
      <c r="S866">
        <v>11</v>
      </c>
      <c r="T866" t="str">
        <f>IF(Healthcare_Data[[#This Row],[Final_Bill]]&gt;=50000,"High",IF(Healthcare_Data[[#This Row],[Final_Bill]]&gt;=20000,"Medium","low"))</f>
        <v>Medium</v>
      </c>
    </row>
    <row r="867" spans="1:20" x14ac:dyDescent="0.3">
      <c r="A867" t="s">
        <v>922</v>
      </c>
      <c r="B867">
        <v>45972</v>
      </c>
      <c r="C867" t="s">
        <v>67</v>
      </c>
      <c r="D867" t="s">
        <v>39</v>
      </c>
      <c r="E867" t="s">
        <v>20</v>
      </c>
      <c r="F867" t="s">
        <v>40</v>
      </c>
      <c r="G867">
        <v>44</v>
      </c>
      <c r="H867" t="s">
        <v>46</v>
      </c>
      <c r="I867" t="s">
        <v>72</v>
      </c>
      <c r="J867" t="s">
        <v>24</v>
      </c>
      <c r="K867">
        <v>0</v>
      </c>
      <c r="L867">
        <v>9743</v>
      </c>
      <c r="M867">
        <v>0</v>
      </c>
      <c r="N867">
        <v>9743</v>
      </c>
      <c r="O867" t="s">
        <v>25</v>
      </c>
      <c r="P867">
        <v>2.9</v>
      </c>
      <c r="Q867">
        <v>16</v>
      </c>
      <c r="R867" t="s">
        <v>1078</v>
      </c>
      <c r="S867">
        <v>11</v>
      </c>
      <c r="T867" t="str">
        <f>IF(Healthcare_Data[[#This Row],[Final_Bill]]&gt;=50000,"High",IF(Healthcare_Data[[#This Row],[Final_Bill]]&gt;=20000,"Medium","low"))</f>
        <v>low</v>
      </c>
    </row>
    <row r="868" spans="1:20" x14ac:dyDescent="0.3">
      <c r="A868" t="s">
        <v>923</v>
      </c>
      <c r="B868">
        <v>45973</v>
      </c>
      <c r="C868" t="s">
        <v>18</v>
      </c>
      <c r="D868" t="s">
        <v>28</v>
      </c>
      <c r="E868" t="s">
        <v>54</v>
      </c>
      <c r="F868" t="s">
        <v>40</v>
      </c>
      <c r="G868">
        <v>23</v>
      </c>
      <c r="H868" t="s">
        <v>35</v>
      </c>
      <c r="I868" t="s">
        <v>30</v>
      </c>
      <c r="J868" t="s">
        <v>24</v>
      </c>
      <c r="K868">
        <v>0</v>
      </c>
      <c r="L868">
        <v>19294</v>
      </c>
      <c r="M868">
        <v>0</v>
      </c>
      <c r="N868">
        <v>19294</v>
      </c>
      <c r="O868" t="s">
        <v>32</v>
      </c>
      <c r="P868">
        <v>3.2</v>
      </c>
      <c r="Q868">
        <v>38</v>
      </c>
      <c r="R868" t="s">
        <v>1078</v>
      </c>
      <c r="S868">
        <v>11</v>
      </c>
      <c r="T868" t="str">
        <f>IF(Healthcare_Data[[#This Row],[Final_Bill]]&gt;=50000,"High",IF(Healthcare_Data[[#This Row],[Final_Bill]]&gt;=20000,"Medium","low"))</f>
        <v>low</v>
      </c>
    </row>
    <row r="869" spans="1:20" x14ac:dyDescent="0.3">
      <c r="A869" t="s">
        <v>924</v>
      </c>
      <c r="B869">
        <v>45973</v>
      </c>
      <c r="C869" t="s">
        <v>27</v>
      </c>
      <c r="D869" t="s">
        <v>39</v>
      </c>
      <c r="E869" t="s">
        <v>20</v>
      </c>
      <c r="F869" t="s">
        <v>40</v>
      </c>
      <c r="G869">
        <v>74</v>
      </c>
      <c r="H869" t="s">
        <v>46</v>
      </c>
      <c r="I869" t="s">
        <v>42</v>
      </c>
      <c r="J869" t="s">
        <v>24</v>
      </c>
      <c r="K869">
        <v>0</v>
      </c>
      <c r="L869">
        <v>8710</v>
      </c>
      <c r="M869">
        <v>0</v>
      </c>
      <c r="N869">
        <v>8710</v>
      </c>
      <c r="O869" t="s">
        <v>25</v>
      </c>
      <c r="P869">
        <v>3.9</v>
      </c>
      <c r="Q869">
        <v>60</v>
      </c>
      <c r="R869" t="s">
        <v>1078</v>
      </c>
      <c r="S869">
        <v>11</v>
      </c>
      <c r="T869" t="str">
        <f>IF(Healthcare_Data[[#This Row],[Final_Bill]]&gt;=50000,"High",IF(Healthcare_Data[[#This Row],[Final_Bill]]&gt;=20000,"Medium","low"))</f>
        <v>low</v>
      </c>
    </row>
    <row r="870" spans="1:20" x14ac:dyDescent="0.3">
      <c r="A870" t="s">
        <v>925</v>
      </c>
      <c r="B870">
        <v>45973</v>
      </c>
      <c r="C870" t="s">
        <v>38</v>
      </c>
      <c r="D870" t="s">
        <v>19</v>
      </c>
      <c r="E870" t="s">
        <v>54</v>
      </c>
      <c r="F870" t="s">
        <v>40</v>
      </c>
      <c r="G870">
        <v>61</v>
      </c>
      <c r="H870" t="s">
        <v>35</v>
      </c>
      <c r="I870" t="s">
        <v>57</v>
      </c>
      <c r="J870" t="s">
        <v>31</v>
      </c>
      <c r="K870">
        <v>0</v>
      </c>
      <c r="L870">
        <v>29352</v>
      </c>
      <c r="M870">
        <v>2000</v>
      </c>
      <c r="N870">
        <v>27352</v>
      </c>
      <c r="O870" t="s">
        <v>59</v>
      </c>
      <c r="P870">
        <v>3.5</v>
      </c>
      <c r="Q870">
        <v>5</v>
      </c>
      <c r="R870" t="s">
        <v>1078</v>
      </c>
      <c r="S870">
        <v>11</v>
      </c>
      <c r="T870" t="str">
        <f>IF(Healthcare_Data[[#This Row],[Final_Bill]]&gt;=50000,"High",IF(Healthcare_Data[[#This Row],[Final_Bill]]&gt;=20000,"Medium","low"))</f>
        <v>Medium</v>
      </c>
    </row>
    <row r="871" spans="1:20" x14ac:dyDescent="0.3">
      <c r="A871" t="s">
        <v>926</v>
      </c>
      <c r="B871">
        <v>45974</v>
      </c>
      <c r="C871" t="s">
        <v>48</v>
      </c>
      <c r="D871" t="s">
        <v>51</v>
      </c>
      <c r="E871" t="s">
        <v>54</v>
      </c>
      <c r="F871" t="s">
        <v>21</v>
      </c>
      <c r="G871">
        <v>34</v>
      </c>
      <c r="H871" t="s">
        <v>46</v>
      </c>
      <c r="I871" t="s">
        <v>30</v>
      </c>
      <c r="J871" t="s">
        <v>31</v>
      </c>
      <c r="K871">
        <v>0</v>
      </c>
      <c r="L871">
        <v>13105</v>
      </c>
      <c r="M871">
        <v>1000</v>
      </c>
      <c r="N871">
        <v>12105</v>
      </c>
      <c r="O871" t="s">
        <v>25</v>
      </c>
      <c r="P871">
        <v>2.8</v>
      </c>
      <c r="Q871">
        <v>91</v>
      </c>
      <c r="R871" t="s">
        <v>1078</v>
      </c>
      <c r="S871">
        <v>11</v>
      </c>
      <c r="T871" t="str">
        <f>IF(Healthcare_Data[[#This Row],[Final_Bill]]&gt;=50000,"High",IF(Healthcare_Data[[#This Row],[Final_Bill]]&gt;=20000,"Medium","low"))</f>
        <v>low</v>
      </c>
    </row>
    <row r="872" spans="1:20" x14ac:dyDescent="0.3">
      <c r="A872" t="s">
        <v>927</v>
      </c>
      <c r="B872">
        <v>45974</v>
      </c>
      <c r="C872" t="s">
        <v>54</v>
      </c>
      <c r="D872" t="s">
        <v>51</v>
      </c>
      <c r="E872" t="s">
        <v>54</v>
      </c>
      <c r="F872" t="s">
        <v>40</v>
      </c>
      <c r="G872">
        <v>64</v>
      </c>
      <c r="H872" t="s">
        <v>46</v>
      </c>
      <c r="I872" t="s">
        <v>23</v>
      </c>
      <c r="J872" t="s">
        <v>24</v>
      </c>
      <c r="K872">
        <v>0</v>
      </c>
      <c r="L872">
        <v>13958</v>
      </c>
      <c r="M872">
        <v>1500</v>
      </c>
      <c r="N872">
        <v>12458</v>
      </c>
      <c r="O872" t="s">
        <v>25</v>
      </c>
      <c r="P872">
        <v>2.8</v>
      </c>
      <c r="Q872">
        <v>8</v>
      </c>
      <c r="R872" t="s">
        <v>1078</v>
      </c>
      <c r="S872">
        <v>11</v>
      </c>
      <c r="T872" t="str">
        <f>IF(Healthcare_Data[[#This Row],[Final_Bill]]&gt;=50000,"High",IF(Healthcare_Data[[#This Row],[Final_Bill]]&gt;=20000,"Medium","low"))</f>
        <v>low</v>
      </c>
    </row>
    <row r="873" spans="1:20" x14ac:dyDescent="0.3">
      <c r="A873" t="s">
        <v>928</v>
      </c>
      <c r="B873">
        <v>45974</v>
      </c>
      <c r="C873" t="s">
        <v>48</v>
      </c>
      <c r="D873" t="s">
        <v>51</v>
      </c>
      <c r="E873" t="s">
        <v>20</v>
      </c>
      <c r="F873" t="s">
        <v>21</v>
      </c>
      <c r="G873">
        <v>76</v>
      </c>
      <c r="H873" t="s">
        <v>41</v>
      </c>
      <c r="I873" t="s">
        <v>23</v>
      </c>
      <c r="J873" t="s">
        <v>31</v>
      </c>
      <c r="K873">
        <v>0</v>
      </c>
      <c r="L873">
        <v>7729</v>
      </c>
      <c r="M873">
        <v>500</v>
      </c>
      <c r="N873">
        <v>7229</v>
      </c>
      <c r="O873" t="s">
        <v>59</v>
      </c>
      <c r="P873">
        <v>3.4</v>
      </c>
      <c r="Q873">
        <v>95</v>
      </c>
      <c r="R873" t="s">
        <v>1078</v>
      </c>
      <c r="S873">
        <v>11</v>
      </c>
      <c r="T873" t="str">
        <f>IF(Healthcare_Data[[#This Row],[Final_Bill]]&gt;=50000,"High",IF(Healthcare_Data[[#This Row],[Final_Bill]]&gt;=20000,"Medium","low"))</f>
        <v>low</v>
      </c>
    </row>
    <row r="874" spans="1:20" x14ac:dyDescent="0.3">
      <c r="A874" t="s">
        <v>929</v>
      </c>
      <c r="B874">
        <v>45974</v>
      </c>
      <c r="C874" t="s">
        <v>27</v>
      </c>
      <c r="D874" t="s">
        <v>39</v>
      </c>
      <c r="E874" t="s">
        <v>54</v>
      </c>
      <c r="F874" t="s">
        <v>40</v>
      </c>
      <c r="G874">
        <v>69</v>
      </c>
      <c r="H874" t="s">
        <v>41</v>
      </c>
      <c r="I874" t="s">
        <v>63</v>
      </c>
      <c r="J874" t="s">
        <v>24</v>
      </c>
      <c r="K874">
        <v>0</v>
      </c>
      <c r="L874">
        <v>24205</v>
      </c>
      <c r="M874">
        <v>1000</v>
      </c>
      <c r="N874">
        <v>23205</v>
      </c>
      <c r="O874" t="s">
        <v>25</v>
      </c>
      <c r="P874" t="s">
        <v>1057</v>
      </c>
      <c r="Q874">
        <v>99</v>
      </c>
      <c r="R874" t="s">
        <v>1078</v>
      </c>
      <c r="S874">
        <v>11</v>
      </c>
      <c r="T874" t="str">
        <f>IF(Healthcare_Data[[#This Row],[Final_Bill]]&gt;=50000,"High",IF(Healthcare_Data[[#This Row],[Final_Bill]]&gt;=20000,"Medium","low"))</f>
        <v>Medium</v>
      </c>
    </row>
    <row r="875" spans="1:20" x14ac:dyDescent="0.3">
      <c r="A875" t="s">
        <v>930</v>
      </c>
      <c r="B875">
        <v>45975</v>
      </c>
      <c r="C875" t="s">
        <v>67</v>
      </c>
      <c r="D875" t="s">
        <v>39</v>
      </c>
      <c r="E875" t="s">
        <v>20</v>
      </c>
      <c r="F875" t="s">
        <v>40</v>
      </c>
      <c r="G875">
        <v>77</v>
      </c>
      <c r="H875" t="s">
        <v>46</v>
      </c>
      <c r="I875" t="s">
        <v>30</v>
      </c>
      <c r="J875" t="s">
        <v>24</v>
      </c>
      <c r="K875">
        <v>0</v>
      </c>
      <c r="L875">
        <v>18069</v>
      </c>
      <c r="M875">
        <v>0</v>
      </c>
      <c r="N875">
        <v>18069</v>
      </c>
      <c r="O875" t="s">
        <v>25</v>
      </c>
      <c r="P875">
        <v>2.7</v>
      </c>
      <c r="Q875">
        <v>56</v>
      </c>
      <c r="R875" t="s">
        <v>1078</v>
      </c>
      <c r="S875">
        <v>11</v>
      </c>
      <c r="T875" t="str">
        <f>IF(Healthcare_Data[[#This Row],[Final_Bill]]&gt;=50000,"High",IF(Healthcare_Data[[#This Row],[Final_Bill]]&gt;=20000,"Medium","low"))</f>
        <v>low</v>
      </c>
    </row>
    <row r="876" spans="1:20" x14ac:dyDescent="0.3">
      <c r="A876" t="s">
        <v>931</v>
      </c>
      <c r="B876">
        <v>45975</v>
      </c>
      <c r="C876" t="s">
        <v>48</v>
      </c>
      <c r="D876" t="s">
        <v>34</v>
      </c>
      <c r="E876" t="s">
        <v>52</v>
      </c>
      <c r="F876" t="s">
        <v>40</v>
      </c>
      <c r="G876">
        <v>76</v>
      </c>
      <c r="H876" t="s">
        <v>115</v>
      </c>
      <c r="I876" t="s">
        <v>30</v>
      </c>
      <c r="J876" t="s">
        <v>24</v>
      </c>
      <c r="K876">
        <v>5</v>
      </c>
      <c r="L876">
        <v>16728</v>
      </c>
      <c r="M876">
        <v>0</v>
      </c>
      <c r="N876">
        <v>16728</v>
      </c>
      <c r="O876" t="s">
        <v>25</v>
      </c>
      <c r="P876">
        <v>3.1</v>
      </c>
      <c r="Q876">
        <v>55</v>
      </c>
      <c r="R876" t="s">
        <v>1078</v>
      </c>
      <c r="S876">
        <v>11</v>
      </c>
      <c r="T876" t="str">
        <f>IF(Healthcare_Data[[#This Row],[Final_Bill]]&gt;=50000,"High",IF(Healthcare_Data[[#This Row],[Final_Bill]]&gt;=20000,"Medium","low"))</f>
        <v>low</v>
      </c>
    </row>
    <row r="877" spans="1:20" x14ac:dyDescent="0.3">
      <c r="A877" t="s">
        <v>932</v>
      </c>
      <c r="B877">
        <v>45975</v>
      </c>
      <c r="C877" t="s">
        <v>18</v>
      </c>
      <c r="D877" t="s">
        <v>19</v>
      </c>
      <c r="E877" t="s">
        <v>20</v>
      </c>
      <c r="F877" t="s">
        <v>21</v>
      </c>
      <c r="G877">
        <v>79</v>
      </c>
      <c r="H877" t="s">
        <v>22</v>
      </c>
      <c r="I877" t="s">
        <v>42</v>
      </c>
      <c r="J877" t="s">
        <v>36</v>
      </c>
      <c r="K877">
        <v>0</v>
      </c>
      <c r="L877">
        <v>3343</v>
      </c>
      <c r="M877">
        <v>1000</v>
      </c>
      <c r="N877">
        <v>2343</v>
      </c>
      <c r="O877" t="s">
        <v>25</v>
      </c>
      <c r="P877">
        <v>3</v>
      </c>
      <c r="Q877">
        <v>28</v>
      </c>
      <c r="R877" t="s">
        <v>1078</v>
      </c>
      <c r="S877">
        <v>11</v>
      </c>
      <c r="T877" t="str">
        <f>IF(Healthcare_Data[[#This Row],[Final_Bill]]&gt;=50000,"High",IF(Healthcare_Data[[#This Row],[Final_Bill]]&gt;=20000,"Medium","low"))</f>
        <v>low</v>
      </c>
    </row>
    <row r="878" spans="1:20" x14ac:dyDescent="0.3">
      <c r="A878" t="s">
        <v>933</v>
      </c>
      <c r="B878">
        <v>45975</v>
      </c>
      <c r="C878" t="s">
        <v>38</v>
      </c>
      <c r="D878" t="s">
        <v>28</v>
      </c>
      <c r="E878" t="s">
        <v>54</v>
      </c>
      <c r="F878" t="s">
        <v>40</v>
      </c>
      <c r="G878">
        <v>31</v>
      </c>
      <c r="H878" t="s">
        <v>56</v>
      </c>
      <c r="I878" t="s">
        <v>61</v>
      </c>
      <c r="J878" t="s">
        <v>24</v>
      </c>
      <c r="K878">
        <v>0</v>
      </c>
      <c r="L878">
        <v>42258</v>
      </c>
      <c r="M878">
        <v>0</v>
      </c>
      <c r="N878">
        <v>42258</v>
      </c>
      <c r="O878" t="s">
        <v>25</v>
      </c>
      <c r="P878">
        <v>3.7</v>
      </c>
      <c r="Q878">
        <v>30</v>
      </c>
      <c r="R878" t="s">
        <v>1078</v>
      </c>
      <c r="S878">
        <v>11</v>
      </c>
      <c r="T878" t="str">
        <f>IF(Healthcare_Data[[#This Row],[Final_Bill]]&gt;=50000,"High",IF(Healthcare_Data[[#This Row],[Final_Bill]]&gt;=20000,"Medium","low"))</f>
        <v>Medium</v>
      </c>
    </row>
    <row r="879" spans="1:20" x14ac:dyDescent="0.3">
      <c r="A879" t="s">
        <v>934</v>
      </c>
      <c r="B879">
        <v>45976</v>
      </c>
      <c r="C879" t="s">
        <v>50</v>
      </c>
      <c r="D879" t="s">
        <v>34</v>
      </c>
      <c r="E879" t="s">
        <v>20</v>
      </c>
      <c r="F879" t="s">
        <v>21</v>
      </c>
      <c r="G879">
        <v>36</v>
      </c>
      <c r="H879" t="s">
        <v>35</v>
      </c>
      <c r="I879" t="s">
        <v>61</v>
      </c>
      <c r="J879" t="s">
        <v>24</v>
      </c>
      <c r="K879">
        <v>0</v>
      </c>
      <c r="L879">
        <v>5977</v>
      </c>
      <c r="M879">
        <v>500</v>
      </c>
      <c r="N879">
        <v>5477</v>
      </c>
      <c r="O879" t="s">
        <v>59</v>
      </c>
      <c r="P879">
        <v>3.3</v>
      </c>
      <c r="Q879">
        <v>101</v>
      </c>
      <c r="R879" t="s">
        <v>1078</v>
      </c>
      <c r="S879">
        <v>11</v>
      </c>
      <c r="T879" t="str">
        <f>IF(Healthcare_Data[[#This Row],[Final_Bill]]&gt;=50000,"High",IF(Healthcare_Data[[#This Row],[Final_Bill]]&gt;=20000,"Medium","low"))</f>
        <v>low</v>
      </c>
    </row>
    <row r="880" spans="1:20" x14ac:dyDescent="0.3">
      <c r="A880" t="s">
        <v>935</v>
      </c>
      <c r="B880">
        <v>45976</v>
      </c>
      <c r="C880" t="s">
        <v>67</v>
      </c>
      <c r="D880" t="s">
        <v>51</v>
      </c>
      <c r="E880" t="s">
        <v>20</v>
      </c>
      <c r="F880" t="s">
        <v>21</v>
      </c>
      <c r="G880">
        <v>47</v>
      </c>
      <c r="H880" t="s">
        <v>56</v>
      </c>
      <c r="I880" t="s">
        <v>69</v>
      </c>
      <c r="J880" t="s">
        <v>58</v>
      </c>
      <c r="K880">
        <v>0</v>
      </c>
      <c r="L880">
        <v>18682</v>
      </c>
      <c r="M880">
        <v>500</v>
      </c>
      <c r="N880">
        <v>18182</v>
      </c>
      <c r="O880" t="s">
        <v>25</v>
      </c>
      <c r="P880">
        <v>5</v>
      </c>
      <c r="Q880">
        <v>57</v>
      </c>
      <c r="R880" t="s">
        <v>1078</v>
      </c>
      <c r="S880">
        <v>11</v>
      </c>
      <c r="T880" t="str">
        <f>IF(Healthcare_Data[[#This Row],[Final_Bill]]&gt;=50000,"High",IF(Healthcare_Data[[#This Row],[Final_Bill]]&gt;=20000,"Medium","low"))</f>
        <v>low</v>
      </c>
    </row>
    <row r="881" spans="1:20" x14ac:dyDescent="0.3">
      <c r="A881" t="s">
        <v>936</v>
      </c>
      <c r="B881">
        <v>45977</v>
      </c>
      <c r="C881" t="s">
        <v>48</v>
      </c>
      <c r="D881" t="s">
        <v>19</v>
      </c>
      <c r="E881" t="s">
        <v>20</v>
      </c>
      <c r="F881" t="s">
        <v>40</v>
      </c>
      <c r="G881">
        <v>43</v>
      </c>
      <c r="H881" t="s">
        <v>65</v>
      </c>
      <c r="I881" t="s">
        <v>69</v>
      </c>
      <c r="J881" t="s">
        <v>24</v>
      </c>
      <c r="K881">
        <v>0</v>
      </c>
      <c r="L881">
        <v>9114</v>
      </c>
      <c r="M881">
        <v>1500</v>
      </c>
      <c r="N881">
        <v>7614</v>
      </c>
      <c r="O881" t="s">
        <v>25</v>
      </c>
      <c r="P881">
        <v>4.5</v>
      </c>
      <c r="Q881">
        <v>105</v>
      </c>
      <c r="R881" t="s">
        <v>1078</v>
      </c>
      <c r="S881">
        <v>11</v>
      </c>
      <c r="T881" t="str">
        <f>IF(Healthcare_Data[[#This Row],[Final_Bill]]&gt;=50000,"High",IF(Healthcare_Data[[#This Row],[Final_Bill]]&gt;=20000,"Medium","low"))</f>
        <v>low</v>
      </c>
    </row>
    <row r="882" spans="1:20" x14ac:dyDescent="0.3">
      <c r="A882" t="s">
        <v>937</v>
      </c>
      <c r="B882">
        <v>45977</v>
      </c>
      <c r="C882" t="s">
        <v>67</v>
      </c>
      <c r="D882" t="s">
        <v>39</v>
      </c>
      <c r="E882" t="s">
        <v>20</v>
      </c>
      <c r="F882" t="s">
        <v>21</v>
      </c>
      <c r="G882">
        <v>59</v>
      </c>
      <c r="H882" t="s">
        <v>22</v>
      </c>
      <c r="I882" t="s">
        <v>61</v>
      </c>
      <c r="J882" t="s">
        <v>24</v>
      </c>
      <c r="K882">
        <v>0</v>
      </c>
      <c r="L882">
        <v>16731</v>
      </c>
      <c r="M882">
        <v>0</v>
      </c>
      <c r="N882">
        <v>16731</v>
      </c>
      <c r="O882" t="s">
        <v>25</v>
      </c>
      <c r="P882">
        <v>3.1</v>
      </c>
      <c r="Q882">
        <v>115</v>
      </c>
      <c r="R882" t="s">
        <v>1078</v>
      </c>
      <c r="S882">
        <v>11</v>
      </c>
      <c r="T882" t="str">
        <f>IF(Healthcare_Data[[#This Row],[Final_Bill]]&gt;=50000,"High",IF(Healthcare_Data[[#This Row],[Final_Bill]]&gt;=20000,"Medium","low"))</f>
        <v>low</v>
      </c>
    </row>
    <row r="883" spans="1:20" x14ac:dyDescent="0.3">
      <c r="A883" t="s">
        <v>938</v>
      </c>
      <c r="B883">
        <v>45977</v>
      </c>
      <c r="C883" t="s">
        <v>54</v>
      </c>
      <c r="D883" t="s">
        <v>28</v>
      </c>
      <c r="E883" t="s">
        <v>54</v>
      </c>
      <c r="F883" t="s">
        <v>40</v>
      </c>
      <c r="G883">
        <v>59</v>
      </c>
      <c r="H883" t="s">
        <v>22</v>
      </c>
      <c r="I883" t="s">
        <v>72</v>
      </c>
      <c r="J883" t="s">
        <v>58</v>
      </c>
      <c r="K883">
        <v>0</v>
      </c>
      <c r="L883">
        <v>29371</v>
      </c>
      <c r="M883">
        <v>2000</v>
      </c>
      <c r="N883">
        <v>27371</v>
      </c>
      <c r="O883" t="s">
        <v>25</v>
      </c>
      <c r="P883">
        <v>4.4000000000000004</v>
      </c>
      <c r="Q883">
        <v>28</v>
      </c>
      <c r="R883" t="s">
        <v>1078</v>
      </c>
      <c r="S883">
        <v>11</v>
      </c>
      <c r="T883" t="str">
        <f>IF(Healthcare_Data[[#This Row],[Final_Bill]]&gt;=50000,"High",IF(Healthcare_Data[[#This Row],[Final_Bill]]&gt;=20000,"Medium","low"))</f>
        <v>Medium</v>
      </c>
    </row>
    <row r="884" spans="1:20" x14ac:dyDescent="0.3">
      <c r="A884" t="s">
        <v>939</v>
      </c>
      <c r="B884">
        <v>45978</v>
      </c>
      <c r="C884" t="s">
        <v>38</v>
      </c>
      <c r="D884" t="s">
        <v>34</v>
      </c>
      <c r="E884" t="s">
        <v>54</v>
      </c>
      <c r="F884" t="s">
        <v>21</v>
      </c>
      <c r="G884">
        <v>42</v>
      </c>
      <c r="H884" t="s">
        <v>29</v>
      </c>
      <c r="I884" t="s">
        <v>61</v>
      </c>
      <c r="J884" t="s">
        <v>24</v>
      </c>
      <c r="K884">
        <v>0</v>
      </c>
      <c r="L884">
        <v>28774</v>
      </c>
      <c r="M884">
        <v>500</v>
      </c>
      <c r="N884">
        <v>28274</v>
      </c>
      <c r="O884" t="s">
        <v>32</v>
      </c>
      <c r="P884">
        <v>3.8</v>
      </c>
      <c r="Q884">
        <v>107</v>
      </c>
      <c r="R884" t="s">
        <v>1078</v>
      </c>
      <c r="S884">
        <v>11</v>
      </c>
      <c r="T884" t="str">
        <f>IF(Healthcare_Data[[#This Row],[Final_Bill]]&gt;=50000,"High",IF(Healthcare_Data[[#This Row],[Final_Bill]]&gt;=20000,"Medium","low"))</f>
        <v>Medium</v>
      </c>
    </row>
    <row r="885" spans="1:20" x14ac:dyDescent="0.3">
      <c r="A885" t="s">
        <v>940</v>
      </c>
      <c r="B885">
        <v>45978</v>
      </c>
      <c r="C885" t="s">
        <v>50</v>
      </c>
      <c r="D885" t="s">
        <v>39</v>
      </c>
      <c r="E885" t="s">
        <v>20</v>
      </c>
      <c r="F885" t="s">
        <v>21</v>
      </c>
      <c r="G885">
        <v>62</v>
      </c>
      <c r="H885" t="s">
        <v>41</v>
      </c>
      <c r="I885" t="s">
        <v>23</v>
      </c>
      <c r="J885" t="s">
        <v>24</v>
      </c>
      <c r="K885">
        <v>0</v>
      </c>
      <c r="L885">
        <v>6536</v>
      </c>
      <c r="M885">
        <v>0</v>
      </c>
      <c r="N885">
        <v>6536</v>
      </c>
      <c r="O885" t="s">
        <v>25</v>
      </c>
      <c r="P885">
        <v>3.6</v>
      </c>
      <c r="Q885">
        <v>47</v>
      </c>
      <c r="R885" t="s">
        <v>1078</v>
      </c>
      <c r="S885">
        <v>11</v>
      </c>
      <c r="T885" t="str">
        <f>IF(Healthcare_Data[[#This Row],[Final_Bill]]&gt;=50000,"High",IF(Healthcare_Data[[#This Row],[Final_Bill]]&gt;=20000,"Medium","low"))</f>
        <v>low</v>
      </c>
    </row>
    <row r="886" spans="1:20" x14ac:dyDescent="0.3">
      <c r="A886" t="s">
        <v>941</v>
      </c>
      <c r="B886">
        <v>45979</v>
      </c>
      <c r="C886" t="s">
        <v>67</v>
      </c>
      <c r="D886" t="s">
        <v>19</v>
      </c>
      <c r="E886" t="s">
        <v>20</v>
      </c>
      <c r="F886" t="s">
        <v>40</v>
      </c>
      <c r="G886">
        <v>52</v>
      </c>
      <c r="H886" t="s">
        <v>46</v>
      </c>
      <c r="I886" t="s">
        <v>42</v>
      </c>
      <c r="J886" t="s">
        <v>36</v>
      </c>
      <c r="K886">
        <v>0</v>
      </c>
      <c r="L886">
        <v>17358</v>
      </c>
      <c r="M886">
        <v>1500</v>
      </c>
      <c r="N886">
        <v>15858</v>
      </c>
      <c r="O886" t="s">
        <v>32</v>
      </c>
      <c r="P886">
        <v>4.2</v>
      </c>
      <c r="Q886">
        <v>104</v>
      </c>
      <c r="R886" t="s">
        <v>1078</v>
      </c>
      <c r="S886">
        <v>11</v>
      </c>
      <c r="T886" t="str">
        <f>IF(Healthcare_Data[[#This Row],[Final_Bill]]&gt;=50000,"High",IF(Healthcare_Data[[#This Row],[Final_Bill]]&gt;=20000,"Medium","low"))</f>
        <v>low</v>
      </c>
    </row>
    <row r="887" spans="1:20" x14ac:dyDescent="0.3">
      <c r="A887" t="s">
        <v>942</v>
      </c>
      <c r="B887">
        <v>45979</v>
      </c>
      <c r="C887" t="s">
        <v>27</v>
      </c>
      <c r="D887" t="s">
        <v>51</v>
      </c>
      <c r="E887" t="s">
        <v>20</v>
      </c>
      <c r="F887" t="s">
        <v>40</v>
      </c>
      <c r="G887">
        <v>43</v>
      </c>
      <c r="H887" t="s">
        <v>115</v>
      </c>
      <c r="I887" t="s">
        <v>63</v>
      </c>
      <c r="J887" t="s">
        <v>24</v>
      </c>
      <c r="K887">
        <v>0</v>
      </c>
      <c r="L887">
        <v>18445</v>
      </c>
      <c r="M887">
        <v>0</v>
      </c>
      <c r="N887">
        <v>18445</v>
      </c>
      <c r="O887" t="s">
        <v>25</v>
      </c>
      <c r="P887">
        <v>5</v>
      </c>
      <c r="Q887">
        <v>13</v>
      </c>
      <c r="R887" t="s">
        <v>1078</v>
      </c>
      <c r="S887">
        <v>11</v>
      </c>
      <c r="T887" t="str">
        <f>IF(Healthcare_Data[[#This Row],[Final_Bill]]&gt;=50000,"High",IF(Healthcare_Data[[#This Row],[Final_Bill]]&gt;=20000,"Medium","low"))</f>
        <v>low</v>
      </c>
    </row>
    <row r="888" spans="1:20" x14ac:dyDescent="0.3">
      <c r="A888" t="s">
        <v>943</v>
      </c>
      <c r="B888">
        <v>45980</v>
      </c>
      <c r="C888" t="s">
        <v>54</v>
      </c>
      <c r="D888" t="s">
        <v>39</v>
      </c>
      <c r="E888" t="s">
        <v>20</v>
      </c>
      <c r="F888" t="s">
        <v>40</v>
      </c>
      <c r="G888">
        <v>79</v>
      </c>
      <c r="H888" t="s">
        <v>35</v>
      </c>
      <c r="I888" t="s">
        <v>23</v>
      </c>
      <c r="J888" t="s">
        <v>24</v>
      </c>
      <c r="K888">
        <v>0</v>
      </c>
      <c r="L888">
        <v>19693</v>
      </c>
      <c r="M888">
        <v>500</v>
      </c>
      <c r="N888">
        <v>19193</v>
      </c>
      <c r="O888" t="s">
        <v>25</v>
      </c>
      <c r="P888">
        <v>4.5999999999999996</v>
      </c>
      <c r="Q888">
        <v>90</v>
      </c>
      <c r="R888" t="s">
        <v>1078</v>
      </c>
      <c r="S888">
        <v>11</v>
      </c>
      <c r="T888" t="str">
        <f>IF(Healthcare_Data[[#This Row],[Final_Bill]]&gt;=50000,"High",IF(Healthcare_Data[[#This Row],[Final_Bill]]&gt;=20000,"Medium","low"))</f>
        <v>low</v>
      </c>
    </row>
    <row r="889" spans="1:20" x14ac:dyDescent="0.3">
      <c r="A889" t="s">
        <v>944</v>
      </c>
      <c r="B889">
        <v>45980</v>
      </c>
      <c r="C889" t="s">
        <v>44</v>
      </c>
      <c r="D889" t="s">
        <v>39</v>
      </c>
      <c r="E889" t="s">
        <v>54</v>
      </c>
      <c r="F889" t="s">
        <v>40</v>
      </c>
      <c r="G889">
        <v>18</v>
      </c>
      <c r="H889" t="s">
        <v>41</v>
      </c>
      <c r="I889" t="s">
        <v>63</v>
      </c>
      <c r="J889" t="s">
        <v>31</v>
      </c>
      <c r="K889">
        <v>0</v>
      </c>
      <c r="L889">
        <v>10810</v>
      </c>
      <c r="M889">
        <v>0</v>
      </c>
      <c r="N889">
        <v>10810</v>
      </c>
      <c r="O889" t="s">
        <v>59</v>
      </c>
      <c r="P889">
        <v>3.7</v>
      </c>
      <c r="Q889">
        <v>104</v>
      </c>
      <c r="R889" t="s">
        <v>1078</v>
      </c>
      <c r="S889">
        <v>11</v>
      </c>
      <c r="T889" t="str">
        <f>IF(Healthcare_Data[[#This Row],[Final_Bill]]&gt;=50000,"High",IF(Healthcare_Data[[#This Row],[Final_Bill]]&gt;=20000,"Medium","low"))</f>
        <v>low</v>
      </c>
    </row>
    <row r="890" spans="1:20" x14ac:dyDescent="0.3">
      <c r="A890" t="s">
        <v>945</v>
      </c>
      <c r="B890">
        <v>45980</v>
      </c>
      <c r="C890" t="s">
        <v>38</v>
      </c>
      <c r="D890" t="s">
        <v>39</v>
      </c>
      <c r="E890" t="s">
        <v>52</v>
      </c>
      <c r="F890" t="s">
        <v>21</v>
      </c>
      <c r="G890">
        <v>62</v>
      </c>
      <c r="H890" t="s">
        <v>41</v>
      </c>
      <c r="I890" t="s">
        <v>30</v>
      </c>
      <c r="J890" t="s">
        <v>24</v>
      </c>
      <c r="K890">
        <v>13</v>
      </c>
      <c r="L890">
        <v>63774</v>
      </c>
      <c r="M890">
        <v>1000</v>
      </c>
      <c r="N890">
        <v>62774</v>
      </c>
      <c r="O890" t="s">
        <v>32</v>
      </c>
      <c r="P890">
        <v>3.5</v>
      </c>
      <c r="Q890">
        <v>10</v>
      </c>
      <c r="R890" t="s">
        <v>1078</v>
      </c>
      <c r="S890">
        <v>11</v>
      </c>
      <c r="T890" t="str">
        <f>IF(Healthcare_Data[[#This Row],[Final_Bill]]&gt;=50000,"High",IF(Healthcare_Data[[#This Row],[Final_Bill]]&gt;=20000,"Medium","low"))</f>
        <v>High</v>
      </c>
    </row>
    <row r="891" spans="1:20" x14ac:dyDescent="0.3">
      <c r="A891" t="s">
        <v>946</v>
      </c>
      <c r="B891">
        <v>45981</v>
      </c>
      <c r="C891" t="s">
        <v>44</v>
      </c>
      <c r="D891" t="s">
        <v>19</v>
      </c>
      <c r="E891" t="s">
        <v>20</v>
      </c>
      <c r="F891" t="s">
        <v>40</v>
      </c>
      <c r="G891">
        <v>78</v>
      </c>
      <c r="H891" t="s">
        <v>115</v>
      </c>
      <c r="I891" t="s">
        <v>61</v>
      </c>
      <c r="J891" t="s">
        <v>24</v>
      </c>
      <c r="K891">
        <v>0</v>
      </c>
      <c r="L891">
        <v>15774</v>
      </c>
      <c r="M891">
        <v>0</v>
      </c>
      <c r="N891">
        <v>15774</v>
      </c>
      <c r="O891" t="s">
        <v>25</v>
      </c>
      <c r="P891">
        <v>3.4</v>
      </c>
      <c r="Q891">
        <v>52</v>
      </c>
      <c r="R891" t="s">
        <v>1078</v>
      </c>
      <c r="S891">
        <v>11</v>
      </c>
      <c r="T891" t="str">
        <f>IF(Healthcare_Data[[#This Row],[Final_Bill]]&gt;=50000,"High",IF(Healthcare_Data[[#This Row],[Final_Bill]]&gt;=20000,"Medium","low"))</f>
        <v>low</v>
      </c>
    </row>
    <row r="892" spans="1:20" x14ac:dyDescent="0.3">
      <c r="A892" t="s">
        <v>947</v>
      </c>
      <c r="B892">
        <v>45981</v>
      </c>
      <c r="C892" t="s">
        <v>48</v>
      </c>
      <c r="D892" t="s">
        <v>28</v>
      </c>
      <c r="E892" t="s">
        <v>20</v>
      </c>
      <c r="F892" t="s">
        <v>21</v>
      </c>
      <c r="G892">
        <v>39</v>
      </c>
      <c r="H892" t="s">
        <v>29</v>
      </c>
      <c r="I892" t="s">
        <v>61</v>
      </c>
      <c r="J892" t="s">
        <v>36</v>
      </c>
      <c r="K892">
        <v>0</v>
      </c>
      <c r="L892">
        <v>15165</v>
      </c>
      <c r="M892">
        <v>0</v>
      </c>
      <c r="N892">
        <v>15165</v>
      </c>
      <c r="O892" t="s">
        <v>25</v>
      </c>
      <c r="P892">
        <v>4</v>
      </c>
      <c r="Q892">
        <v>38</v>
      </c>
      <c r="R892" t="s">
        <v>1078</v>
      </c>
      <c r="S892">
        <v>11</v>
      </c>
      <c r="T892" t="str">
        <f>IF(Healthcare_Data[[#This Row],[Final_Bill]]&gt;=50000,"High",IF(Healthcare_Data[[#This Row],[Final_Bill]]&gt;=20000,"Medium","low"))</f>
        <v>low</v>
      </c>
    </row>
    <row r="893" spans="1:20" x14ac:dyDescent="0.3">
      <c r="A893" t="s">
        <v>948</v>
      </c>
      <c r="B893">
        <v>45982</v>
      </c>
      <c r="C893" t="s">
        <v>48</v>
      </c>
      <c r="D893" t="s">
        <v>34</v>
      </c>
      <c r="E893" t="s">
        <v>52</v>
      </c>
      <c r="F893" t="s">
        <v>40</v>
      </c>
      <c r="G893">
        <v>20</v>
      </c>
      <c r="H893" t="s">
        <v>41</v>
      </c>
      <c r="I893" t="s">
        <v>61</v>
      </c>
      <c r="J893" t="s">
        <v>58</v>
      </c>
      <c r="K893">
        <v>4</v>
      </c>
      <c r="L893">
        <v>48536</v>
      </c>
      <c r="M893">
        <v>0</v>
      </c>
      <c r="N893">
        <v>48536</v>
      </c>
      <c r="O893" t="s">
        <v>25</v>
      </c>
      <c r="P893">
        <v>4.4000000000000004</v>
      </c>
      <c r="Q893">
        <v>99</v>
      </c>
      <c r="R893" t="s">
        <v>1078</v>
      </c>
      <c r="S893">
        <v>11</v>
      </c>
      <c r="T893" t="str">
        <f>IF(Healthcare_Data[[#This Row],[Final_Bill]]&gt;=50000,"High",IF(Healthcare_Data[[#This Row],[Final_Bill]]&gt;=20000,"Medium","low"))</f>
        <v>Medium</v>
      </c>
    </row>
    <row r="894" spans="1:20" x14ac:dyDescent="0.3">
      <c r="A894" t="s">
        <v>949</v>
      </c>
      <c r="B894">
        <v>45982</v>
      </c>
      <c r="C894" t="s">
        <v>27</v>
      </c>
      <c r="D894" t="s">
        <v>34</v>
      </c>
      <c r="E894" t="s">
        <v>20</v>
      </c>
      <c r="F894" t="s">
        <v>40</v>
      </c>
      <c r="G894">
        <v>70</v>
      </c>
      <c r="H894" t="s">
        <v>35</v>
      </c>
      <c r="I894" t="s">
        <v>72</v>
      </c>
      <c r="J894" t="s">
        <v>58</v>
      </c>
      <c r="K894">
        <v>0</v>
      </c>
      <c r="L894">
        <v>14888</v>
      </c>
      <c r="M894">
        <v>2000</v>
      </c>
      <c r="N894">
        <v>12888</v>
      </c>
      <c r="O894" t="s">
        <v>25</v>
      </c>
      <c r="P894">
        <v>2.7</v>
      </c>
      <c r="Q894">
        <v>70</v>
      </c>
      <c r="R894" t="s">
        <v>1078</v>
      </c>
      <c r="S894">
        <v>11</v>
      </c>
      <c r="T894" t="str">
        <f>IF(Healthcare_Data[[#This Row],[Final_Bill]]&gt;=50000,"High",IF(Healthcare_Data[[#This Row],[Final_Bill]]&gt;=20000,"Medium","low"))</f>
        <v>low</v>
      </c>
    </row>
    <row r="895" spans="1:20" x14ac:dyDescent="0.3">
      <c r="A895" t="s">
        <v>950</v>
      </c>
      <c r="B895">
        <v>45982</v>
      </c>
      <c r="C895" t="s">
        <v>27</v>
      </c>
      <c r="D895" t="s">
        <v>51</v>
      </c>
      <c r="E895" t="s">
        <v>20</v>
      </c>
      <c r="F895" t="s">
        <v>21</v>
      </c>
      <c r="G895">
        <v>79</v>
      </c>
      <c r="H895" t="s">
        <v>35</v>
      </c>
      <c r="I895" t="s">
        <v>57</v>
      </c>
      <c r="J895" t="s">
        <v>24</v>
      </c>
      <c r="K895">
        <v>0</v>
      </c>
      <c r="L895">
        <v>18148</v>
      </c>
      <c r="M895">
        <v>1500</v>
      </c>
      <c r="N895">
        <v>16648</v>
      </c>
      <c r="O895" t="s">
        <v>25</v>
      </c>
      <c r="P895">
        <v>3.2</v>
      </c>
      <c r="Q895">
        <v>100</v>
      </c>
      <c r="R895" t="s">
        <v>1078</v>
      </c>
      <c r="S895">
        <v>11</v>
      </c>
      <c r="T895" t="str">
        <f>IF(Healthcare_Data[[#This Row],[Final_Bill]]&gt;=50000,"High",IF(Healthcare_Data[[#This Row],[Final_Bill]]&gt;=20000,"Medium","low"))</f>
        <v>low</v>
      </c>
    </row>
    <row r="896" spans="1:20" x14ac:dyDescent="0.3">
      <c r="A896" t="s">
        <v>951</v>
      </c>
      <c r="B896">
        <v>45983</v>
      </c>
      <c r="C896" t="s">
        <v>54</v>
      </c>
      <c r="D896" t="s">
        <v>34</v>
      </c>
      <c r="E896" t="s">
        <v>20</v>
      </c>
      <c r="F896" t="s">
        <v>40</v>
      </c>
      <c r="G896">
        <v>69</v>
      </c>
      <c r="H896" t="s">
        <v>29</v>
      </c>
      <c r="I896" t="s">
        <v>42</v>
      </c>
      <c r="J896" t="s">
        <v>24</v>
      </c>
      <c r="K896">
        <v>0</v>
      </c>
      <c r="L896">
        <v>13794</v>
      </c>
      <c r="M896">
        <v>1500</v>
      </c>
      <c r="N896">
        <v>12294</v>
      </c>
      <c r="O896" t="s">
        <v>59</v>
      </c>
      <c r="P896">
        <v>4.5</v>
      </c>
      <c r="Q896">
        <v>72</v>
      </c>
      <c r="R896" t="s">
        <v>1078</v>
      </c>
      <c r="S896">
        <v>11</v>
      </c>
      <c r="T896" t="str">
        <f>IF(Healthcare_Data[[#This Row],[Final_Bill]]&gt;=50000,"High",IF(Healthcare_Data[[#This Row],[Final_Bill]]&gt;=20000,"Medium","low"))</f>
        <v>low</v>
      </c>
    </row>
    <row r="897" spans="1:20" x14ac:dyDescent="0.3">
      <c r="A897" t="s">
        <v>952</v>
      </c>
      <c r="B897">
        <v>45983</v>
      </c>
      <c r="C897" t="s">
        <v>27</v>
      </c>
      <c r="D897" t="s">
        <v>51</v>
      </c>
      <c r="E897" t="s">
        <v>20</v>
      </c>
      <c r="F897" t="s">
        <v>40</v>
      </c>
      <c r="G897">
        <v>20</v>
      </c>
      <c r="H897" t="s">
        <v>65</v>
      </c>
      <c r="I897" t="s">
        <v>72</v>
      </c>
      <c r="J897" t="s">
        <v>36</v>
      </c>
      <c r="K897">
        <v>0</v>
      </c>
      <c r="L897">
        <v>2374</v>
      </c>
      <c r="M897">
        <v>1000</v>
      </c>
      <c r="N897">
        <v>1374</v>
      </c>
      <c r="O897" t="s">
        <v>25</v>
      </c>
      <c r="P897">
        <v>4.7</v>
      </c>
      <c r="Q897">
        <v>119</v>
      </c>
      <c r="R897" t="s">
        <v>1078</v>
      </c>
      <c r="S897">
        <v>11</v>
      </c>
      <c r="T897" t="str">
        <f>IF(Healthcare_Data[[#This Row],[Final_Bill]]&gt;=50000,"High",IF(Healthcare_Data[[#This Row],[Final_Bill]]&gt;=20000,"Medium","low"))</f>
        <v>low</v>
      </c>
    </row>
    <row r="898" spans="1:20" x14ac:dyDescent="0.3">
      <c r="A898" t="s">
        <v>953</v>
      </c>
      <c r="B898">
        <v>45983</v>
      </c>
      <c r="C898" t="s">
        <v>67</v>
      </c>
      <c r="D898" t="s">
        <v>51</v>
      </c>
      <c r="E898" t="s">
        <v>20</v>
      </c>
      <c r="F898" t="s">
        <v>40</v>
      </c>
      <c r="G898">
        <v>29</v>
      </c>
      <c r="H898" t="s">
        <v>115</v>
      </c>
      <c r="I898" t="s">
        <v>57</v>
      </c>
      <c r="J898" t="s">
        <v>24</v>
      </c>
      <c r="K898">
        <v>0</v>
      </c>
      <c r="L898">
        <v>15251</v>
      </c>
      <c r="M898">
        <v>0</v>
      </c>
      <c r="N898">
        <v>15251</v>
      </c>
      <c r="O898" t="s">
        <v>59</v>
      </c>
      <c r="P898">
        <v>3.4</v>
      </c>
      <c r="Q898">
        <v>37</v>
      </c>
      <c r="R898" t="s">
        <v>1078</v>
      </c>
      <c r="S898">
        <v>11</v>
      </c>
      <c r="T898" t="str">
        <f>IF(Healthcare_Data[[#This Row],[Final_Bill]]&gt;=50000,"High",IF(Healthcare_Data[[#This Row],[Final_Bill]]&gt;=20000,"Medium","low"))</f>
        <v>low</v>
      </c>
    </row>
    <row r="899" spans="1:20" x14ac:dyDescent="0.3">
      <c r="A899" t="s">
        <v>954</v>
      </c>
      <c r="B899">
        <v>45983</v>
      </c>
      <c r="C899" t="s">
        <v>67</v>
      </c>
      <c r="D899" t="s">
        <v>34</v>
      </c>
      <c r="E899" t="s">
        <v>20</v>
      </c>
      <c r="F899" t="s">
        <v>21</v>
      </c>
      <c r="G899">
        <v>73</v>
      </c>
      <c r="H899" t="s">
        <v>22</v>
      </c>
      <c r="I899" t="s">
        <v>63</v>
      </c>
      <c r="J899" t="s">
        <v>24</v>
      </c>
      <c r="K899">
        <v>0</v>
      </c>
      <c r="L899">
        <v>9828</v>
      </c>
      <c r="M899">
        <v>0</v>
      </c>
      <c r="N899">
        <v>9828</v>
      </c>
      <c r="O899" t="s">
        <v>25</v>
      </c>
      <c r="P899">
        <v>3.8</v>
      </c>
      <c r="Q899">
        <v>50</v>
      </c>
      <c r="R899" t="s">
        <v>1078</v>
      </c>
      <c r="S899">
        <v>11</v>
      </c>
      <c r="T899" t="str">
        <f>IF(Healthcare_Data[[#This Row],[Final_Bill]]&gt;=50000,"High",IF(Healthcare_Data[[#This Row],[Final_Bill]]&gt;=20000,"Medium","low"))</f>
        <v>low</v>
      </c>
    </row>
    <row r="900" spans="1:20" x14ac:dyDescent="0.3">
      <c r="A900" t="s">
        <v>955</v>
      </c>
      <c r="B900">
        <v>45984</v>
      </c>
      <c r="C900" t="s">
        <v>18</v>
      </c>
      <c r="D900" t="s">
        <v>19</v>
      </c>
      <c r="E900" t="s">
        <v>20</v>
      </c>
      <c r="F900" t="s">
        <v>40</v>
      </c>
      <c r="G900">
        <v>55</v>
      </c>
      <c r="H900" t="s">
        <v>115</v>
      </c>
      <c r="I900" t="s">
        <v>23</v>
      </c>
      <c r="J900" t="s">
        <v>31</v>
      </c>
      <c r="K900">
        <v>0</v>
      </c>
      <c r="L900">
        <v>9752</v>
      </c>
      <c r="M900">
        <v>0</v>
      </c>
      <c r="N900">
        <v>9752</v>
      </c>
      <c r="O900" t="s">
        <v>25</v>
      </c>
      <c r="P900">
        <v>3.1</v>
      </c>
      <c r="Q900">
        <v>37</v>
      </c>
      <c r="R900" t="s">
        <v>1078</v>
      </c>
      <c r="S900">
        <v>11</v>
      </c>
      <c r="T900" t="str">
        <f>IF(Healthcare_Data[[#This Row],[Final_Bill]]&gt;=50000,"High",IF(Healthcare_Data[[#This Row],[Final_Bill]]&gt;=20000,"Medium","low"))</f>
        <v>low</v>
      </c>
    </row>
    <row r="901" spans="1:20" x14ac:dyDescent="0.3">
      <c r="A901" t="s">
        <v>956</v>
      </c>
      <c r="B901">
        <v>45984</v>
      </c>
      <c r="C901" t="s">
        <v>48</v>
      </c>
      <c r="D901" t="s">
        <v>51</v>
      </c>
      <c r="E901" t="s">
        <v>52</v>
      </c>
      <c r="F901" t="s">
        <v>21</v>
      </c>
      <c r="G901">
        <v>72</v>
      </c>
      <c r="H901" t="s">
        <v>29</v>
      </c>
      <c r="I901" t="s">
        <v>69</v>
      </c>
      <c r="J901" t="s">
        <v>31</v>
      </c>
      <c r="K901">
        <v>13</v>
      </c>
      <c r="L901">
        <v>19979</v>
      </c>
      <c r="M901">
        <v>1000</v>
      </c>
      <c r="N901">
        <v>18979</v>
      </c>
      <c r="O901" t="s">
        <v>25</v>
      </c>
      <c r="P901">
        <v>3.4</v>
      </c>
      <c r="Q901">
        <v>52</v>
      </c>
      <c r="R901" t="s">
        <v>1078</v>
      </c>
      <c r="S901">
        <v>11</v>
      </c>
      <c r="T901" t="str">
        <f>IF(Healthcare_Data[[#This Row],[Final_Bill]]&gt;=50000,"High",IF(Healthcare_Data[[#This Row],[Final_Bill]]&gt;=20000,"Medium","low"))</f>
        <v>low</v>
      </c>
    </row>
    <row r="902" spans="1:20" x14ac:dyDescent="0.3">
      <c r="A902" t="s">
        <v>957</v>
      </c>
      <c r="B902">
        <v>45984</v>
      </c>
      <c r="C902" t="s">
        <v>38</v>
      </c>
      <c r="D902" t="s">
        <v>34</v>
      </c>
      <c r="E902" t="s">
        <v>20</v>
      </c>
      <c r="F902" t="s">
        <v>21</v>
      </c>
      <c r="G902">
        <v>34</v>
      </c>
      <c r="H902" t="s">
        <v>22</v>
      </c>
      <c r="I902" t="s">
        <v>23</v>
      </c>
      <c r="J902" t="s">
        <v>24</v>
      </c>
      <c r="K902">
        <v>0</v>
      </c>
      <c r="L902">
        <v>7256</v>
      </c>
      <c r="M902">
        <v>1500</v>
      </c>
      <c r="N902">
        <v>5756</v>
      </c>
      <c r="O902" t="s">
        <v>25</v>
      </c>
      <c r="P902">
        <v>2.8</v>
      </c>
      <c r="Q902">
        <v>95</v>
      </c>
      <c r="R902" t="s">
        <v>1078</v>
      </c>
      <c r="S902">
        <v>11</v>
      </c>
      <c r="T902" t="str">
        <f>IF(Healthcare_Data[[#This Row],[Final_Bill]]&gt;=50000,"High",IF(Healthcare_Data[[#This Row],[Final_Bill]]&gt;=20000,"Medium","low"))</f>
        <v>low</v>
      </c>
    </row>
    <row r="903" spans="1:20" x14ac:dyDescent="0.3">
      <c r="A903" t="s">
        <v>958</v>
      </c>
      <c r="B903">
        <v>45985</v>
      </c>
      <c r="C903" t="s">
        <v>67</v>
      </c>
      <c r="D903" t="s">
        <v>28</v>
      </c>
      <c r="E903" t="s">
        <v>52</v>
      </c>
      <c r="F903" t="s">
        <v>21</v>
      </c>
      <c r="G903">
        <v>55</v>
      </c>
      <c r="H903" t="s">
        <v>115</v>
      </c>
      <c r="I903" t="s">
        <v>72</v>
      </c>
      <c r="J903" t="s">
        <v>31</v>
      </c>
      <c r="K903">
        <v>4</v>
      </c>
      <c r="L903">
        <v>59358</v>
      </c>
      <c r="M903">
        <v>0</v>
      </c>
      <c r="N903">
        <v>59358</v>
      </c>
      <c r="O903" t="s">
        <v>25</v>
      </c>
      <c r="P903">
        <v>4.5999999999999996</v>
      </c>
      <c r="Q903">
        <v>21</v>
      </c>
      <c r="R903" t="s">
        <v>1078</v>
      </c>
      <c r="S903">
        <v>11</v>
      </c>
      <c r="T903" t="str">
        <f>IF(Healthcare_Data[[#This Row],[Final_Bill]]&gt;=50000,"High",IF(Healthcare_Data[[#This Row],[Final_Bill]]&gt;=20000,"Medium","low"))</f>
        <v>High</v>
      </c>
    </row>
    <row r="904" spans="1:20" x14ac:dyDescent="0.3">
      <c r="A904" t="s">
        <v>959</v>
      </c>
      <c r="B904">
        <v>45986</v>
      </c>
      <c r="C904" t="s">
        <v>54</v>
      </c>
      <c r="D904" t="s">
        <v>39</v>
      </c>
      <c r="E904" t="s">
        <v>20</v>
      </c>
      <c r="F904" t="s">
        <v>21</v>
      </c>
      <c r="G904">
        <v>28</v>
      </c>
      <c r="H904" t="s">
        <v>29</v>
      </c>
      <c r="I904" t="s">
        <v>61</v>
      </c>
      <c r="J904" t="s">
        <v>24</v>
      </c>
      <c r="K904">
        <v>0</v>
      </c>
      <c r="L904">
        <v>17622</v>
      </c>
      <c r="M904">
        <v>0</v>
      </c>
      <c r="N904">
        <v>17622</v>
      </c>
      <c r="O904" t="s">
        <v>25</v>
      </c>
      <c r="P904">
        <v>4.9000000000000004</v>
      </c>
      <c r="Q904">
        <v>74</v>
      </c>
      <c r="R904" t="s">
        <v>1078</v>
      </c>
      <c r="S904">
        <v>11</v>
      </c>
      <c r="T904" t="str">
        <f>IF(Healthcare_Data[[#This Row],[Final_Bill]]&gt;=50000,"High",IF(Healthcare_Data[[#This Row],[Final_Bill]]&gt;=20000,"Medium","low"))</f>
        <v>low</v>
      </c>
    </row>
    <row r="905" spans="1:20" x14ac:dyDescent="0.3">
      <c r="A905" t="s">
        <v>960</v>
      </c>
      <c r="B905">
        <v>45987</v>
      </c>
      <c r="C905" t="s">
        <v>67</v>
      </c>
      <c r="D905" t="s">
        <v>39</v>
      </c>
      <c r="E905" t="s">
        <v>20</v>
      </c>
      <c r="F905" t="s">
        <v>21</v>
      </c>
      <c r="G905">
        <v>26</v>
      </c>
      <c r="H905" t="s">
        <v>56</v>
      </c>
      <c r="I905" t="s">
        <v>72</v>
      </c>
      <c r="J905" t="s">
        <v>1057</v>
      </c>
      <c r="K905">
        <v>0</v>
      </c>
      <c r="L905">
        <v>15397</v>
      </c>
      <c r="M905">
        <v>500</v>
      </c>
      <c r="N905">
        <v>14897</v>
      </c>
      <c r="O905" t="s">
        <v>25</v>
      </c>
      <c r="P905">
        <v>4.7</v>
      </c>
      <c r="Q905">
        <v>18</v>
      </c>
      <c r="R905" t="s">
        <v>1078</v>
      </c>
      <c r="S905">
        <v>11</v>
      </c>
      <c r="T905" t="str">
        <f>IF(Healthcare_Data[[#This Row],[Final_Bill]]&gt;=50000,"High",IF(Healthcare_Data[[#This Row],[Final_Bill]]&gt;=20000,"Medium","low"))</f>
        <v>low</v>
      </c>
    </row>
    <row r="906" spans="1:20" x14ac:dyDescent="0.3">
      <c r="A906" t="s">
        <v>961</v>
      </c>
      <c r="B906">
        <v>45987</v>
      </c>
      <c r="C906" t="s">
        <v>67</v>
      </c>
      <c r="D906" t="s">
        <v>51</v>
      </c>
      <c r="E906" t="s">
        <v>20</v>
      </c>
      <c r="F906" t="s">
        <v>40</v>
      </c>
      <c r="G906">
        <v>43</v>
      </c>
      <c r="H906" t="s">
        <v>22</v>
      </c>
      <c r="I906" t="s">
        <v>23</v>
      </c>
      <c r="J906" t="s">
        <v>36</v>
      </c>
      <c r="K906">
        <v>0</v>
      </c>
      <c r="L906">
        <v>9131</v>
      </c>
      <c r="M906">
        <v>0</v>
      </c>
      <c r="N906">
        <v>9131</v>
      </c>
      <c r="O906" t="s">
        <v>25</v>
      </c>
      <c r="P906">
        <v>3.4</v>
      </c>
      <c r="Q906">
        <v>67</v>
      </c>
      <c r="R906" t="s">
        <v>1078</v>
      </c>
      <c r="S906">
        <v>11</v>
      </c>
      <c r="T906" t="str">
        <f>IF(Healthcare_Data[[#This Row],[Final_Bill]]&gt;=50000,"High",IF(Healthcare_Data[[#This Row],[Final_Bill]]&gt;=20000,"Medium","low"))</f>
        <v>low</v>
      </c>
    </row>
    <row r="907" spans="1:20" x14ac:dyDescent="0.3">
      <c r="A907" t="s">
        <v>962</v>
      </c>
      <c r="B907">
        <v>45987</v>
      </c>
      <c r="C907" t="s">
        <v>18</v>
      </c>
      <c r="D907" t="s">
        <v>19</v>
      </c>
      <c r="E907" t="s">
        <v>52</v>
      </c>
      <c r="F907" t="s">
        <v>21</v>
      </c>
      <c r="G907">
        <v>19</v>
      </c>
      <c r="H907" t="s">
        <v>35</v>
      </c>
      <c r="I907" t="s">
        <v>30</v>
      </c>
      <c r="J907" t="s">
        <v>31</v>
      </c>
      <c r="K907">
        <v>2</v>
      </c>
      <c r="L907">
        <v>52122</v>
      </c>
      <c r="M907">
        <v>0</v>
      </c>
      <c r="N907">
        <v>52122</v>
      </c>
      <c r="O907" t="s">
        <v>25</v>
      </c>
      <c r="P907">
        <v>4.5999999999999996</v>
      </c>
      <c r="Q907">
        <v>11</v>
      </c>
      <c r="R907" t="s">
        <v>1078</v>
      </c>
      <c r="S907">
        <v>11</v>
      </c>
      <c r="T907" t="str">
        <f>IF(Healthcare_Data[[#This Row],[Final_Bill]]&gt;=50000,"High",IF(Healthcare_Data[[#This Row],[Final_Bill]]&gt;=20000,"Medium","low"))</f>
        <v>High</v>
      </c>
    </row>
    <row r="908" spans="1:20" x14ac:dyDescent="0.3">
      <c r="A908" t="s">
        <v>963</v>
      </c>
      <c r="B908">
        <v>45988</v>
      </c>
      <c r="C908" t="s">
        <v>38</v>
      </c>
      <c r="D908" t="s">
        <v>28</v>
      </c>
      <c r="E908" t="s">
        <v>54</v>
      </c>
      <c r="F908" t="s">
        <v>40</v>
      </c>
      <c r="G908">
        <v>44</v>
      </c>
      <c r="H908" t="s">
        <v>29</v>
      </c>
      <c r="I908" t="s">
        <v>30</v>
      </c>
      <c r="J908" t="s">
        <v>24</v>
      </c>
      <c r="K908">
        <v>0</v>
      </c>
      <c r="L908">
        <v>18514</v>
      </c>
      <c r="M908">
        <v>0</v>
      </c>
      <c r="N908">
        <v>18514</v>
      </c>
      <c r="O908" t="s">
        <v>25</v>
      </c>
      <c r="P908">
        <v>3.9</v>
      </c>
      <c r="Q908">
        <v>17</v>
      </c>
      <c r="R908" t="s">
        <v>1078</v>
      </c>
      <c r="S908">
        <v>11</v>
      </c>
      <c r="T908" t="str">
        <f>IF(Healthcare_Data[[#This Row],[Final_Bill]]&gt;=50000,"High",IF(Healthcare_Data[[#This Row],[Final_Bill]]&gt;=20000,"Medium","low"))</f>
        <v>low</v>
      </c>
    </row>
    <row r="909" spans="1:20" x14ac:dyDescent="0.3">
      <c r="A909" t="s">
        <v>964</v>
      </c>
      <c r="B909">
        <v>45988</v>
      </c>
      <c r="C909" t="s">
        <v>18</v>
      </c>
      <c r="D909" t="s">
        <v>39</v>
      </c>
      <c r="E909" t="s">
        <v>20</v>
      </c>
      <c r="F909" t="s">
        <v>40</v>
      </c>
      <c r="G909">
        <v>57</v>
      </c>
      <c r="H909" t="s">
        <v>29</v>
      </c>
      <c r="I909" t="s">
        <v>61</v>
      </c>
      <c r="J909" t="s">
        <v>24</v>
      </c>
      <c r="K909">
        <v>0</v>
      </c>
      <c r="L909">
        <v>5310</v>
      </c>
      <c r="M909">
        <v>0</v>
      </c>
      <c r="N909">
        <v>5310</v>
      </c>
      <c r="O909" t="s">
        <v>25</v>
      </c>
      <c r="P909">
        <v>4.3</v>
      </c>
      <c r="Q909">
        <v>35</v>
      </c>
      <c r="R909" t="s">
        <v>1078</v>
      </c>
      <c r="S909">
        <v>11</v>
      </c>
      <c r="T909" t="str">
        <f>IF(Healthcare_Data[[#This Row],[Final_Bill]]&gt;=50000,"High",IF(Healthcare_Data[[#This Row],[Final_Bill]]&gt;=20000,"Medium","low"))</f>
        <v>low</v>
      </c>
    </row>
    <row r="910" spans="1:20" x14ac:dyDescent="0.3">
      <c r="A910" t="s">
        <v>965</v>
      </c>
      <c r="B910">
        <v>45988</v>
      </c>
      <c r="C910" t="s">
        <v>54</v>
      </c>
      <c r="D910" t="s">
        <v>51</v>
      </c>
      <c r="E910" t="s">
        <v>20</v>
      </c>
      <c r="F910" t="s">
        <v>40</v>
      </c>
      <c r="G910">
        <v>43</v>
      </c>
      <c r="H910" t="s">
        <v>29</v>
      </c>
      <c r="I910" t="s">
        <v>63</v>
      </c>
      <c r="J910" t="s">
        <v>24</v>
      </c>
      <c r="K910">
        <v>0</v>
      </c>
      <c r="L910">
        <v>18424</v>
      </c>
      <c r="M910">
        <v>2000</v>
      </c>
      <c r="N910">
        <v>16424</v>
      </c>
      <c r="O910" t="s">
        <v>32</v>
      </c>
      <c r="P910">
        <v>3.3</v>
      </c>
      <c r="Q910">
        <v>90</v>
      </c>
      <c r="R910" t="s">
        <v>1078</v>
      </c>
      <c r="S910">
        <v>11</v>
      </c>
      <c r="T910" t="str">
        <f>IF(Healthcare_Data[[#This Row],[Final_Bill]]&gt;=50000,"High",IF(Healthcare_Data[[#This Row],[Final_Bill]]&gt;=20000,"Medium","low"))</f>
        <v>low</v>
      </c>
    </row>
    <row r="911" spans="1:20" x14ac:dyDescent="0.3">
      <c r="A911" t="s">
        <v>966</v>
      </c>
      <c r="B911">
        <v>45988</v>
      </c>
      <c r="C911" t="s">
        <v>44</v>
      </c>
      <c r="D911" t="s">
        <v>34</v>
      </c>
      <c r="E911" t="s">
        <v>52</v>
      </c>
      <c r="F911" t="s">
        <v>40</v>
      </c>
      <c r="G911">
        <v>36</v>
      </c>
      <c r="H911" t="s">
        <v>22</v>
      </c>
      <c r="I911" t="s">
        <v>30</v>
      </c>
      <c r="J911" t="s">
        <v>24</v>
      </c>
      <c r="K911">
        <v>8</v>
      </c>
      <c r="L911">
        <v>31105</v>
      </c>
      <c r="M911">
        <v>1000</v>
      </c>
      <c r="N911">
        <v>30105</v>
      </c>
      <c r="O911" t="s">
        <v>32</v>
      </c>
      <c r="P911">
        <v>3.8</v>
      </c>
      <c r="Q911">
        <v>17</v>
      </c>
      <c r="R911" t="s">
        <v>1078</v>
      </c>
      <c r="S911">
        <v>11</v>
      </c>
      <c r="T911" t="str">
        <f>IF(Healthcare_Data[[#This Row],[Final_Bill]]&gt;=50000,"High",IF(Healthcare_Data[[#This Row],[Final_Bill]]&gt;=20000,"Medium","low"))</f>
        <v>Medium</v>
      </c>
    </row>
    <row r="912" spans="1:20" x14ac:dyDescent="0.3">
      <c r="A912" t="s">
        <v>967</v>
      </c>
      <c r="B912">
        <v>45990</v>
      </c>
      <c r="C912" t="s">
        <v>38</v>
      </c>
      <c r="D912" t="s">
        <v>19</v>
      </c>
      <c r="E912" t="s">
        <v>54</v>
      </c>
      <c r="F912" t="s">
        <v>40</v>
      </c>
      <c r="G912">
        <v>69</v>
      </c>
      <c r="H912" t="s">
        <v>29</v>
      </c>
      <c r="I912" t="s">
        <v>42</v>
      </c>
      <c r="J912" t="s">
        <v>24</v>
      </c>
      <c r="K912">
        <v>0</v>
      </c>
      <c r="L912">
        <v>26617</v>
      </c>
      <c r="M912">
        <v>1000</v>
      </c>
      <c r="N912">
        <v>25617</v>
      </c>
      <c r="O912" t="s">
        <v>59</v>
      </c>
      <c r="P912">
        <v>5</v>
      </c>
      <c r="Q912">
        <v>10</v>
      </c>
      <c r="R912" t="s">
        <v>1078</v>
      </c>
      <c r="S912">
        <v>11</v>
      </c>
      <c r="T912" t="str">
        <f>IF(Healthcare_Data[[#This Row],[Final_Bill]]&gt;=50000,"High",IF(Healthcare_Data[[#This Row],[Final_Bill]]&gt;=20000,"Medium","low"))</f>
        <v>Medium</v>
      </c>
    </row>
    <row r="913" spans="1:20" x14ac:dyDescent="0.3">
      <c r="A913" t="s">
        <v>968</v>
      </c>
      <c r="B913">
        <v>45992</v>
      </c>
      <c r="C913" t="s">
        <v>44</v>
      </c>
      <c r="D913" t="s">
        <v>34</v>
      </c>
      <c r="E913" t="s">
        <v>52</v>
      </c>
      <c r="F913" t="s">
        <v>40</v>
      </c>
      <c r="G913">
        <v>71</v>
      </c>
      <c r="H913" t="s">
        <v>29</v>
      </c>
      <c r="I913" t="s">
        <v>69</v>
      </c>
      <c r="J913" t="s">
        <v>36</v>
      </c>
      <c r="K913">
        <v>11</v>
      </c>
      <c r="L913">
        <v>16909</v>
      </c>
      <c r="M913">
        <v>500</v>
      </c>
      <c r="N913">
        <v>16409</v>
      </c>
      <c r="O913" t="s">
        <v>59</v>
      </c>
      <c r="P913">
        <v>4.2</v>
      </c>
      <c r="Q913">
        <v>92</v>
      </c>
      <c r="R913" t="s">
        <v>1079</v>
      </c>
      <c r="S913">
        <v>12</v>
      </c>
      <c r="T913" t="str">
        <f>IF(Healthcare_Data[[#This Row],[Final_Bill]]&gt;=50000,"High",IF(Healthcare_Data[[#This Row],[Final_Bill]]&gt;=20000,"Medium","low"))</f>
        <v>low</v>
      </c>
    </row>
    <row r="914" spans="1:20" x14ac:dyDescent="0.3">
      <c r="A914" t="s">
        <v>969</v>
      </c>
      <c r="B914">
        <v>45992</v>
      </c>
      <c r="C914" t="s">
        <v>38</v>
      </c>
      <c r="D914" t="s">
        <v>51</v>
      </c>
      <c r="E914" t="s">
        <v>20</v>
      </c>
      <c r="F914" t="s">
        <v>21</v>
      </c>
      <c r="G914">
        <v>40</v>
      </c>
      <c r="H914" t="s">
        <v>65</v>
      </c>
      <c r="I914" t="s">
        <v>61</v>
      </c>
      <c r="J914" t="s">
        <v>36</v>
      </c>
      <c r="K914">
        <v>0</v>
      </c>
      <c r="L914">
        <v>17014</v>
      </c>
      <c r="M914">
        <v>0</v>
      </c>
      <c r="N914">
        <v>17014</v>
      </c>
      <c r="O914" t="s">
        <v>25</v>
      </c>
      <c r="P914">
        <v>4.3</v>
      </c>
      <c r="Q914">
        <v>108</v>
      </c>
      <c r="R914" t="s">
        <v>1079</v>
      </c>
      <c r="S914">
        <v>12</v>
      </c>
      <c r="T914" t="str">
        <f>IF(Healthcare_Data[[#This Row],[Final_Bill]]&gt;=50000,"High",IF(Healthcare_Data[[#This Row],[Final_Bill]]&gt;=20000,"Medium","low"))</f>
        <v>low</v>
      </c>
    </row>
    <row r="915" spans="1:20" x14ac:dyDescent="0.3">
      <c r="A915" t="s">
        <v>970</v>
      </c>
      <c r="B915">
        <v>45992</v>
      </c>
      <c r="C915" t="s">
        <v>48</v>
      </c>
      <c r="D915" t="s">
        <v>28</v>
      </c>
      <c r="E915" t="s">
        <v>20</v>
      </c>
      <c r="F915" t="s">
        <v>40</v>
      </c>
      <c r="G915">
        <v>75</v>
      </c>
      <c r="H915" t="s">
        <v>115</v>
      </c>
      <c r="I915" t="s">
        <v>57</v>
      </c>
      <c r="J915" t="s">
        <v>24</v>
      </c>
      <c r="K915">
        <v>0</v>
      </c>
      <c r="L915">
        <v>5859</v>
      </c>
      <c r="M915">
        <v>2000</v>
      </c>
      <c r="N915">
        <v>3859</v>
      </c>
      <c r="O915" t="s">
        <v>25</v>
      </c>
      <c r="P915">
        <v>3.6</v>
      </c>
      <c r="Q915">
        <v>51</v>
      </c>
      <c r="R915" t="s">
        <v>1079</v>
      </c>
      <c r="S915">
        <v>12</v>
      </c>
      <c r="T915" t="str">
        <f>IF(Healthcare_Data[[#This Row],[Final_Bill]]&gt;=50000,"High",IF(Healthcare_Data[[#This Row],[Final_Bill]]&gt;=20000,"Medium","low"))</f>
        <v>low</v>
      </c>
    </row>
    <row r="916" spans="1:20" x14ac:dyDescent="0.3">
      <c r="A916" t="s">
        <v>971</v>
      </c>
      <c r="B916">
        <v>45992</v>
      </c>
      <c r="C916" t="s">
        <v>67</v>
      </c>
      <c r="D916" t="s">
        <v>51</v>
      </c>
      <c r="E916" t="s">
        <v>20</v>
      </c>
      <c r="F916" t="s">
        <v>21</v>
      </c>
      <c r="G916">
        <v>46</v>
      </c>
      <c r="H916" t="s">
        <v>46</v>
      </c>
      <c r="I916" t="s">
        <v>69</v>
      </c>
      <c r="J916" t="s">
        <v>24</v>
      </c>
      <c r="K916">
        <v>0</v>
      </c>
      <c r="L916">
        <v>3593</v>
      </c>
      <c r="M916">
        <v>2000</v>
      </c>
      <c r="N916">
        <v>1593</v>
      </c>
      <c r="O916" t="s">
        <v>25</v>
      </c>
      <c r="P916">
        <v>4.2</v>
      </c>
      <c r="Q916">
        <v>90</v>
      </c>
      <c r="R916" t="s">
        <v>1079</v>
      </c>
      <c r="S916">
        <v>12</v>
      </c>
      <c r="T916" t="str">
        <f>IF(Healthcare_Data[[#This Row],[Final_Bill]]&gt;=50000,"High",IF(Healthcare_Data[[#This Row],[Final_Bill]]&gt;=20000,"Medium","low"))</f>
        <v>low</v>
      </c>
    </row>
    <row r="917" spans="1:20" x14ac:dyDescent="0.3">
      <c r="A917" t="s">
        <v>972</v>
      </c>
      <c r="B917">
        <v>45993</v>
      </c>
      <c r="C917" t="s">
        <v>48</v>
      </c>
      <c r="D917" t="s">
        <v>19</v>
      </c>
      <c r="E917" t="s">
        <v>20</v>
      </c>
      <c r="F917" t="s">
        <v>40</v>
      </c>
      <c r="G917">
        <v>51</v>
      </c>
      <c r="H917" t="s">
        <v>22</v>
      </c>
      <c r="I917" t="s">
        <v>30</v>
      </c>
      <c r="J917" t="s">
        <v>58</v>
      </c>
      <c r="K917">
        <v>0</v>
      </c>
      <c r="L917">
        <v>8545</v>
      </c>
      <c r="M917">
        <v>500</v>
      </c>
      <c r="N917">
        <v>8045</v>
      </c>
      <c r="O917" t="s">
        <v>25</v>
      </c>
      <c r="P917">
        <v>4.8</v>
      </c>
      <c r="Q917">
        <v>38</v>
      </c>
      <c r="R917" t="s">
        <v>1079</v>
      </c>
      <c r="S917">
        <v>12</v>
      </c>
      <c r="T917" t="str">
        <f>IF(Healthcare_Data[[#This Row],[Final_Bill]]&gt;=50000,"High",IF(Healthcare_Data[[#This Row],[Final_Bill]]&gt;=20000,"Medium","low"))</f>
        <v>low</v>
      </c>
    </row>
    <row r="918" spans="1:20" x14ac:dyDescent="0.3">
      <c r="A918" t="s">
        <v>973</v>
      </c>
      <c r="B918">
        <v>45993</v>
      </c>
      <c r="C918" t="s">
        <v>27</v>
      </c>
      <c r="D918" t="s">
        <v>39</v>
      </c>
      <c r="E918" t="s">
        <v>20</v>
      </c>
      <c r="F918" t="s">
        <v>21</v>
      </c>
      <c r="G918">
        <v>80</v>
      </c>
      <c r="H918" t="s">
        <v>115</v>
      </c>
      <c r="I918" t="s">
        <v>57</v>
      </c>
      <c r="J918" t="s">
        <v>24</v>
      </c>
      <c r="K918">
        <v>0</v>
      </c>
      <c r="L918">
        <v>1852</v>
      </c>
      <c r="M918">
        <v>0</v>
      </c>
      <c r="N918">
        <v>1852</v>
      </c>
      <c r="O918" t="s">
        <v>32</v>
      </c>
      <c r="P918">
        <v>3.5</v>
      </c>
      <c r="Q918">
        <v>112</v>
      </c>
      <c r="R918" t="s">
        <v>1079</v>
      </c>
      <c r="S918">
        <v>12</v>
      </c>
      <c r="T918" t="str">
        <f>IF(Healthcare_Data[[#This Row],[Final_Bill]]&gt;=50000,"High",IF(Healthcare_Data[[#This Row],[Final_Bill]]&gt;=20000,"Medium","low"))</f>
        <v>low</v>
      </c>
    </row>
    <row r="919" spans="1:20" x14ac:dyDescent="0.3">
      <c r="A919" t="s">
        <v>974</v>
      </c>
      <c r="B919">
        <v>45994</v>
      </c>
      <c r="C919" t="s">
        <v>67</v>
      </c>
      <c r="D919" t="s">
        <v>51</v>
      </c>
      <c r="E919" t="s">
        <v>20</v>
      </c>
      <c r="F919" t="s">
        <v>40</v>
      </c>
      <c r="G919">
        <v>79</v>
      </c>
      <c r="H919" t="s">
        <v>22</v>
      </c>
      <c r="I919" t="s">
        <v>69</v>
      </c>
      <c r="J919" t="s">
        <v>58</v>
      </c>
      <c r="K919">
        <v>0</v>
      </c>
      <c r="L919">
        <v>5307</v>
      </c>
      <c r="M919">
        <v>1000</v>
      </c>
      <c r="N919">
        <v>4307</v>
      </c>
      <c r="O919" t="s">
        <v>25</v>
      </c>
      <c r="P919">
        <v>3.3</v>
      </c>
      <c r="Q919">
        <v>79</v>
      </c>
      <c r="R919" t="s">
        <v>1079</v>
      </c>
      <c r="S919">
        <v>12</v>
      </c>
      <c r="T919" t="str">
        <f>IF(Healthcare_Data[[#This Row],[Final_Bill]]&gt;=50000,"High",IF(Healthcare_Data[[#This Row],[Final_Bill]]&gt;=20000,"Medium","low"))</f>
        <v>low</v>
      </c>
    </row>
    <row r="920" spans="1:20" x14ac:dyDescent="0.3">
      <c r="A920" t="s">
        <v>975</v>
      </c>
      <c r="B920">
        <v>45994</v>
      </c>
      <c r="C920" t="s">
        <v>67</v>
      </c>
      <c r="D920" t="s">
        <v>51</v>
      </c>
      <c r="E920" t="s">
        <v>20</v>
      </c>
      <c r="F920" t="s">
        <v>40</v>
      </c>
      <c r="G920">
        <v>51</v>
      </c>
      <c r="H920" t="s">
        <v>41</v>
      </c>
      <c r="I920" t="s">
        <v>57</v>
      </c>
      <c r="J920" t="s">
        <v>58</v>
      </c>
      <c r="K920">
        <v>0</v>
      </c>
      <c r="L920">
        <v>17383</v>
      </c>
      <c r="M920">
        <v>500</v>
      </c>
      <c r="N920">
        <v>16883</v>
      </c>
      <c r="O920" t="s">
        <v>25</v>
      </c>
      <c r="P920">
        <v>3.3</v>
      </c>
      <c r="Q920">
        <v>110</v>
      </c>
      <c r="R920" t="s">
        <v>1079</v>
      </c>
      <c r="S920">
        <v>12</v>
      </c>
      <c r="T920" t="str">
        <f>IF(Healthcare_Data[[#This Row],[Final_Bill]]&gt;=50000,"High",IF(Healthcare_Data[[#This Row],[Final_Bill]]&gt;=20000,"Medium","low"))</f>
        <v>low</v>
      </c>
    </row>
    <row r="921" spans="1:20" x14ac:dyDescent="0.3">
      <c r="A921" t="s">
        <v>976</v>
      </c>
      <c r="B921">
        <v>45995</v>
      </c>
      <c r="C921" t="s">
        <v>44</v>
      </c>
      <c r="D921" t="s">
        <v>28</v>
      </c>
      <c r="E921" t="s">
        <v>20</v>
      </c>
      <c r="F921" t="s">
        <v>21</v>
      </c>
      <c r="G921">
        <v>54</v>
      </c>
      <c r="H921" t="s">
        <v>56</v>
      </c>
      <c r="I921" t="s">
        <v>42</v>
      </c>
      <c r="J921" t="s">
        <v>24</v>
      </c>
      <c r="K921">
        <v>0</v>
      </c>
      <c r="L921">
        <v>7544</v>
      </c>
      <c r="M921">
        <v>1500</v>
      </c>
      <c r="N921">
        <v>6044</v>
      </c>
      <c r="O921" t="s">
        <v>32</v>
      </c>
      <c r="P921">
        <v>4.7</v>
      </c>
      <c r="Q921">
        <v>19</v>
      </c>
      <c r="R921" t="s">
        <v>1079</v>
      </c>
      <c r="S921">
        <v>12</v>
      </c>
      <c r="T921" t="str">
        <f>IF(Healthcare_Data[[#This Row],[Final_Bill]]&gt;=50000,"High",IF(Healthcare_Data[[#This Row],[Final_Bill]]&gt;=20000,"Medium","low"))</f>
        <v>low</v>
      </c>
    </row>
    <row r="922" spans="1:20" x14ac:dyDescent="0.3">
      <c r="A922" t="s">
        <v>977</v>
      </c>
      <c r="B922">
        <v>45995</v>
      </c>
      <c r="C922" t="s">
        <v>54</v>
      </c>
      <c r="D922" t="s">
        <v>39</v>
      </c>
      <c r="E922" t="s">
        <v>20</v>
      </c>
      <c r="F922" t="s">
        <v>40</v>
      </c>
      <c r="G922">
        <v>23</v>
      </c>
      <c r="H922" t="s">
        <v>29</v>
      </c>
      <c r="I922" t="s">
        <v>30</v>
      </c>
      <c r="J922" t="s">
        <v>36</v>
      </c>
      <c r="K922">
        <v>0</v>
      </c>
      <c r="L922">
        <v>13230</v>
      </c>
      <c r="M922">
        <v>500</v>
      </c>
      <c r="N922">
        <v>12730</v>
      </c>
      <c r="O922" t="s">
        <v>25</v>
      </c>
      <c r="P922">
        <v>3.2</v>
      </c>
      <c r="Q922">
        <v>14</v>
      </c>
      <c r="R922" t="s">
        <v>1079</v>
      </c>
      <c r="S922">
        <v>12</v>
      </c>
      <c r="T922" t="str">
        <f>IF(Healthcare_Data[[#This Row],[Final_Bill]]&gt;=50000,"High",IF(Healthcare_Data[[#This Row],[Final_Bill]]&gt;=20000,"Medium","low"))</f>
        <v>low</v>
      </c>
    </row>
    <row r="923" spans="1:20" x14ac:dyDescent="0.3">
      <c r="A923" t="s">
        <v>978</v>
      </c>
      <c r="B923">
        <v>45995</v>
      </c>
      <c r="C923" t="s">
        <v>50</v>
      </c>
      <c r="D923" t="s">
        <v>19</v>
      </c>
      <c r="E923" t="s">
        <v>52</v>
      </c>
      <c r="F923" t="s">
        <v>21</v>
      </c>
      <c r="G923">
        <v>79</v>
      </c>
      <c r="H923" t="s">
        <v>46</v>
      </c>
      <c r="I923" t="s">
        <v>63</v>
      </c>
      <c r="J923" t="s">
        <v>36</v>
      </c>
      <c r="K923">
        <v>11</v>
      </c>
      <c r="L923">
        <v>33047</v>
      </c>
      <c r="M923">
        <v>500</v>
      </c>
      <c r="N923">
        <v>32547</v>
      </c>
      <c r="O923" t="s">
        <v>25</v>
      </c>
      <c r="P923">
        <v>3.5</v>
      </c>
      <c r="Q923">
        <v>78</v>
      </c>
      <c r="R923" t="s">
        <v>1079</v>
      </c>
      <c r="S923">
        <v>12</v>
      </c>
      <c r="T923" t="str">
        <f>IF(Healthcare_Data[[#This Row],[Final_Bill]]&gt;=50000,"High",IF(Healthcare_Data[[#This Row],[Final_Bill]]&gt;=20000,"Medium","low"))</f>
        <v>Medium</v>
      </c>
    </row>
    <row r="924" spans="1:20" x14ac:dyDescent="0.3">
      <c r="A924" t="s">
        <v>979</v>
      </c>
      <c r="B924">
        <v>45995</v>
      </c>
      <c r="C924" t="s">
        <v>27</v>
      </c>
      <c r="D924" t="s">
        <v>51</v>
      </c>
      <c r="E924" t="s">
        <v>20</v>
      </c>
      <c r="F924" t="s">
        <v>21</v>
      </c>
      <c r="G924">
        <v>66</v>
      </c>
      <c r="H924" t="s">
        <v>29</v>
      </c>
      <c r="I924" t="s">
        <v>23</v>
      </c>
      <c r="J924" t="s">
        <v>36</v>
      </c>
      <c r="K924">
        <v>0</v>
      </c>
      <c r="L924">
        <v>16425</v>
      </c>
      <c r="M924">
        <v>1000</v>
      </c>
      <c r="N924">
        <v>15425</v>
      </c>
      <c r="O924" t="s">
        <v>25</v>
      </c>
      <c r="P924">
        <v>2.7</v>
      </c>
      <c r="Q924">
        <v>85</v>
      </c>
      <c r="R924" t="s">
        <v>1079</v>
      </c>
      <c r="S924">
        <v>12</v>
      </c>
      <c r="T924" t="str">
        <f>IF(Healthcare_Data[[#This Row],[Final_Bill]]&gt;=50000,"High",IF(Healthcare_Data[[#This Row],[Final_Bill]]&gt;=20000,"Medium","low"))</f>
        <v>low</v>
      </c>
    </row>
    <row r="925" spans="1:20" x14ac:dyDescent="0.3">
      <c r="A925" t="s">
        <v>980</v>
      </c>
      <c r="B925">
        <v>45996</v>
      </c>
      <c r="C925" t="s">
        <v>27</v>
      </c>
      <c r="D925" t="s">
        <v>51</v>
      </c>
      <c r="E925" t="s">
        <v>20</v>
      </c>
      <c r="F925" t="s">
        <v>21</v>
      </c>
      <c r="G925">
        <v>54</v>
      </c>
      <c r="H925" t="s">
        <v>56</v>
      </c>
      <c r="I925" t="s">
        <v>42</v>
      </c>
      <c r="J925" t="s">
        <v>58</v>
      </c>
      <c r="K925">
        <v>0</v>
      </c>
      <c r="L925">
        <v>19642</v>
      </c>
      <c r="M925">
        <v>0</v>
      </c>
      <c r="N925">
        <v>19642</v>
      </c>
      <c r="O925" t="s">
        <v>32</v>
      </c>
      <c r="P925">
        <v>3.2</v>
      </c>
      <c r="Q925">
        <v>76</v>
      </c>
      <c r="R925" t="s">
        <v>1079</v>
      </c>
      <c r="S925">
        <v>12</v>
      </c>
      <c r="T925" t="str">
        <f>IF(Healthcare_Data[[#This Row],[Final_Bill]]&gt;=50000,"High",IF(Healthcare_Data[[#This Row],[Final_Bill]]&gt;=20000,"Medium","low"))</f>
        <v>low</v>
      </c>
    </row>
    <row r="926" spans="1:20" x14ac:dyDescent="0.3">
      <c r="A926" t="s">
        <v>981</v>
      </c>
      <c r="B926">
        <v>45996</v>
      </c>
      <c r="C926" t="s">
        <v>54</v>
      </c>
      <c r="D926" t="s">
        <v>39</v>
      </c>
      <c r="E926" t="s">
        <v>20</v>
      </c>
      <c r="F926" t="s">
        <v>21</v>
      </c>
      <c r="G926">
        <v>72</v>
      </c>
      <c r="H926" t="s">
        <v>41</v>
      </c>
      <c r="I926" t="s">
        <v>42</v>
      </c>
      <c r="J926" t="s">
        <v>24</v>
      </c>
      <c r="K926">
        <v>0</v>
      </c>
      <c r="L926">
        <v>7987</v>
      </c>
      <c r="M926">
        <v>1000</v>
      </c>
      <c r="N926">
        <v>6987</v>
      </c>
      <c r="O926" t="s">
        <v>25</v>
      </c>
      <c r="P926">
        <v>4.5999999999999996</v>
      </c>
      <c r="Q926">
        <v>106</v>
      </c>
      <c r="R926" t="s">
        <v>1079</v>
      </c>
      <c r="S926">
        <v>12</v>
      </c>
      <c r="T926" t="str">
        <f>IF(Healthcare_Data[[#This Row],[Final_Bill]]&gt;=50000,"High",IF(Healthcare_Data[[#This Row],[Final_Bill]]&gt;=20000,"Medium","low"))</f>
        <v>low</v>
      </c>
    </row>
    <row r="927" spans="1:20" x14ac:dyDescent="0.3">
      <c r="A927" t="s">
        <v>982</v>
      </c>
      <c r="B927">
        <v>45997</v>
      </c>
      <c r="C927" t="s">
        <v>27</v>
      </c>
      <c r="D927" t="s">
        <v>19</v>
      </c>
      <c r="E927" t="s">
        <v>20</v>
      </c>
      <c r="F927" t="s">
        <v>40</v>
      </c>
      <c r="G927">
        <v>25</v>
      </c>
      <c r="H927" t="s">
        <v>41</v>
      </c>
      <c r="I927" t="s">
        <v>61</v>
      </c>
      <c r="J927" t="s">
        <v>58</v>
      </c>
      <c r="K927">
        <v>0</v>
      </c>
      <c r="L927">
        <v>17658</v>
      </c>
      <c r="M927">
        <v>1000</v>
      </c>
      <c r="N927">
        <v>16658</v>
      </c>
      <c r="O927" t="s">
        <v>32</v>
      </c>
      <c r="P927">
        <v>4.8</v>
      </c>
      <c r="Q927">
        <v>77</v>
      </c>
      <c r="R927" t="s">
        <v>1079</v>
      </c>
      <c r="S927">
        <v>12</v>
      </c>
      <c r="T927" t="str">
        <f>IF(Healthcare_Data[[#This Row],[Final_Bill]]&gt;=50000,"High",IF(Healthcare_Data[[#This Row],[Final_Bill]]&gt;=20000,"Medium","low"))</f>
        <v>low</v>
      </c>
    </row>
    <row r="928" spans="1:20" x14ac:dyDescent="0.3">
      <c r="A928" t="s">
        <v>983</v>
      </c>
      <c r="B928">
        <v>45997</v>
      </c>
      <c r="C928" t="s">
        <v>67</v>
      </c>
      <c r="D928" t="s">
        <v>28</v>
      </c>
      <c r="E928" t="s">
        <v>52</v>
      </c>
      <c r="F928" t="s">
        <v>21</v>
      </c>
      <c r="G928">
        <v>37</v>
      </c>
      <c r="H928" t="s">
        <v>35</v>
      </c>
      <c r="I928" t="s">
        <v>23</v>
      </c>
      <c r="J928" t="s">
        <v>31</v>
      </c>
      <c r="K928">
        <v>5</v>
      </c>
      <c r="L928">
        <v>66696</v>
      </c>
      <c r="M928">
        <v>0</v>
      </c>
      <c r="N928">
        <v>66696</v>
      </c>
      <c r="O928" t="s">
        <v>59</v>
      </c>
      <c r="P928">
        <v>2.9</v>
      </c>
      <c r="Q928">
        <v>119</v>
      </c>
      <c r="R928" t="s">
        <v>1079</v>
      </c>
      <c r="S928">
        <v>12</v>
      </c>
      <c r="T928" t="str">
        <f>IF(Healthcare_Data[[#This Row],[Final_Bill]]&gt;=50000,"High",IF(Healthcare_Data[[#This Row],[Final_Bill]]&gt;=20000,"Medium","low"))</f>
        <v>High</v>
      </c>
    </row>
    <row r="929" spans="1:20" x14ac:dyDescent="0.3">
      <c r="A929" t="s">
        <v>984</v>
      </c>
      <c r="B929">
        <v>45997</v>
      </c>
      <c r="C929" t="s">
        <v>67</v>
      </c>
      <c r="D929" t="s">
        <v>34</v>
      </c>
      <c r="E929" t="s">
        <v>52</v>
      </c>
      <c r="F929" t="s">
        <v>40</v>
      </c>
      <c r="G929">
        <v>55</v>
      </c>
      <c r="H929" t="s">
        <v>41</v>
      </c>
      <c r="I929" t="s">
        <v>69</v>
      </c>
      <c r="J929" t="s">
        <v>24</v>
      </c>
      <c r="K929">
        <v>2</v>
      </c>
      <c r="L929">
        <v>74725</v>
      </c>
      <c r="M929">
        <v>0</v>
      </c>
      <c r="N929">
        <v>74725</v>
      </c>
      <c r="O929" t="s">
        <v>25</v>
      </c>
      <c r="P929">
        <v>4.3</v>
      </c>
      <c r="Q929">
        <v>36</v>
      </c>
      <c r="R929" t="s">
        <v>1079</v>
      </c>
      <c r="S929">
        <v>12</v>
      </c>
      <c r="T929" t="str">
        <f>IF(Healthcare_Data[[#This Row],[Final_Bill]]&gt;=50000,"High",IF(Healthcare_Data[[#This Row],[Final_Bill]]&gt;=20000,"Medium","low"))</f>
        <v>High</v>
      </c>
    </row>
    <row r="930" spans="1:20" x14ac:dyDescent="0.3">
      <c r="A930" t="s">
        <v>985</v>
      </c>
      <c r="B930">
        <v>45997</v>
      </c>
      <c r="C930" t="s">
        <v>48</v>
      </c>
      <c r="D930" t="s">
        <v>51</v>
      </c>
      <c r="E930" t="s">
        <v>54</v>
      </c>
      <c r="F930" t="s">
        <v>21</v>
      </c>
      <c r="G930">
        <v>27</v>
      </c>
      <c r="H930" t="s">
        <v>22</v>
      </c>
      <c r="I930" t="s">
        <v>30</v>
      </c>
      <c r="J930" t="s">
        <v>31</v>
      </c>
      <c r="K930">
        <v>0</v>
      </c>
      <c r="L930">
        <v>20612</v>
      </c>
      <c r="M930">
        <v>500</v>
      </c>
      <c r="N930">
        <v>20112</v>
      </c>
      <c r="O930" t="s">
        <v>25</v>
      </c>
      <c r="P930">
        <v>3.5</v>
      </c>
      <c r="Q930">
        <v>75</v>
      </c>
      <c r="R930" t="s">
        <v>1079</v>
      </c>
      <c r="S930">
        <v>12</v>
      </c>
      <c r="T930" t="str">
        <f>IF(Healthcare_Data[[#This Row],[Final_Bill]]&gt;=50000,"High",IF(Healthcare_Data[[#This Row],[Final_Bill]]&gt;=20000,"Medium","low"))</f>
        <v>Medium</v>
      </c>
    </row>
    <row r="931" spans="1:20" x14ac:dyDescent="0.3">
      <c r="A931" t="s">
        <v>986</v>
      </c>
      <c r="B931">
        <v>45997</v>
      </c>
      <c r="C931" t="s">
        <v>38</v>
      </c>
      <c r="D931" t="s">
        <v>51</v>
      </c>
      <c r="E931" t="s">
        <v>20</v>
      </c>
      <c r="F931" t="s">
        <v>40</v>
      </c>
      <c r="G931">
        <v>61</v>
      </c>
      <c r="H931" t="s">
        <v>35</v>
      </c>
      <c r="I931" t="s">
        <v>57</v>
      </c>
      <c r="J931" t="s">
        <v>36</v>
      </c>
      <c r="K931">
        <v>0</v>
      </c>
      <c r="L931">
        <v>11179</v>
      </c>
      <c r="M931">
        <v>0</v>
      </c>
      <c r="N931">
        <v>11179</v>
      </c>
      <c r="O931" t="s">
        <v>25</v>
      </c>
      <c r="P931">
        <v>4.8</v>
      </c>
      <c r="Q931">
        <v>98</v>
      </c>
      <c r="R931" t="s">
        <v>1079</v>
      </c>
      <c r="S931">
        <v>12</v>
      </c>
      <c r="T931" t="str">
        <f>IF(Healthcare_Data[[#This Row],[Final_Bill]]&gt;=50000,"High",IF(Healthcare_Data[[#This Row],[Final_Bill]]&gt;=20000,"Medium","low"))</f>
        <v>low</v>
      </c>
    </row>
    <row r="932" spans="1:20" x14ac:dyDescent="0.3">
      <c r="A932" t="s">
        <v>987</v>
      </c>
      <c r="B932">
        <v>45998</v>
      </c>
      <c r="C932" t="s">
        <v>38</v>
      </c>
      <c r="D932" t="s">
        <v>39</v>
      </c>
      <c r="E932" t="s">
        <v>20</v>
      </c>
      <c r="F932" t="s">
        <v>40</v>
      </c>
      <c r="G932">
        <v>53</v>
      </c>
      <c r="H932" t="s">
        <v>46</v>
      </c>
      <c r="I932" t="s">
        <v>30</v>
      </c>
      <c r="J932" t="s">
        <v>24</v>
      </c>
      <c r="K932">
        <v>0</v>
      </c>
      <c r="L932">
        <v>11478</v>
      </c>
      <c r="M932">
        <v>0</v>
      </c>
      <c r="N932">
        <v>11478</v>
      </c>
      <c r="O932" t="s">
        <v>59</v>
      </c>
      <c r="P932">
        <v>2.7</v>
      </c>
      <c r="Q932">
        <v>104</v>
      </c>
      <c r="R932" t="s">
        <v>1079</v>
      </c>
      <c r="S932">
        <v>12</v>
      </c>
      <c r="T932" t="str">
        <f>IF(Healthcare_Data[[#This Row],[Final_Bill]]&gt;=50000,"High",IF(Healthcare_Data[[#This Row],[Final_Bill]]&gt;=20000,"Medium","low"))</f>
        <v>low</v>
      </c>
    </row>
    <row r="933" spans="1:20" x14ac:dyDescent="0.3">
      <c r="A933" t="s">
        <v>988</v>
      </c>
      <c r="B933">
        <v>45998</v>
      </c>
      <c r="C933" t="s">
        <v>18</v>
      </c>
      <c r="D933" t="s">
        <v>28</v>
      </c>
      <c r="E933" t="s">
        <v>52</v>
      </c>
      <c r="F933" t="s">
        <v>40</v>
      </c>
      <c r="G933">
        <v>71</v>
      </c>
      <c r="H933" t="s">
        <v>56</v>
      </c>
      <c r="I933" t="s">
        <v>57</v>
      </c>
      <c r="J933" t="s">
        <v>58</v>
      </c>
      <c r="K933">
        <v>6</v>
      </c>
      <c r="L933">
        <v>60482</v>
      </c>
      <c r="M933">
        <v>0</v>
      </c>
      <c r="N933">
        <v>60482</v>
      </c>
      <c r="O933" t="s">
        <v>25</v>
      </c>
      <c r="P933">
        <v>3.7</v>
      </c>
      <c r="Q933">
        <v>39</v>
      </c>
      <c r="R933" t="s">
        <v>1079</v>
      </c>
      <c r="S933">
        <v>12</v>
      </c>
      <c r="T933" t="str">
        <f>IF(Healthcare_Data[[#This Row],[Final_Bill]]&gt;=50000,"High",IF(Healthcare_Data[[#This Row],[Final_Bill]]&gt;=20000,"Medium","low"))</f>
        <v>High</v>
      </c>
    </row>
    <row r="934" spans="1:20" x14ac:dyDescent="0.3">
      <c r="A934" t="s">
        <v>989</v>
      </c>
      <c r="B934">
        <v>45998</v>
      </c>
      <c r="C934" t="s">
        <v>44</v>
      </c>
      <c r="D934" t="s">
        <v>39</v>
      </c>
      <c r="E934" t="s">
        <v>20</v>
      </c>
      <c r="F934" t="s">
        <v>21</v>
      </c>
      <c r="G934">
        <v>46</v>
      </c>
      <c r="H934" t="s">
        <v>35</v>
      </c>
      <c r="I934" t="s">
        <v>72</v>
      </c>
      <c r="J934" t="s">
        <v>24</v>
      </c>
      <c r="K934">
        <v>0</v>
      </c>
      <c r="L934">
        <v>3406</v>
      </c>
      <c r="M934">
        <v>0</v>
      </c>
      <c r="N934">
        <v>3406</v>
      </c>
      <c r="O934" t="s">
        <v>25</v>
      </c>
      <c r="P934">
        <v>3.3</v>
      </c>
      <c r="Q934">
        <v>85</v>
      </c>
      <c r="R934" t="s">
        <v>1079</v>
      </c>
      <c r="S934">
        <v>12</v>
      </c>
      <c r="T934" t="str">
        <f>IF(Healthcare_Data[[#This Row],[Final_Bill]]&gt;=50000,"High",IF(Healthcare_Data[[#This Row],[Final_Bill]]&gt;=20000,"Medium","low"))</f>
        <v>low</v>
      </c>
    </row>
    <row r="935" spans="1:20" x14ac:dyDescent="0.3">
      <c r="A935" t="s">
        <v>990</v>
      </c>
      <c r="B935">
        <v>45999</v>
      </c>
      <c r="C935" t="s">
        <v>18</v>
      </c>
      <c r="D935" t="s">
        <v>51</v>
      </c>
      <c r="E935" t="s">
        <v>20</v>
      </c>
      <c r="F935" t="s">
        <v>40</v>
      </c>
      <c r="G935">
        <v>76</v>
      </c>
      <c r="H935" t="s">
        <v>29</v>
      </c>
      <c r="I935" t="s">
        <v>72</v>
      </c>
      <c r="J935" t="s">
        <v>24</v>
      </c>
      <c r="K935">
        <v>0</v>
      </c>
      <c r="L935">
        <v>9560</v>
      </c>
      <c r="M935">
        <v>1000</v>
      </c>
      <c r="N935">
        <v>8560</v>
      </c>
      <c r="O935" t="s">
        <v>25</v>
      </c>
      <c r="P935">
        <v>3.7</v>
      </c>
      <c r="Q935">
        <v>56</v>
      </c>
      <c r="R935" t="s">
        <v>1079</v>
      </c>
      <c r="S935">
        <v>12</v>
      </c>
      <c r="T935" t="str">
        <f>IF(Healthcare_Data[[#This Row],[Final_Bill]]&gt;=50000,"High",IF(Healthcare_Data[[#This Row],[Final_Bill]]&gt;=20000,"Medium","low"))</f>
        <v>low</v>
      </c>
    </row>
    <row r="936" spans="1:20" x14ac:dyDescent="0.3">
      <c r="A936" t="s">
        <v>991</v>
      </c>
      <c r="B936">
        <v>45999</v>
      </c>
      <c r="C936" t="s">
        <v>67</v>
      </c>
      <c r="D936" t="s">
        <v>19</v>
      </c>
      <c r="E936" t="s">
        <v>52</v>
      </c>
      <c r="F936" t="s">
        <v>40</v>
      </c>
      <c r="G936">
        <v>42</v>
      </c>
      <c r="H936" t="s">
        <v>29</v>
      </c>
      <c r="I936" t="s">
        <v>72</v>
      </c>
      <c r="J936" t="s">
        <v>24</v>
      </c>
      <c r="K936">
        <v>3</v>
      </c>
      <c r="L936">
        <v>37465</v>
      </c>
      <c r="M936">
        <v>0</v>
      </c>
      <c r="N936">
        <v>37465</v>
      </c>
      <c r="O936" t="s">
        <v>25</v>
      </c>
      <c r="P936">
        <v>3.2</v>
      </c>
      <c r="Q936">
        <v>14</v>
      </c>
      <c r="R936" t="s">
        <v>1079</v>
      </c>
      <c r="S936">
        <v>12</v>
      </c>
      <c r="T936" t="str">
        <f>IF(Healthcare_Data[[#This Row],[Final_Bill]]&gt;=50000,"High",IF(Healthcare_Data[[#This Row],[Final_Bill]]&gt;=20000,"Medium","low"))</f>
        <v>Medium</v>
      </c>
    </row>
    <row r="937" spans="1:20" x14ac:dyDescent="0.3">
      <c r="A937" t="s">
        <v>992</v>
      </c>
      <c r="B937">
        <v>45999</v>
      </c>
      <c r="C937" t="s">
        <v>27</v>
      </c>
      <c r="D937" t="s">
        <v>19</v>
      </c>
      <c r="E937" t="s">
        <v>20</v>
      </c>
      <c r="F937" t="s">
        <v>21</v>
      </c>
      <c r="G937">
        <v>41</v>
      </c>
      <c r="H937" t="s">
        <v>35</v>
      </c>
      <c r="I937" t="s">
        <v>42</v>
      </c>
      <c r="J937" t="s">
        <v>24</v>
      </c>
      <c r="K937">
        <v>0</v>
      </c>
      <c r="L937">
        <v>7898</v>
      </c>
      <c r="M937">
        <v>500</v>
      </c>
      <c r="N937">
        <v>7398</v>
      </c>
      <c r="O937" t="s">
        <v>25</v>
      </c>
      <c r="P937">
        <v>4.5999999999999996</v>
      </c>
      <c r="Q937">
        <v>7</v>
      </c>
      <c r="R937" t="s">
        <v>1079</v>
      </c>
      <c r="S937">
        <v>12</v>
      </c>
      <c r="T937" t="str">
        <f>IF(Healthcare_Data[[#This Row],[Final_Bill]]&gt;=50000,"High",IF(Healthcare_Data[[#This Row],[Final_Bill]]&gt;=20000,"Medium","low"))</f>
        <v>low</v>
      </c>
    </row>
    <row r="938" spans="1:20" x14ac:dyDescent="0.3">
      <c r="A938" t="s">
        <v>993</v>
      </c>
      <c r="B938">
        <v>45999</v>
      </c>
      <c r="C938" t="s">
        <v>27</v>
      </c>
      <c r="D938" t="s">
        <v>34</v>
      </c>
      <c r="E938" t="s">
        <v>20</v>
      </c>
      <c r="F938" t="s">
        <v>40</v>
      </c>
      <c r="G938">
        <v>79</v>
      </c>
      <c r="H938" t="s">
        <v>56</v>
      </c>
      <c r="I938" t="s">
        <v>1057</v>
      </c>
      <c r="J938" t="s">
        <v>24</v>
      </c>
      <c r="K938">
        <v>0</v>
      </c>
      <c r="L938">
        <v>7802</v>
      </c>
      <c r="M938">
        <v>500</v>
      </c>
      <c r="N938">
        <v>7302</v>
      </c>
      <c r="O938" t="s">
        <v>59</v>
      </c>
      <c r="P938">
        <v>4.3</v>
      </c>
      <c r="Q938">
        <v>5</v>
      </c>
      <c r="R938" t="s">
        <v>1079</v>
      </c>
      <c r="S938">
        <v>12</v>
      </c>
      <c r="T938" t="str">
        <f>IF(Healthcare_Data[[#This Row],[Final_Bill]]&gt;=50000,"High",IF(Healthcare_Data[[#This Row],[Final_Bill]]&gt;=20000,"Medium","low"))</f>
        <v>low</v>
      </c>
    </row>
    <row r="939" spans="1:20" x14ac:dyDescent="0.3">
      <c r="A939" t="s">
        <v>994</v>
      </c>
      <c r="B939">
        <v>45999</v>
      </c>
      <c r="C939" t="s">
        <v>27</v>
      </c>
      <c r="D939" t="s">
        <v>19</v>
      </c>
      <c r="E939" t="s">
        <v>20</v>
      </c>
      <c r="F939" t="s">
        <v>21</v>
      </c>
      <c r="G939">
        <v>29</v>
      </c>
      <c r="H939" t="s">
        <v>29</v>
      </c>
      <c r="I939" t="s">
        <v>69</v>
      </c>
      <c r="J939" t="s">
        <v>31</v>
      </c>
      <c r="K939">
        <v>0</v>
      </c>
      <c r="L939">
        <v>5575</v>
      </c>
      <c r="M939">
        <v>0</v>
      </c>
      <c r="N939">
        <v>5575</v>
      </c>
      <c r="O939" t="s">
        <v>25</v>
      </c>
      <c r="P939">
        <v>3.6</v>
      </c>
      <c r="Q939">
        <v>60</v>
      </c>
      <c r="R939" t="s">
        <v>1079</v>
      </c>
      <c r="S939">
        <v>12</v>
      </c>
      <c r="T939" t="str">
        <f>IF(Healthcare_Data[[#This Row],[Final_Bill]]&gt;=50000,"High",IF(Healthcare_Data[[#This Row],[Final_Bill]]&gt;=20000,"Medium","low"))</f>
        <v>low</v>
      </c>
    </row>
    <row r="940" spans="1:20" x14ac:dyDescent="0.3">
      <c r="A940" t="s">
        <v>995</v>
      </c>
      <c r="B940">
        <v>45999</v>
      </c>
      <c r="C940" t="s">
        <v>54</v>
      </c>
      <c r="D940" t="s">
        <v>39</v>
      </c>
      <c r="E940" t="s">
        <v>52</v>
      </c>
      <c r="F940" t="s">
        <v>40</v>
      </c>
      <c r="G940">
        <v>31</v>
      </c>
      <c r="H940" t="s">
        <v>22</v>
      </c>
      <c r="I940" t="s">
        <v>42</v>
      </c>
      <c r="J940" t="s">
        <v>24</v>
      </c>
      <c r="K940">
        <v>9</v>
      </c>
      <c r="L940">
        <v>17892</v>
      </c>
      <c r="M940">
        <v>500</v>
      </c>
      <c r="N940">
        <v>17392</v>
      </c>
      <c r="O940" t="s">
        <v>25</v>
      </c>
      <c r="P940">
        <v>4</v>
      </c>
      <c r="Q940">
        <v>15</v>
      </c>
      <c r="R940" t="s">
        <v>1079</v>
      </c>
      <c r="S940">
        <v>12</v>
      </c>
      <c r="T940" t="str">
        <f>IF(Healthcare_Data[[#This Row],[Final_Bill]]&gt;=50000,"High",IF(Healthcare_Data[[#This Row],[Final_Bill]]&gt;=20000,"Medium","low"))</f>
        <v>low</v>
      </c>
    </row>
    <row r="941" spans="1:20" x14ac:dyDescent="0.3">
      <c r="A941" t="s">
        <v>996</v>
      </c>
      <c r="B941">
        <v>46000</v>
      </c>
      <c r="C941" t="s">
        <v>67</v>
      </c>
      <c r="D941" t="s">
        <v>28</v>
      </c>
      <c r="E941" t="s">
        <v>20</v>
      </c>
      <c r="F941" t="s">
        <v>21</v>
      </c>
      <c r="G941">
        <v>73</v>
      </c>
      <c r="H941" t="s">
        <v>41</v>
      </c>
      <c r="I941" t="s">
        <v>69</v>
      </c>
      <c r="J941" t="s">
        <v>58</v>
      </c>
      <c r="K941">
        <v>0</v>
      </c>
      <c r="L941">
        <v>16855</v>
      </c>
      <c r="M941">
        <v>500</v>
      </c>
      <c r="N941">
        <v>16355</v>
      </c>
      <c r="O941" t="s">
        <v>25</v>
      </c>
      <c r="P941">
        <v>4.9000000000000004</v>
      </c>
      <c r="Q941">
        <v>48</v>
      </c>
      <c r="R941" t="s">
        <v>1079</v>
      </c>
      <c r="S941">
        <v>12</v>
      </c>
      <c r="T941" t="str">
        <f>IF(Healthcare_Data[[#This Row],[Final_Bill]]&gt;=50000,"High",IF(Healthcare_Data[[#This Row],[Final_Bill]]&gt;=20000,"Medium","low"))</f>
        <v>low</v>
      </c>
    </row>
    <row r="942" spans="1:20" x14ac:dyDescent="0.3">
      <c r="A942" t="s">
        <v>997</v>
      </c>
      <c r="B942">
        <v>46001</v>
      </c>
      <c r="C942" t="s">
        <v>50</v>
      </c>
      <c r="D942" t="s">
        <v>39</v>
      </c>
      <c r="E942" t="s">
        <v>20</v>
      </c>
      <c r="F942" t="s">
        <v>40</v>
      </c>
      <c r="G942">
        <v>41</v>
      </c>
      <c r="H942" t="s">
        <v>56</v>
      </c>
      <c r="I942" t="s">
        <v>57</v>
      </c>
      <c r="J942" t="s">
        <v>24</v>
      </c>
      <c r="K942">
        <v>0</v>
      </c>
      <c r="L942">
        <v>7526</v>
      </c>
      <c r="M942">
        <v>1000</v>
      </c>
      <c r="N942">
        <v>6526</v>
      </c>
      <c r="O942" t="s">
        <v>59</v>
      </c>
      <c r="P942">
        <v>3.2</v>
      </c>
      <c r="Q942">
        <v>88</v>
      </c>
      <c r="R942" t="s">
        <v>1079</v>
      </c>
      <c r="S942">
        <v>12</v>
      </c>
      <c r="T942" t="str">
        <f>IF(Healthcare_Data[[#This Row],[Final_Bill]]&gt;=50000,"High",IF(Healthcare_Data[[#This Row],[Final_Bill]]&gt;=20000,"Medium","low"))</f>
        <v>low</v>
      </c>
    </row>
    <row r="943" spans="1:20" x14ac:dyDescent="0.3">
      <c r="A943" t="s">
        <v>998</v>
      </c>
      <c r="B943">
        <v>46001</v>
      </c>
      <c r="C943" t="s">
        <v>54</v>
      </c>
      <c r="D943" t="s">
        <v>51</v>
      </c>
      <c r="E943" t="s">
        <v>20</v>
      </c>
      <c r="F943" t="s">
        <v>40</v>
      </c>
      <c r="G943">
        <v>54</v>
      </c>
      <c r="H943" t="s">
        <v>41</v>
      </c>
      <c r="I943" t="s">
        <v>30</v>
      </c>
      <c r="J943" t="s">
        <v>24</v>
      </c>
      <c r="K943">
        <v>0</v>
      </c>
      <c r="L943">
        <v>17875</v>
      </c>
      <c r="M943">
        <v>0</v>
      </c>
      <c r="N943">
        <v>17875</v>
      </c>
      <c r="O943" t="s">
        <v>25</v>
      </c>
      <c r="P943">
        <v>2.8</v>
      </c>
      <c r="Q943">
        <v>83</v>
      </c>
      <c r="R943" t="s">
        <v>1079</v>
      </c>
      <c r="S943">
        <v>12</v>
      </c>
      <c r="T943" t="str">
        <f>IF(Healthcare_Data[[#This Row],[Final_Bill]]&gt;=50000,"High",IF(Healthcare_Data[[#This Row],[Final_Bill]]&gt;=20000,"Medium","low"))</f>
        <v>low</v>
      </c>
    </row>
    <row r="944" spans="1:20" x14ac:dyDescent="0.3">
      <c r="A944" t="s">
        <v>999</v>
      </c>
      <c r="B944">
        <v>46002</v>
      </c>
      <c r="C944" t="s">
        <v>44</v>
      </c>
      <c r="D944" t="s">
        <v>19</v>
      </c>
      <c r="E944" t="s">
        <v>54</v>
      </c>
      <c r="F944" t="s">
        <v>40</v>
      </c>
      <c r="G944">
        <v>48</v>
      </c>
      <c r="H944" t="s">
        <v>46</v>
      </c>
      <c r="I944" t="s">
        <v>57</v>
      </c>
      <c r="J944" t="s">
        <v>58</v>
      </c>
      <c r="K944">
        <v>0</v>
      </c>
      <c r="L944">
        <v>27239</v>
      </c>
      <c r="M944">
        <v>1500</v>
      </c>
      <c r="N944">
        <v>25739</v>
      </c>
      <c r="O944" t="s">
        <v>25</v>
      </c>
      <c r="P944">
        <v>2.8</v>
      </c>
      <c r="Q944">
        <v>98</v>
      </c>
      <c r="R944" t="s">
        <v>1079</v>
      </c>
      <c r="S944">
        <v>12</v>
      </c>
      <c r="T944" t="str">
        <f>IF(Healthcare_Data[[#This Row],[Final_Bill]]&gt;=50000,"High",IF(Healthcare_Data[[#This Row],[Final_Bill]]&gt;=20000,"Medium","low"))</f>
        <v>Medium</v>
      </c>
    </row>
    <row r="945" spans="1:20" x14ac:dyDescent="0.3">
      <c r="A945" t="s">
        <v>1000</v>
      </c>
      <c r="B945">
        <v>46002</v>
      </c>
      <c r="C945" t="s">
        <v>67</v>
      </c>
      <c r="D945" t="s">
        <v>39</v>
      </c>
      <c r="E945" t="s">
        <v>20</v>
      </c>
      <c r="F945" t="s">
        <v>40</v>
      </c>
      <c r="G945">
        <v>35</v>
      </c>
      <c r="H945" t="s">
        <v>56</v>
      </c>
      <c r="I945" t="s">
        <v>61</v>
      </c>
      <c r="J945" t="s">
        <v>24</v>
      </c>
      <c r="K945">
        <v>0</v>
      </c>
      <c r="L945">
        <v>2884</v>
      </c>
      <c r="M945">
        <v>0</v>
      </c>
      <c r="N945">
        <v>2884</v>
      </c>
      <c r="O945" t="s">
        <v>25</v>
      </c>
      <c r="P945">
        <v>3.1</v>
      </c>
      <c r="Q945">
        <v>91</v>
      </c>
      <c r="R945" t="s">
        <v>1079</v>
      </c>
      <c r="S945">
        <v>12</v>
      </c>
      <c r="T945" t="str">
        <f>IF(Healthcare_Data[[#This Row],[Final_Bill]]&gt;=50000,"High",IF(Healthcare_Data[[#This Row],[Final_Bill]]&gt;=20000,"Medium","low"))</f>
        <v>low</v>
      </c>
    </row>
    <row r="946" spans="1:20" x14ac:dyDescent="0.3">
      <c r="A946" t="s">
        <v>1001</v>
      </c>
      <c r="B946">
        <v>46003</v>
      </c>
      <c r="C946" t="s">
        <v>50</v>
      </c>
      <c r="D946" t="s">
        <v>19</v>
      </c>
      <c r="E946" t="s">
        <v>20</v>
      </c>
      <c r="F946" t="s">
        <v>40</v>
      </c>
      <c r="G946">
        <v>80</v>
      </c>
      <c r="H946" t="s">
        <v>56</v>
      </c>
      <c r="I946" t="s">
        <v>72</v>
      </c>
      <c r="J946" t="s">
        <v>36</v>
      </c>
      <c r="K946">
        <v>0</v>
      </c>
      <c r="L946">
        <v>13303</v>
      </c>
      <c r="M946">
        <v>1500</v>
      </c>
      <c r="N946">
        <v>11803</v>
      </c>
      <c r="O946" t="s">
        <v>59</v>
      </c>
      <c r="P946">
        <v>3</v>
      </c>
      <c r="Q946">
        <v>15</v>
      </c>
      <c r="R946" t="s">
        <v>1079</v>
      </c>
      <c r="S946">
        <v>12</v>
      </c>
      <c r="T946" t="str">
        <f>IF(Healthcare_Data[[#This Row],[Final_Bill]]&gt;=50000,"High",IF(Healthcare_Data[[#This Row],[Final_Bill]]&gt;=20000,"Medium","low"))</f>
        <v>low</v>
      </c>
    </row>
    <row r="947" spans="1:20" x14ac:dyDescent="0.3">
      <c r="A947" t="s">
        <v>1002</v>
      </c>
      <c r="B947">
        <v>46003</v>
      </c>
      <c r="C947" t="s">
        <v>50</v>
      </c>
      <c r="D947" t="s">
        <v>39</v>
      </c>
      <c r="E947" t="s">
        <v>52</v>
      </c>
      <c r="F947" t="s">
        <v>40</v>
      </c>
      <c r="G947">
        <v>37</v>
      </c>
      <c r="H947" t="s">
        <v>29</v>
      </c>
      <c r="I947" t="s">
        <v>30</v>
      </c>
      <c r="J947" t="s">
        <v>31</v>
      </c>
      <c r="K947">
        <v>10</v>
      </c>
      <c r="L947">
        <v>51784</v>
      </c>
      <c r="M947">
        <v>0</v>
      </c>
      <c r="N947">
        <v>51784</v>
      </c>
      <c r="O947" t="s">
        <v>25</v>
      </c>
      <c r="P947">
        <v>4.0999999999999996</v>
      </c>
      <c r="Q947">
        <v>17</v>
      </c>
      <c r="R947" t="s">
        <v>1079</v>
      </c>
      <c r="S947">
        <v>12</v>
      </c>
      <c r="T947" t="str">
        <f>IF(Healthcare_Data[[#This Row],[Final_Bill]]&gt;=50000,"High",IF(Healthcare_Data[[#This Row],[Final_Bill]]&gt;=20000,"Medium","low"))</f>
        <v>High</v>
      </c>
    </row>
    <row r="948" spans="1:20" x14ac:dyDescent="0.3">
      <c r="A948" t="s">
        <v>1003</v>
      </c>
      <c r="B948">
        <v>46003</v>
      </c>
      <c r="C948" t="s">
        <v>67</v>
      </c>
      <c r="D948" t="s">
        <v>39</v>
      </c>
      <c r="E948" t="s">
        <v>20</v>
      </c>
      <c r="F948" t="s">
        <v>21</v>
      </c>
      <c r="G948">
        <v>80</v>
      </c>
      <c r="H948" t="s">
        <v>115</v>
      </c>
      <c r="I948" t="s">
        <v>42</v>
      </c>
      <c r="J948" t="s">
        <v>58</v>
      </c>
      <c r="K948">
        <v>0</v>
      </c>
      <c r="L948">
        <v>2134</v>
      </c>
      <c r="M948">
        <v>1000</v>
      </c>
      <c r="N948">
        <v>1134</v>
      </c>
      <c r="O948" t="s">
        <v>25</v>
      </c>
      <c r="P948">
        <v>2.5</v>
      </c>
      <c r="Q948">
        <v>92</v>
      </c>
      <c r="R948" t="s">
        <v>1079</v>
      </c>
      <c r="S948">
        <v>12</v>
      </c>
      <c r="T948" t="str">
        <f>IF(Healthcare_Data[[#This Row],[Final_Bill]]&gt;=50000,"High",IF(Healthcare_Data[[#This Row],[Final_Bill]]&gt;=20000,"Medium","low"))</f>
        <v>low</v>
      </c>
    </row>
    <row r="949" spans="1:20" x14ac:dyDescent="0.3">
      <c r="A949" t="s">
        <v>1004</v>
      </c>
      <c r="B949">
        <v>46003</v>
      </c>
      <c r="C949" t="s">
        <v>48</v>
      </c>
      <c r="D949" t="s">
        <v>19</v>
      </c>
      <c r="E949" t="s">
        <v>54</v>
      </c>
      <c r="F949" t="s">
        <v>40</v>
      </c>
      <c r="G949">
        <v>26</v>
      </c>
      <c r="H949" t="s">
        <v>29</v>
      </c>
      <c r="I949" t="s">
        <v>69</v>
      </c>
      <c r="J949" t="s">
        <v>24</v>
      </c>
      <c r="K949">
        <v>0</v>
      </c>
      <c r="L949">
        <v>37097</v>
      </c>
      <c r="M949">
        <v>500</v>
      </c>
      <c r="N949">
        <v>36597</v>
      </c>
      <c r="O949" t="s">
        <v>25</v>
      </c>
      <c r="P949">
        <v>4.3</v>
      </c>
      <c r="Q949">
        <v>80</v>
      </c>
      <c r="R949" t="s">
        <v>1079</v>
      </c>
      <c r="S949">
        <v>12</v>
      </c>
      <c r="T949" t="str">
        <f>IF(Healthcare_Data[[#This Row],[Final_Bill]]&gt;=50000,"High",IF(Healthcare_Data[[#This Row],[Final_Bill]]&gt;=20000,"Medium","low"))</f>
        <v>Medium</v>
      </c>
    </row>
    <row r="950" spans="1:20" x14ac:dyDescent="0.3">
      <c r="A950" t="s">
        <v>1005</v>
      </c>
      <c r="B950">
        <v>46003</v>
      </c>
      <c r="C950" t="s">
        <v>38</v>
      </c>
      <c r="D950" t="s">
        <v>19</v>
      </c>
      <c r="E950" t="s">
        <v>54</v>
      </c>
      <c r="F950" t="s">
        <v>21</v>
      </c>
      <c r="G950">
        <v>63</v>
      </c>
      <c r="H950" t="s">
        <v>65</v>
      </c>
      <c r="I950" t="s">
        <v>61</v>
      </c>
      <c r="J950" t="s">
        <v>24</v>
      </c>
      <c r="K950">
        <v>0</v>
      </c>
      <c r="L950">
        <v>18391</v>
      </c>
      <c r="M950">
        <v>1000</v>
      </c>
      <c r="N950">
        <v>17391</v>
      </c>
      <c r="O950" t="s">
        <v>25</v>
      </c>
      <c r="P950">
        <v>4.4000000000000004</v>
      </c>
      <c r="Q950">
        <v>90</v>
      </c>
      <c r="R950" t="s">
        <v>1079</v>
      </c>
      <c r="S950">
        <v>12</v>
      </c>
      <c r="T950" t="str">
        <f>IF(Healthcare_Data[[#This Row],[Final_Bill]]&gt;=50000,"High",IF(Healthcare_Data[[#This Row],[Final_Bill]]&gt;=20000,"Medium","low"))</f>
        <v>low</v>
      </c>
    </row>
    <row r="951" spans="1:20" x14ac:dyDescent="0.3">
      <c r="A951" t="s">
        <v>1006</v>
      </c>
      <c r="B951">
        <v>46003</v>
      </c>
      <c r="C951" t="s">
        <v>50</v>
      </c>
      <c r="D951" t="s">
        <v>34</v>
      </c>
      <c r="E951" t="s">
        <v>52</v>
      </c>
      <c r="F951" t="s">
        <v>21</v>
      </c>
      <c r="G951">
        <v>31</v>
      </c>
      <c r="H951" t="s">
        <v>29</v>
      </c>
      <c r="I951" t="s">
        <v>30</v>
      </c>
      <c r="J951" t="s">
        <v>24</v>
      </c>
      <c r="K951">
        <v>7</v>
      </c>
      <c r="L951">
        <v>46416</v>
      </c>
      <c r="M951">
        <v>500</v>
      </c>
      <c r="N951">
        <v>45916</v>
      </c>
      <c r="O951" t="s">
        <v>25</v>
      </c>
      <c r="P951">
        <v>2.8</v>
      </c>
      <c r="Q951">
        <v>28</v>
      </c>
      <c r="R951" t="s">
        <v>1079</v>
      </c>
      <c r="S951">
        <v>12</v>
      </c>
      <c r="T951" t="str">
        <f>IF(Healthcare_Data[[#This Row],[Final_Bill]]&gt;=50000,"High",IF(Healthcare_Data[[#This Row],[Final_Bill]]&gt;=20000,"Medium","low"))</f>
        <v>Medium</v>
      </c>
    </row>
    <row r="952" spans="1:20" x14ac:dyDescent="0.3">
      <c r="A952" t="s">
        <v>1007</v>
      </c>
      <c r="B952">
        <v>46003</v>
      </c>
      <c r="C952" t="s">
        <v>44</v>
      </c>
      <c r="D952" t="s">
        <v>19</v>
      </c>
      <c r="E952" t="s">
        <v>20</v>
      </c>
      <c r="F952" t="s">
        <v>40</v>
      </c>
      <c r="G952">
        <v>32</v>
      </c>
      <c r="H952" t="s">
        <v>41</v>
      </c>
      <c r="I952" t="s">
        <v>23</v>
      </c>
      <c r="J952" t="s">
        <v>58</v>
      </c>
      <c r="K952">
        <v>0</v>
      </c>
      <c r="L952">
        <v>4499</v>
      </c>
      <c r="M952">
        <v>1500</v>
      </c>
      <c r="N952">
        <v>2999</v>
      </c>
      <c r="O952" t="s">
        <v>25</v>
      </c>
      <c r="P952">
        <v>4.5999999999999996</v>
      </c>
      <c r="Q952">
        <v>89</v>
      </c>
      <c r="R952" t="s">
        <v>1079</v>
      </c>
      <c r="S952">
        <v>12</v>
      </c>
      <c r="T952" t="str">
        <f>IF(Healthcare_Data[[#This Row],[Final_Bill]]&gt;=50000,"High",IF(Healthcare_Data[[#This Row],[Final_Bill]]&gt;=20000,"Medium","low"))</f>
        <v>low</v>
      </c>
    </row>
    <row r="953" spans="1:20" x14ac:dyDescent="0.3">
      <c r="A953" t="s">
        <v>1008</v>
      </c>
      <c r="B953">
        <v>46004</v>
      </c>
      <c r="C953" t="s">
        <v>50</v>
      </c>
      <c r="D953" t="s">
        <v>28</v>
      </c>
      <c r="E953" t="s">
        <v>20</v>
      </c>
      <c r="F953" t="s">
        <v>40</v>
      </c>
      <c r="G953">
        <v>78</v>
      </c>
      <c r="H953" t="s">
        <v>35</v>
      </c>
      <c r="I953" t="s">
        <v>69</v>
      </c>
      <c r="J953" t="s">
        <v>31</v>
      </c>
      <c r="K953">
        <v>0</v>
      </c>
      <c r="L953">
        <v>14309</v>
      </c>
      <c r="M953">
        <v>2000</v>
      </c>
      <c r="N953">
        <v>12309</v>
      </c>
      <c r="O953" t="s">
        <v>25</v>
      </c>
      <c r="P953">
        <v>4</v>
      </c>
      <c r="Q953">
        <v>70</v>
      </c>
      <c r="R953" t="s">
        <v>1079</v>
      </c>
      <c r="S953">
        <v>12</v>
      </c>
      <c r="T953" t="str">
        <f>IF(Healthcare_Data[[#This Row],[Final_Bill]]&gt;=50000,"High",IF(Healthcare_Data[[#This Row],[Final_Bill]]&gt;=20000,"Medium","low"))</f>
        <v>low</v>
      </c>
    </row>
    <row r="954" spans="1:20" x14ac:dyDescent="0.3">
      <c r="A954" t="s">
        <v>1009</v>
      </c>
      <c r="B954">
        <v>46005</v>
      </c>
      <c r="C954" t="s">
        <v>67</v>
      </c>
      <c r="D954" t="s">
        <v>51</v>
      </c>
      <c r="E954" t="s">
        <v>52</v>
      </c>
      <c r="F954" t="s">
        <v>40</v>
      </c>
      <c r="G954">
        <v>30</v>
      </c>
      <c r="H954" t="s">
        <v>41</v>
      </c>
      <c r="I954" t="s">
        <v>72</v>
      </c>
      <c r="J954" t="s">
        <v>31</v>
      </c>
      <c r="K954">
        <v>13</v>
      </c>
      <c r="L954">
        <v>15526</v>
      </c>
      <c r="M954">
        <v>0</v>
      </c>
      <c r="N954">
        <v>15526</v>
      </c>
      <c r="O954" t="s">
        <v>25</v>
      </c>
      <c r="P954">
        <v>2.7</v>
      </c>
      <c r="Q954">
        <v>45</v>
      </c>
      <c r="R954" t="s">
        <v>1079</v>
      </c>
      <c r="S954">
        <v>12</v>
      </c>
      <c r="T954" t="str">
        <f>IF(Healthcare_Data[[#This Row],[Final_Bill]]&gt;=50000,"High",IF(Healthcare_Data[[#This Row],[Final_Bill]]&gt;=20000,"Medium","low"))</f>
        <v>low</v>
      </c>
    </row>
    <row r="955" spans="1:20" x14ac:dyDescent="0.3">
      <c r="A955" t="s">
        <v>1010</v>
      </c>
      <c r="B955">
        <v>46005</v>
      </c>
      <c r="C955" t="s">
        <v>67</v>
      </c>
      <c r="D955" t="s">
        <v>34</v>
      </c>
      <c r="E955" t="s">
        <v>20</v>
      </c>
      <c r="F955" t="s">
        <v>21</v>
      </c>
      <c r="G955">
        <v>76</v>
      </c>
      <c r="H955" t="s">
        <v>22</v>
      </c>
      <c r="I955" t="s">
        <v>23</v>
      </c>
      <c r="J955" t="s">
        <v>24</v>
      </c>
      <c r="K955">
        <v>0</v>
      </c>
      <c r="L955">
        <v>1551</v>
      </c>
      <c r="M955">
        <v>1500</v>
      </c>
      <c r="N955">
        <v>51</v>
      </c>
      <c r="O955" t="s">
        <v>25</v>
      </c>
      <c r="P955">
        <v>4.5</v>
      </c>
      <c r="Q955">
        <v>34</v>
      </c>
      <c r="R955" t="s">
        <v>1079</v>
      </c>
      <c r="S955">
        <v>12</v>
      </c>
      <c r="T955" t="str">
        <f>IF(Healthcare_Data[[#This Row],[Final_Bill]]&gt;=50000,"High",IF(Healthcare_Data[[#This Row],[Final_Bill]]&gt;=20000,"Medium","low"))</f>
        <v>low</v>
      </c>
    </row>
    <row r="956" spans="1:20" x14ac:dyDescent="0.3">
      <c r="A956" t="s">
        <v>1011</v>
      </c>
      <c r="B956">
        <v>46005</v>
      </c>
      <c r="C956" t="s">
        <v>18</v>
      </c>
      <c r="D956" t="s">
        <v>39</v>
      </c>
      <c r="E956" t="s">
        <v>52</v>
      </c>
      <c r="F956" t="s">
        <v>21</v>
      </c>
      <c r="G956">
        <v>24</v>
      </c>
      <c r="H956" t="s">
        <v>56</v>
      </c>
      <c r="I956" t="s">
        <v>72</v>
      </c>
      <c r="J956" t="s">
        <v>24</v>
      </c>
      <c r="K956">
        <v>13</v>
      </c>
      <c r="L956">
        <v>17690</v>
      </c>
      <c r="M956">
        <v>500</v>
      </c>
      <c r="N956">
        <v>17190</v>
      </c>
      <c r="O956" t="s">
        <v>59</v>
      </c>
      <c r="P956">
        <v>3.9</v>
      </c>
      <c r="Q956">
        <v>53</v>
      </c>
      <c r="R956" t="s">
        <v>1079</v>
      </c>
      <c r="S956">
        <v>12</v>
      </c>
      <c r="T956" t="str">
        <f>IF(Healthcare_Data[[#This Row],[Final_Bill]]&gt;=50000,"High",IF(Healthcare_Data[[#This Row],[Final_Bill]]&gt;=20000,"Medium","low"))</f>
        <v>low</v>
      </c>
    </row>
    <row r="957" spans="1:20" x14ac:dyDescent="0.3">
      <c r="A957" t="s">
        <v>1012</v>
      </c>
      <c r="B957">
        <v>46005</v>
      </c>
      <c r="C957" t="s">
        <v>50</v>
      </c>
      <c r="D957" t="s">
        <v>51</v>
      </c>
      <c r="E957" t="s">
        <v>52</v>
      </c>
      <c r="F957" t="s">
        <v>21</v>
      </c>
      <c r="G957">
        <v>56</v>
      </c>
      <c r="H957" t="s">
        <v>65</v>
      </c>
      <c r="I957" t="s">
        <v>30</v>
      </c>
      <c r="J957" t="s">
        <v>31</v>
      </c>
      <c r="K957">
        <v>8</v>
      </c>
      <c r="L957">
        <v>79422</v>
      </c>
      <c r="M957">
        <v>2000</v>
      </c>
      <c r="N957">
        <v>77422</v>
      </c>
      <c r="O957" t="s">
        <v>25</v>
      </c>
      <c r="P957">
        <v>3.2</v>
      </c>
      <c r="Q957">
        <v>61</v>
      </c>
      <c r="R957" t="s">
        <v>1079</v>
      </c>
      <c r="S957">
        <v>12</v>
      </c>
      <c r="T957" t="str">
        <f>IF(Healthcare_Data[[#This Row],[Final_Bill]]&gt;=50000,"High",IF(Healthcare_Data[[#This Row],[Final_Bill]]&gt;=20000,"Medium","low"))</f>
        <v>High</v>
      </c>
    </row>
    <row r="958" spans="1:20" x14ac:dyDescent="0.3">
      <c r="A958" t="s">
        <v>1013</v>
      </c>
      <c r="B958">
        <v>46006</v>
      </c>
      <c r="C958" t="s">
        <v>50</v>
      </c>
      <c r="D958" t="s">
        <v>34</v>
      </c>
      <c r="E958" t="s">
        <v>54</v>
      </c>
      <c r="F958" t="s">
        <v>40</v>
      </c>
      <c r="G958">
        <v>18</v>
      </c>
      <c r="H958" t="s">
        <v>41</v>
      </c>
      <c r="I958" t="s">
        <v>23</v>
      </c>
      <c r="J958" t="s">
        <v>58</v>
      </c>
      <c r="K958">
        <v>0</v>
      </c>
      <c r="L958">
        <v>21358</v>
      </c>
      <c r="M958">
        <v>1000</v>
      </c>
      <c r="N958">
        <v>20358</v>
      </c>
      <c r="O958" t="s">
        <v>25</v>
      </c>
      <c r="P958">
        <v>3.3</v>
      </c>
      <c r="Q958">
        <v>49</v>
      </c>
      <c r="R958" t="s">
        <v>1079</v>
      </c>
      <c r="S958">
        <v>12</v>
      </c>
      <c r="T958" t="str">
        <f>IF(Healthcare_Data[[#This Row],[Final_Bill]]&gt;=50000,"High",IF(Healthcare_Data[[#This Row],[Final_Bill]]&gt;=20000,"Medium","low"))</f>
        <v>Medium</v>
      </c>
    </row>
    <row r="959" spans="1:20" x14ac:dyDescent="0.3">
      <c r="A959" t="s">
        <v>1014</v>
      </c>
      <c r="B959">
        <v>46006</v>
      </c>
      <c r="C959" t="s">
        <v>54</v>
      </c>
      <c r="D959" t="s">
        <v>28</v>
      </c>
      <c r="E959" t="s">
        <v>20</v>
      </c>
      <c r="F959" t="s">
        <v>21</v>
      </c>
      <c r="G959">
        <v>66</v>
      </c>
      <c r="H959" t="s">
        <v>41</v>
      </c>
      <c r="I959" t="s">
        <v>42</v>
      </c>
      <c r="J959" t="s">
        <v>58</v>
      </c>
      <c r="K959">
        <v>0</v>
      </c>
      <c r="L959">
        <v>10804</v>
      </c>
      <c r="M959">
        <v>500</v>
      </c>
      <c r="N959">
        <v>10304</v>
      </c>
      <c r="O959" t="s">
        <v>25</v>
      </c>
      <c r="P959">
        <v>4.9000000000000004</v>
      </c>
      <c r="Q959">
        <v>72</v>
      </c>
      <c r="R959" t="s">
        <v>1079</v>
      </c>
      <c r="S959">
        <v>12</v>
      </c>
      <c r="T959" t="str">
        <f>IF(Healthcare_Data[[#This Row],[Final_Bill]]&gt;=50000,"High",IF(Healthcare_Data[[#This Row],[Final_Bill]]&gt;=20000,"Medium","low"))</f>
        <v>low</v>
      </c>
    </row>
    <row r="960" spans="1:20" x14ac:dyDescent="0.3">
      <c r="A960" t="s">
        <v>1015</v>
      </c>
      <c r="B960">
        <v>46006</v>
      </c>
      <c r="C960" t="s">
        <v>44</v>
      </c>
      <c r="D960" t="s">
        <v>39</v>
      </c>
      <c r="E960" t="s">
        <v>54</v>
      </c>
      <c r="F960" t="s">
        <v>40</v>
      </c>
      <c r="G960">
        <v>56</v>
      </c>
      <c r="H960" t="s">
        <v>115</v>
      </c>
      <c r="I960" t="s">
        <v>63</v>
      </c>
      <c r="J960" t="s">
        <v>24</v>
      </c>
      <c r="K960">
        <v>0</v>
      </c>
      <c r="L960">
        <v>40449</v>
      </c>
      <c r="M960">
        <v>2000</v>
      </c>
      <c r="N960">
        <v>38449</v>
      </c>
      <c r="O960" t="s">
        <v>25</v>
      </c>
      <c r="P960">
        <v>2.6</v>
      </c>
      <c r="Q960">
        <v>15</v>
      </c>
      <c r="R960" t="s">
        <v>1079</v>
      </c>
      <c r="S960">
        <v>12</v>
      </c>
      <c r="T960" t="str">
        <f>IF(Healthcare_Data[[#This Row],[Final_Bill]]&gt;=50000,"High",IF(Healthcare_Data[[#This Row],[Final_Bill]]&gt;=20000,"Medium","low"))</f>
        <v>Medium</v>
      </c>
    </row>
    <row r="961" spans="1:20" x14ac:dyDescent="0.3">
      <c r="A961" t="s">
        <v>1016</v>
      </c>
      <c r="B961">
        <v>46006</v>
      </c>
      <c r="C961" t="s">
        <v>44</v>
      </c>
      <c r="D961" t="s">
        <v>51</v>
      </c>
      <c r="E961" t="s">
        <v>20</v>
      </c>
      <c r="F961" t="s">
        <v>40</v>
      </c>
      <c r="G961">
        <v>33</v>
      </c>
      <c r="H961" t="s">
        <v>41</v>
      </c>
      <c r="I961" t="s">
        <v>23</v>
      </c>
      <c r="J961" t="s">
        <v>24</v>
      </c>
      <c r="K961">
        <v>0</v>
      </c>
      <c r="L961">
        <v>14470</v>
      </c>
      <c r="M961">
        <v>500</v>
      </c>
      <c r="N961">
        <v>13970</v>
      </c>
      <c r="O961" t="s">
        <v>25</v>
      </c>
      <c r="P961">
        <v>4.5999999999999996</v>
      </c>
      <c r="Q961">
        <v>6</v>
      </c>
      <c r="R961" t="s">
        <v>1079</v>
      </c>
      <c r="S961">
        <v>12</v>
      </c>
      <c r="T961" t="str">
        <f>IF(Healthcare_Data[[#This Row],[Final_Bill]]&gt;=50000,"High",IF(Healthcare_Data[[#This Row],[Final_Bill]]&gt;=20000,"Medium","low"))</f>
        <v>low</v>
      </c>
    </row>
    <row r="962" spans="1:20" x14ac:dyDescent="0.3">
      <c r="A962" t="s">
        <v>1017</v>
      </c>
      <c r="B962">
        <v>46006</v>
      </c>
      <c r="C962" t="s">
        <v>50</v>
      </c>
      <c r="D962" t="s">
        <v>19</v>
      </c>
      <c r="E962" t="s">
        <v>54</v>
      </c>
      <c r="F962" t="s">
        <v>21</v>
      </c>
      <c r="G962">
        <v>79</v>
      </c>
      <c r="H962" t="s">
        <v>22</v>
      </c>
      <c r="I962" t="s">
        <v>42</v>
      </c>
      <c r="J962" t="s">
        <v>36</v>
      </c>
      <c r="K962">
        <v>0</v>
      </c>
      <c r="L962">
        <v>22605</v>
      </c>
      <c r="M962">
        <v>1000</v>
      </c>
      <c r="N962">
        <v>21605</v>
      </c>
      <c r="O962" t="s">
        <v>25</v>
      </c>
      <c r="P962">
        <v>4.5</v>
      </c>
      <c r="Q962">
        <v>43</v>
      </c>
      <c r="R962" t="s">
        <v>1079</v>
      </c>
      <c r="S962">
        <v>12</v>
      </c>
      <c r="T962" t="str">
        <f>IF(Healthcare_Data[[#This Row],[Final_Bill]]&gt;=50000,"High",IF(Healthcare_Data[[#This Row],[Final_Bill]]&gt;=20000,"Medium","low"))</f>
        <v>Medium</v>
      </c>
    </row>
    <row r="963" spans="1:20" x14ac:dyDescent="0.3">
      <c r="A963" t="s">
        <v>1018</v>
      </c>
      <c r="B963">
        <v>46007</v>
      </c>
      <c r="C963" t="s">
        <v>50</v>
      </c>
      <c r="D963" t="s">
        <v>19</v>
      </c>
      <c r="E963" t="s">
        <v>52</v>
      </c>
      <c r="F963" t="s">
        <v>40</v>
      </c>
      <c r="G963">
        <v>29</v>
      </c>
      <c r="H963" t="s">
        <v>46</v>
      </c>
      <c r="I963" t="s">
        <v>30</v>
      </c>
      <c r="J963" t="s">
        <v>31</v>
      </c>
      <c r="K963">
        <v>3</v>
      </c>
      <c r="L963">
        <v>70296</v>
      </c>
      <c r="M963">
        <v>1000</v>
      </c>
      <c r="N963">
        <v>69296</v>
      </c>
      <c r="O963" t="s">
        <v>25</v>
      </c>
      <c r="P963">
        <v>4.3</v>
      </c>
      <c r="Q963">
        <v>6</v>
      </c>
      <c r="R963" t="s">
        <v>1079</v>
      </c>
      <c r="S963">
        <v>12</v>
      </c>
      <c r="T963" t="str">
        <f>IF(Healthcare_Data[[#This Row],[Final_Bill]]&gt;=50000,"High",IF(Healthcare_Data[[#This Row],[Final_Bill]]&gt;=20000,"Medium","low"))</f>
        <v>High</v>
      </c>
    </row>
    <row r="964" spans="1:20" x14ac:dyDescent="0.3">
      <c r="A964" t="s">
        <v>1019</v>
      </c>
      <c r="B964">
        <v>46007</v>
      </c>
      <c r="C964" t="s">
        <v>38</v>
      </c>
      <c r="D964" t="s">
        <v>39</v>
      </c>
      <c r="E964" t="s">
        <v>20</v>
      </c>
      <c r="F964" t="s">
        <v>21</v>
      </c>
      <c r="G964">
        <v>69</v>
      </c>
      <c r="H964" t="s">
        <v>46</v>
      </c>
      <c r="I964" t="s">
        <v>63</v>
      </c>
      <c r="J964" t="s">
        <v>1057</v>
      </c>
      <c r="K964">
        <v>0</v>
      </c>
      <c r="L964">
        <v>15667</v>
      </c>
      <c r="M964">
        <v>0</v>
      </c>
      <c r="N964">
        <v>15667</v>
      </c>
      <c r="O964" t="s">
        <v>25</v>
      </c>
      <c r="P964">
        <v>3.9</v>
      </c>
      <c r="Q964">
        <v>72</v>
      </c>
      <c r="R964" t="s">
        <v>1079</v>
      </c>
      <c r="S964">
        <v>12</v>
      </c>
      <c r="T964" t="str">
        <f>IF(Healthcare_Data[[#This Row],[Final_Bill]]&gt;=50000,"High",IF(Healthcare_Data[[#This Row],[Final_Bill]]&gt;=20000,"Medium","low"))</f>
        <v>low</v>
      </c>
    </row>
    <row r="965" spans="1:20" x14ac:dyDescent="0.3">
      <c r="A965" t="s">
        <v>1020</v>
      </c>
      <c r="B965">
        <v>46007</v>
      </c>
      <c r="C965" t="s">
        <v>27</v>
      </c>
      <c r="D965" t="s">
        <v>28</v>
      </c>
      <c r="E965" t="s">
        <v>54</v>
      </c>
      <c r="F965" t="s">
        <v>21</v>
      </c>
      <c r="G965">
        <v>60</v>
      </c>
      <c r="H965" t="s">
        <v>56</v>
      </c>
      <c r="I965" t="s">
        <v>69</v>
      </c>
      <c r="J965" t="s">
        <v>31</v>
      </c>
      <c r="K965">
        <v>0</v>
      </c>
      <c r="L965">
        <v>36261</v>
      </c>
      <c r="M965">
        <v>0</v>
      </c>
      <c r="N965">
        <v>36261</v>
      </c>
      <c r="O965" t="s">
        <v>59</v>
      </c>
      <c r="P965">
        <v>2.5</v>
      </c>
      <c r="Q965">
        <v>70</v>
      </c>
      <c r="R965" t="s">
        <v>1079</v>
      </c>
      <c r="S965">
        <v>12</v>
      </c>
      <c r="T965" t="str">
        <f>IF(Healthcare_Data[[#This Row],[Final_Bill]]&gt;=50000,"High",IF(Healthcare_Data[[#This Row],[Final_Bill]]&gt;=20000,"Medium","low"))</f>
        <v>Medium</v>
      </c>
    </row>
    <row r="966" spans="1:20" x14ac:dyDescent="0.3">
      <c r="A966" t="s">
        <v>1021</v>
      </c>
      <c r="B966">
        <v>46007</v>
      </c>
      <c r="C966" t="s">
        <v>18</v>
      </c>
      <c r="D966" t="s">
        <v>34</v>
      </c>
      <c r="E966" t="s">
        <v>52</v>
      </c>
      <c r="F966" t="s">
        <v>21</v>
      </c>
      <c r="G966">
        <v>80</v>
      </c>
      <c r="H966" t="s">
        <v>56</v>
      </c>
      <c r="I966" t="s">
        <v>69</v>
      </c>
      <c r="J966" t="s">
        <v>31</v>
      </c>
      <c r="K966">
        <v>9</v>
      </c>
      <c r="L966">
        <v>49318</v>
      </c>
      <c r="M966">
        <v>500</v>
      </c>
      <c r="N966">
        <v>48818</v>
      </c>
      <c r="O966" t="s">
        <v>25</v>
      </c>
      <c r="P966">
        <v>4.3</v>
      </c>
      <c r="Q966">
        <v>75</v>
      </c>
      <c r="R966" t="s">
        <v>1079</v>
      </c>
      <c r="S966">
        <v>12</v>
      </c>
      <c r="T966" t="str">
        <f>IF(Healthcare_Data[[#This Row],[Final_Bill]]&gt;=50000,"High",IF(Healthcare_Data[[#This Row],[Final_Bill]]&gt;=20000,"Medium","low"))</f>
        <v>Medium</v>
      </c>
    </row>
    <row r="967" spans="1:20" x14ac:dyDescent="0.3">
      <c r="A967" t="s">
        <v>1022</v>
      </c>
      <c r="B967">
        <v>46008</v>
      </c>
      <c r="C967" t="s">
        <v>18</v>
      </c>
      <c r="D967" t="s">
        <v>19</v>
      </c>
      <c r="E967" t="s">
        <v>54</v>
      </c>
      <c r="F967" t="s">
        <v>21</v>
      </c>
      <c r="G967">
        <v>28</v>
      </c>
      <c r="H967" t="s">
        <v>46</v>
      </c>
      <c r="I967" t="s">
        <v>30</v>
      </c>
      <c r="J967" t="s">
        <v>58</v>
      </c>
      <c r="K967">
        <v>0</v>
      </c>
      <c r="L967">
        <v>20041</v>
      </c>
      <c r="M967">
        <v>0</v>
      </c>
      <c r="N967">
        <v>20041</v>
      </c>
      <c r="O967" t="s">
        <v>25</v>
      </c>
      <c r="P967">
        <v>4.8</v>
      </c>
      <c r="Q967">
        <v>48</v>
      </c>
      <c r="R967" t="s">
        <v>1079</v>
      </c>
      <c r="S967">
        <v>12</v>
      </c>
      <c r="T967" t="str">
        <f>IF(Healthcare_Data[[#This Row],[Final_Bill]]&gt;=50000,"High",IF(Healthcare_Data[[#This Row],[Final_Bill]]&gt;=20000,"Medium","low"))</f>
        <v>Medium</v>
      </c>
    </row>
    <row r="968" spans="1:20" x14ac:dyDescent="0.3">
      <c r="A968" t="s">
        <v>1023</v>
      </c>
      <c r="B968">
        <v>46008</v>
      </c>
      <c r="C968" t="s">
        <v>67</v>
      </c>
      <c r="D968" t="s">
        <v>34</v>
      </c>
      <c r="E968" t="s">
        <v>52</v>
      </c>
      <c r="F968" t="s">
        <v>40</v>
      </c>
      <c r="G968">
        <v>45</v>
      </c>
      <c r="H968" t="s">
        <v>56</v>
      </c>
      <c r="I968" t="s">
        <v>61</v>
      </c>
      <c r="J968" t="s">
        <v>58</v>
      </c>
      <c r="K968">
        <v>11</v>
      </c>
      <c r="L968">
        <v>56003</v>
      </c>
      <c r="M968">
        <v>0</v>
      </c>
      <c r="N968">
        <v>56003</v>
      </c>
      <c r="O968" t="s">
        <v>25</v>
      </c>
      <c r="P968">
        <v>4.9000000000000004</v>
      </c>
      <c r="Q968">
        <v>40</v>
      </c>
      <c r="R968" t="s">
        <v>1079</v>
      </c>
      <c r="S968">
        <v>12</v>
      </c>
      <c r="T968" t="str">
        <f>IF(Healthcare_Data[[#This Row],[Final_Bill]]&gt;=50000,"High",IF(Healthcare_Data[[#This Row],[Final_Bill]]&gt;=20000,"Medium","low"))</f>
        <v>High</v>
      </c>
    </row>
    <row r="969" spans="1:20" x14ac:dyDescent="0.3">
      <c r="A969" t="s">
        <v>1024</v>
      </c>
      <c r="B969">
        <v>46009</v>
      </c>
      <c r="C969" t="s">
        <v>67</v>
      </c>
      <c r="D969" t="s">
        <v>39</v>
      </c>
      <c r="E969" t="s">
        <v>20</v>
      </c>
      <c r="F969" t="s">
        <v>40</v>
      </c>
      <c r="G969">
        <v>65</v>
      </c>
      <c r="H969" t="s">
        <v>29</v>
      </c>
      <c r="I969" t="s">
        <v>61</v>
      </c>
      <c r="J969" t="s">
        <v>31</v>
      </c>
      <c r="K969">
        <v>0</v>
      </c>
      <c r="L969">
        <v>2703</v>
      </c>
      <c r="M969">
        <v>0</v>
      </c>
      <c r="N969">
        <v>2703</v>
      </c>
      <c r="O969" t="s">
        <v>59</v>
      </c>
      <c r="P969">
        <v>2.9</v>
      </c>
      <c r="Q969">
        <v>105</v>
      </c>
      <c r="R969" t="s">
        <v>1079</v>
      </c>
      <c r="S969">
        <v>12</v>
      </c>
      <c r="T969" t="str">
        <f>IF(Healthcare_Data[[#This Row],[Final_Bill]]&gt;=50000,"High",IF(Healthcare_Data[[#This Row],[Final_Bill]]&gt;=20000,"Medium","low"))</f>
        <v>low</v>
      </c>
    </row>
    <row r="970" spans="1:20" x14ac:dyDescent="0.3">
      <c r="A970" t="s">
        <v>1025</v>
      </c>
      <c r="B970">
        <v>46009</v>
      </c>
      <c r="C970" t="s">
        <v>50</v>
      </c>
      <c r="D970" t="s">
        <v>19</v>
      </c>
      <c r="E970" t="s">
        <v>52</v>
      </c>
      <c r="F970" t="s">
        <v>21</v>
      </c>
      <c r="G970">
        <v>39</v>
      </c>
      <c r="H970" t="s">
        <v>29</v>
      </c>
      <c r="I970" t="s">
        <v>30</v>
      </c>
      <c r="J970" t="s">
        <v>36</v>
      </c>
      <c r="K970">
        <v>3</v>
      </c>
      <c r="L970">
        <v>22634</v>
      </c>
      <c r="M970">
        <v>500</v>
      </c>
      <c r="N970">
        <v>22134</v>
      </c>
      <c r="O970" t="s">
        <v>25</v>
      </c>
      <c r="P970">
        <v>4.2</v>
      </c>
      <c r="Q970">
        <v>114</v>
      </c>
      <c r="R970" t="s">
        <v>1079</v>
      </c>
      <c r="S970">
        <v>12</v>
      </c>
      <c r="T970" t="str">
        <f>IF(Healthcare_Data[[#This Row],[Final_Bill]]&gt;=50000,"High",IF(Healthcare_Data[[#This Row],[Final_Bill]]&gt;=20000,"Medium","low"))</f>
        <v>Medium</v>
      </c>
    </row>
    <row r="971" spans="1:20" x14ac:dyDescent="0.3">
      <c r="A971" t="s">
        <v>1026</v>
      </c>
      <c r="B971">
        <v>46009</v>
      </c>
      <c r="C971" t="s">
        <v>50</v>
      </c>
      <c r="D971" t="s">
        <v>19</v>
      </c>
      <c r="E971" t="s">
        <v>20</v>
      </c>
      <c r="F971" t="s">
        <v>40</v>
      </c>
      <c r="G971">
        <v>69</v>
      </c>
      <c r="H971" t="s">
        <v>22</v>
      </c>
      <c r="I971" t="s">
        <v>57</v>
      </c>
      <c r="J971" t="s">
        <v>36</v>
      </c>
      <c r="K971">
        <v>0</v>
      </c>
      <c r="L971">
        <v>11647</v>
      </c>
      <c r="M971">
        <v>2000</v>
      </c>
      <c r="N971">
        <v>9647</v>
      </c>
      <c r="O971" t="s">
        <v>25</v>
      </c>
      <c r="P971">
        <v>3</v>
      </c>
      <c r="Q971">
        <v>112</v>
      </c>
      <c r="R971" t="s">
        <v>1079</v>
      </c>
      <c r="S971">
        <v>12</v>
      </c>
      <c r="T971" t="str">
        <f>IF(Healthcare_Data[[#This Row],[Final_Bill]]&gt;=50000,"High",IF(Healthcare_Data[[#This Row],[Final_Bill]]&gt;=20000,"Medium","low"))</f>
        <v>low</v>
      </c>
    </row>
    <row r="972" spans="1:20" x14ac:dyDescent="0.3">
      <c r="A972" t="s">
        <v>1027</v>
      </c>
      <c r="B972">
        <v>46011</v>
      </c>
      <c r="C972" t="s">
        <v>44</v>
      </c>
      <c r="D972" t="s">
        <v>19</v>
      </c>
      <c r="E972" t="s">
        <v>52</v>
      </c>
      <c r="F972" t="s">
        <v>40</v>
      </c>
      <c r="G972">
        <v>66</v>
      </c>
      <c r="H972" t="s">
        <v>22</v>
      </c>
      <c r="I972" t="s">
        <v>42</v>
      </c>
      <c r="J972" t="s">
        <v>58</v>
      </c>
      <c r="K972">
        <v>6</v>
      </c>
      <c r="L972">
        <v>26292</v>
      </c>
      <c r="M972">
        <v>0</v>
      </c>
      <c r="N972">
        <v>26292</v>
      </c>
      <c r="O972" t="s">
        <v>32</v>
      </c>
      <c r="P972">
        <v>3.7</v>
      </c>
      <c r="Q972">
        <v>47</v>
      </c>
      <c r="R972" t="s">
        <v>1079</v>
      </c>
      <c r="S972">
        <v>12</v>
      </c>
      <c r="T972" t="str">
        <f>IF(Healthcare_Data[[#This Row],[Final_Bill]]&gt;=50000,"High",IF(Healthcare_Data[[#This Row],[Final_Bill]]&gt;=20000,"Medium","low"))</f>
        <v>Medium</v>
      </c>
    </row>
    <row r="973" spans="1:20" x14ac:dyDescent="0.3">
      <c r="A973" t="s">
        <v>1028</v>
      </c>
      <c r="B973">
        <v>46012</v>
      </c>
      <c r="C973" t="s">
        <v>50</v>
      </c>
      <c r="D973" t="s">
        <v>39</v>
      </c>
      <c r="E973" t="s">
        <v>20</v>
      </c>
      <c r="F973" t="s">
        <v>40</v>
      </c>
      <c r="G973">
        <v>39</v>
      </c>
      <c r="H973" t="s">
        <v>56</v>
      </c>
      <c r="I973" t="s">
        <v>23</v>
      </c>
      <c r="J973" t="s">
        <v>58</v>
      </c>
      <c r="K973">
        <v>0</v>
      </c>
      <c r="L973">
        <v>14953</v>
      </c>
      <c r="M973">
        <v>500</v>
      </c>
      <c r="N973">
        <v>14453</v>
      </c>
      <c r="O973" t="s">
        <v>25</v>
      </c>
      <c r="P973">
        <v>4</v>
      </c>
      <c r="Q973">
        <v>49</v>
      </c>
      <c r="R973" t="s">
        <v>1079</v>
      </c>
      <c r="S973">
        <v>12</v>
      </c>
      <c r="T973" t="str">
        <f>IF(Healthcare_Data[[#This Row],[Final_Bill]]&gt;=50000,"High",IF(Healthcare_Data[[#This Row],[Final_Bill]]&gt;=20000,"Medium","low"))</f>
        <v>low</v>
      </c>
    </row>
    <row r="974" spans="1:20" x14ac:dyDescent="0.3">
      <c r="A974" t="s">
        <v>1029</v>
      </c>
      <c r="B974">
        <v>46012</v>
      </c>
      <c r="C974" t="s">
        <v>44</v>
      </c>
      <c r="D974" t="s">
        <v>28</v>
      </c>
      <c r="E974" t="s">
        <v>54</v>
      </c>
      <c r="F974" t="s">
        <v>21</v>
      </c>
      <c r="G974">
        <v>27</v>
      </c>
      <c r="H974" t="s">
        <v>22</v>
      </c>
      <c r="I974" t="s">
        <v>23</v>
      </c>
      <c r="J974" t="s">
        <v>24</v>
      </c>
      <c r="K974">
        <v>0</v>
      </c>
      <c r="L974">
        <v>37369</v>
      </c>
      <c r="M974">
        <v>0</v>
      </c>
      <c r="N974">
        <v>37369</v>
      </c>
      <c r="O974" t="s">
        <v>25</v>
      </c>
      <c r="P974">
        <v>2.5</v>
      </c>
      <c r="Q974">
        <v>20</v>
      </c>
      <c r="R974" t="s">
        <v>1079</v>
      </c>
      <c r="S974">
        <v>12</v>
      </c>
      <c r="T974" t="str">
        <f>IF(Healthcare_Data[[#This Row],[Final_Bill]]&gt;=50000,"High",IF(Healthcare_Data[[#This Row],[Final_Bill]]&gt;=20000,"Medium","low"))</f>
        <v>Medium</v>
      </c>
    </row>
    <row r="975" spans="1:20" x14ac:dyDescent="0.3">
      <c r="A975" t="s">
        <v>1030</v>
      </c>
      <c r="B975">
        <v>46012</v>
      </c>
      <c r="C975" t="s">
        <v>38</v>
      </c>
      <c r="D975" t="s">
        <v>39</v>
      </c>
      <c r="E975" t="s">
        <v>20</v>
      </c>
      <c r="F975" t="s">
        <v>21</v>
      </c>
      <c r="G975">
        <v>75</v>
      </c>
      <c r="H975" t="s">
        <v>29</v>
      </c>
      <c r="I975" t="s">
        <v>23</v>
      </c>
      <c r="J975" t="s">
        <v>31</v>
      </c>
      <c r="K975">
        <v>0</v>
      </c>
      <c r="L975">
        <v>16488</v>
      </c>
      <c r="M975">
        <v>1000</v>
      </c>
      <c r="N975">
        <v>15488</v>
      </c>
      <c r="O975" t="s">
        <v>25</v>
      </c>
      <c r="P975">
        <v>3.9</v>
      </c>
      <c r="Q975">
        <v>77</v>
      </c>
      <c r="R975" t="s">
        <v>1079</v>
      </c>
      <c r="S975">
        <v>12</v>
      </c>
      <c r="T975" t="str">
        <f>IF(Healthcare_Data[[#This Row],[Final_Bill]]&gt;=50000,"High",IF(Healthcare_Data[[#This Row],[Final_Bill]]&gt;=20000,"Medium","low"))</f>
        <v>low</v>
      </c>
    </row>
    <row r="976" spans="1:20" x14ac:dyDescent="0.3">
      <c r="A976" t="s">
        <v>1031</v>
      </c>
      <c r="B976">
        <v>46012</v>
      </c>
      <c r="C976" t="s">
        <v>48</v>
      </c>
      <c r="D976" t="s">
        <v>51</v>
      </c>
      <c r="E976" t="s">
        <v>52</v>
      </c>
      <c r="F976" t="s">
        <v>21</v>
      </c>
      <c r="G976">
        <v>57</v>
      </c>
      <c r="H976" t="s">
        <v>56</v>
      </c>
      <c r="I976" t="s">
        <v>42</v>
      </c>
      <c r="J976" t="s">
        <v>24</v>
      </c>
      <c r="K976">
        <v>9</v>
      </c>
      <c r="L976">
        <v>54080</v>
      </c>
      <c r="M976">
        <v>0</v>
      </c>
      <c r="N976">
        <v>54080</v>
      </c>
      <c r="O976" t="s">
        <v>25</v>
      </c>
      <c r="P976">
        <v>5</v>
      </c>
      <c r="Q976">
        <v>91</v>
      </c>
      <c r="R976" t="s">
        <v>1079</v>
      </c>
      <c r="S976">
        <v>12</v>
      </c>
      <c r="T976" t="str">
        <f>IF(Healthcare_Data[[#This Row],[Final_Bill]]&gt;=50000,"High",IF(Healthcare_Data[[#This Row],[Final_Bill]]&gt;=20000,"Medium","low"))</f>
        <v>High</v>
      </c>
    </row>
    <row r="977" spans="1:20" x14ac:dyDescent="0.3">
      <c r="A977" t="s">
        <v>1032</v>
      </c>
      <c r="B977">
        <v>46013</v>
      </c>
      <c r="C977" t="s">
        <v>50</v>
      </c>
      <c r="D977" t="s">
        <v>19</v>
      </c>
      <c r="E977" t="s">
        <v>52</v>
      </c>
      <c r="F977" t="s">
        <v>21</v>
      </c>
      <c r="G977">
        <v>72</v>
      </c>
      <c r="H977" t="s">
        <v>29</v>
      </c>
      <c r="I977" t="s">
        <v>63</v>
      </c>
      <c r="J977" t="s">
        <v>36</v>
      </c>
      <c r="K977">
        <v>7</v>
      </c>
      <c r="L977">
        <v>58036</v>
      </c>
      <c r="M977">
        <v>1000</v>
      </c>
      <c r="N977">
        <v>57036</v>
      </c>
      <c r="O977" t="s">
        <v>25</v>
      </c>
      <c r="P977">
        <v>3.7</v>
      </c>
      <c r="Q977">
        <v>19</v>
      </c>
      <c r="R977" t="s">
        <v>1079</v>
      </c>
      <c r="S977">
        <v>12</v>
      </c>
      <c r="T977" t="str">
        <f>IF(Healthcare_Data[[#This Row],[Final_Bill]]&gt;=50000,"High",IF(Healthcare_Data[[#This Row],[Final_Bill]]&gt;=20000,"Medium","low"))</f>
        <v>High</v>
      </c>
    </row>
    <row r="978" spans="1:20" x14ac:dyDescent="0.3">
      <c r="A978" t="s">
        <v>1033</v>
      </c>
      <c r="B978">
        <v>46014</v>
      </c>
      <c r="C978" t="s">
        <v>27</v>
      </c>
      <c r="D978" t="s">
        <v>34</v>
      </c>
      <c r="E978" t="s">
        <v>20</v>
      </c>
      <c r="F978" t="s">
        <v>40</v>
      </c>
      <c r="G978">
        <v>41</v>
      </c>
      <c r="H978" t="s">
        <v>65</v>
      </c>
      <c r="I978" t="s">
        <v>42</v>
      </c>
      <c r="J978" t="s">
        <v>31</v>
      </c>
      <c r="K978">
        <v>0</v>
      </c>
      <c r="L978">
        <v>6544</v>
      </c>
      <c r="M978">
        <v>1000</v>
      </c>
      <c r="N978">
        <v>5544</v>
      </c>
      <c r="O978" t="s">
        <v>25</v>
      </c>
      <c r="P978">
        <v>2.8</v>
      </c>
      <c r="Q978">
        <v>57</v>
      </c>
      <c r="R978" t="s">
        <v>1079</v>
      </c>
      <c r="S978">
        <v>12</v>
      </c>
      <c r="T978" t="str">
        <f>IF(Healthcare_Data[[#This Row],[Final_Bill]]&gt;=50000,"High",IF(Healthcare_Data[[#This Row],[Final_Bill]]&gt;=20000,"Medium","low"))</f>
        <v>low</v>
      </c>
    </row>
    <row r="979" spans="1:20" x14ac:dyDescent="0.3">
      <c r="A979" t="s">
        <v>1034</v>
      </c>
      <c r="B979">
        <v>46014</v>
      </c>
      <c r="C979" t="s">
        <v>44</v>
      </c>
      <c r="D979" t="s">
        <v>28</v>
      </c>
      <c r="E979" t="s">
        <v>20</v>
      </c>
      <c r="F979" t="s">
        <v>40</v>
      </c>
      <c r="G979">
        <v>24</v>
      </c>
      <c r="H979" t="s">
        <v>56</v>
      </c>
      <c r="I979" t="s">
        <v>72</v>
      </c>
      <c r="J979" t="s">
        <v>24</v>
      </c>
      <c r="K979">
        <v>0</v>
      </c>
      <c r="L979">
        <v>12710</v>
      </c>
      <c r="M979">
        <v>0</v>
      </c>
      <c r="N979">
        <v>12710</v>
      </c>
      <c r="O979" t="s">
        <v>32</v>
      </c>
      <c r="P979">
        <v>2.8</v>
      </c>
      <c r="Q979">
        <v>114</v>
      </c>
      <c r="R979" t="s">
        <v>1079</v>
      </c>
      <c r="S979">
        <v>12</v>
      </c>
      <c r="T979" t="str">
        <f>IF(Healthcare_Data[[#This Row],[Final_Bill]]&gt;=50000,"High",IF(Healthcare_Data[[#This Row],[Final_Bill]]&gt;=20000,"Medium","low"))</f>
        <v>low</v>
      </c>
    </row>
    <row r="980" spans="1:20" x14ac:dyDescent="0.3">
      <c r="A980" t="s">
        <v>1035</v>
      </c>
      <c r="B980">
        <v>46014</v>
      </c>
      <c r="C980" t="s">
        <v>48</v>
      </c>
      <c r="D980" t="s">
        <v>19</v>
      </c>
      <c r="E980" t="s">
        <v>20</v>
      </c>
      <c r="F980" t="s">
        <v>40</v>
      </c>
      <c r="G980">
        <v>27</v>
      </c>
      <c r="H980" t="s">
        <v>56</v>
      </c>
      <c r="I980" t="s">
        <v>61</v>
      </c>
      <c r="J980" t="s">
        <v>36</v>
      </c>
      <c r="K980">
        <v>0</v>
      </c>
      <c r="L980">
        <v>4345</v>
      </c>
      <c r="M980">
        <v>1000</v>
      </c>
      <c r="N980">
        <v>3345</v>
      </c>
      <c r="O980" t="s">
        <v>59</v>
      </c>
      <c r="P980">
        <v>4.5999999999999996</v>
      </c>
      <c r="Q980">
        <v>15</v>
      </c>
      <c r="R980" t="s">
        <v>1079</v>
      </c>
      <c r="S980">
        <v>12</v>
      </c>
      <c r="T980" t="str">
        <f>IF(Healthcare_Data[[#This Row],[Final_Bill]]&gt;=50000,"High",IF(Healthcare_Data[[#This Row],[Final_Bill]]&gt;=20000,"Medium","low"))</f>
        <v>low</v>
      </c>
    </row>
    <row r="981" spans="1:20" x14ac:dyDescent="0.3">
      <c r="A981" t="s">
        <v>1036</v>
      </c>
      <c r="B981">
        <v>46015</v>
      </c>
      <c r="C981" t="s">
        <v>67</v>
      </c>
      <c r="D981" t="s">
        <v>34</v>
      </c>
      <c r="E981" t="s">
        <v>52</v>
      </c>
      <c r="F981" t="s">
        <v>21</v>
      </c>
      <c r="G981">
        <v>43</v>
      </c>
      <c r="H981" t="s">
        <v>41</v>
      </c>
      <c r="I981" t="s">
        <v>57</v>
      </c>
      <c r="J981" t="s">
        <v>31</v>
      </c>
      <c r="K981">
        <v>14</v>
      </c>
      <c r="L981">
        <v>38202</v>
      </c>
      <c r="M981">
        <v>0</v>
      </c>
      <c r="N981">
        <v>38202</v>
      </c>
      <c r="O981" t="s">
        <v>25</v>
      </c>
      <c r="P981">
        <v>4.8</v>
      </c>
      <c r="Q981">
        <v>120</v>
      </c>
      <c r="R981" t="s">
        <v>1079</v>
      </c>
      <c r="S981">
        <v>12</v>
      </c>
      <c r="T981" t="str">
        <f>IF(Healthcare_Data[[#This Row],[Final_Bill]]&gt;=50000,"High",IF(Healthcare_Data[[#This Row],[Final_Bill]]&gt;=20000,"Medium","low"))</f>
        <v>Medium</v>
      </c>
    </row>
    <row r="982" spans="1:20" x14ac:dyDescent="0.3">
      <c r="A982" t="s">
        <v>1037</v>
      </c>
      <c r="B982">
        <v>46015</v>
      </c>
      <c r="C982" t="s">
        <v>18</v>
      </c>
      <c r="D982" t="s">
        <v>51</v>
      </c>
      <c r="E982" t="s">
        <v>20</v>
      </c>
      <c r="F982" t="s">
        <v>21</v>
      </c>
      <c r="G982">
        <v>79</v>
      </c>
      <c r="H982" t="s">
        <v>115</v>
      </c>
      <c r="I982" t="s">
        <v>61</v>
      </c>
      <c r="J982" t="s">
        <v>24</v>
      </c>
      <c r="K982">
        <v>0</v>
      </c>
      <c r="L982">
        <v>10351</v>
      </c>
      <c r="M982">
        <v>0</v>
      </c>
      <c r="N982">
        <v>10351</v>
      </c>
      <c r="O982" t="s">
        <v>25</v>
      </c>
      <c r="P982">
        <v>3.3</v>
      </c>
      <c r="Q982">
        <v>11</v>
      </c>
      <c r="R982" t="s">
        <v>1079</v>
      </c>
      <c r="S982">
        <v>12</v>
      </c>
      <c r="T982" t="str">
        <f>IF(Healthcare_Data[[#This Row],[Final_Bill]]&gt;=50000,"High",IF(Healthcare_Data[[#This Row],[Final_Bill]]&gt;=20000,"Medium","low"))</f>
        <v>low</v>
      </c>
    </row>
    <row r="983" spans="1:20" x14ac:dyDescent="0.3">
      <c r="A983" t="s">
        <v>1038</v>
      </c>
      <c r="B983">
        <v>46016</v>
      </c>
      <c r="C983" t="s">
        <v>48</v>
      </c>
      <c r="D983" t="s">
        <v>19</v>
      </c>
      <c r="E983" t="s">
        <v>20</v>
      </c>
      <c r="F983" t="s">
        <v>40</v>
      </c>
      <c r="G983">
        <v>59</v>
      </c>
      <c r="H983" t="s">
        <v>41</v>
      </c>
      <c r="I983" t="s">
        <v>72</v>
      </c>
      <c r="J983" t="s">
        <v>58</v>
      </c>
      <c r="K983">
        <v>0</v>
      </c>
      <c r="L983">
        <v>11150</v>
      </c>
      <c r="M983">
        <v>1000</v>
      </c>
      <c r="N983">
        <v>10150</v>
      </c>
      <c r="O983" t="s">
        <v>25</v>
      </c>
      <c r="P983">
        <v>3.4</v>
      </c>
      <c r="Q983">
        <v>43</v>
      </c>
      <c r="R983" t="s">
        <v>1079</v>
      </c>
      <c r="S983">
        <v>12</v>
      </c>
      <c r="T983" t="str">
        <f>IF(Healthcare_Data[[#This Row],[Final_Bill]]&gt;=50000,"High",IF(Healthcare_Data[[#This Row],[Final_Bill]]&gt;=20000,"Medium","low"))</f>
        <v>low</v>
      </c>
    </row>
    <row r="984" spans="1:20" x14ac:dyDescent="0.3">
      <c r="A984" t="s">
        <v>1039</v>
      </c>
      <c r="B984">
        <v>46016</v>
      </c>
      <c r="C984" t="s">
        <v>38</v>
      </c>
      <c r="D984" t="s">
        <v>19</v>
      </c>
      <c r="E984" t="s">
        <v>52</v>
      </c>
      <c r="F984" t="s">
        <v>40</v>
      </c>
      <c r="G984">
        <v>76</v>
      </c>
      <c r="H984" t="s">
        <v>22</v>
      </c>
      <c r="I984" t="s">
        <v>63</v>
      </c>
      <c r="J984" t="s">
        <v>24</v>
      </c>
      <c r="K984">
        <v>6</v>
      </c>
      <c r="L984">
        <v>76169</v>
      </c>
      <c r="M984">
        <v>2000</v>
      </c>
      <c r="N984">
        <v>74169</v>
      </c>
      <c r="O984" t="s">
        <v>25</v>
      </c>
      <c r="P984">
        <v>3.7</v>
      </c>
      <c r="Q984">
        <v>93</v>
      </c>
      <c r="R984" t="s">
        <v>1079</v>
      </c>
      <c r="S984">
        <v>12</v>
      </c>
      <c r="T984" t="str">
        <f>IF(Healthcare_Data[[#This Row],[Final_Bill]]&gt;=50000,"High",IF(Healthcare_Data[[#This Row],[Final_Bill]]&gt;=20000,"Medium","low"))</f>
        <v>High</v>
      </c>
    </row>
    <row r="985" spans="1:20" x14ac:dyDescent="0.3">
      <c r="A985" t="s">
        <v>1040</v>
      </c>
      <c r="B985">
        <v>46017</v>
      </c>
      <c r="C985" t="s">
        <v>27</v>
      </c>
      <c r="D985" t="s">
        <v>19</v>
      </c>
      <c r="E985" t="s">
        <v>20</v>
      </c>
      <c r="F985" t="s">
        <v>21</v>
      </c>
      <c r="G985">
        <v>29</v>
      </c>
      <c r="H985" t="s">
        <v>115</v>
      </c>
      <c r="I985" t="s">
        <v>72</v>
      </c>
      <c r="J985" t="s">
        <v>24</v>
      </c>
      <c r="K985">
        <v>0</v>
      </c>
      <c r="L985">
        <v>12699</v>
      </c>
      <c r="M985">
        <v>500</v>
      </c>
      <c r="N985">
        <v>12199</v>
      </c>
      <c r="O985" t="s">
        <v>25</v>
      </c>
      <c r="P985">
        <v>3.4</v>
      </c>
      <c r="Q985">
        <v>71</v>
      </c>
      <c r="R985" t="s">
        <v>1079</v>
      </c>
      <c r="S985">
        <v>12</v>
      </c>
      <c r="T985" t="str">
        <f>IF(Healthcare_Data[[#This Row],[Final_Bill]]&gt;=50000,"High",IF(Healthcare_Data[[#This Row],[Final_Bill]]&gt;=20000,"Medium","low"))</f>
        <v>low</v>
      </c>
    </row>
    <row r="986" spans="1:20" x14ac:dyDescent="0.3">
      <c r="A986" t="s">
        <v>1041</v>
      </c>
      <c r="B986">
        <v>46017</v>
      </c>
      <c r="C986" t="s">
        <v>44</v>
      </c>
      <c r="D986" t="s">
        <v>19</v>
      </c>
      <c r="E986" t="s">
        <v>20</v>
      </c>
      <c r="F986" t="s">
        <v>21</v>
      </c>
      <c r="G986">
        <v>38</v>
      </c>
      <c r="H986" t="s">
        <v>115</v>
      </c>
      <c r="I986" t="s">
        <v>30</v>
      </c>
      <c r="J986" t="s">
        <v>36</v>
      </c>
      <c r="K986">
        <v>0</v>
      </c>
      <c r="L986">
        <v>2749</v>
      </c>
      <c r="M986">
        <v>1000</v>
      </c>
      <c r="N986">
        <v>1749</v>
      </c>
      <c r="O986" t="s">
        <v>25</v>
      </c>
      <c r="P986">
        <v>3.6</v>
      </c>
      <c r="Q986">
        <v>53</v>
      </c>
      <c r="R986" t="s">
        <v>1079</v>
      </c>
      <c r="S986">
        <v>12</v>
      </c>
      <c r="T986" t="str">
        <f>IF(Healthcare_Data[[#This Row],[Final_Bill]]&gt;=50000,"High",IF(Healthcare_Data[[#This Row],[Final_Bill]]&gt;=20000,"Medium","low"))</f>
        <v>low</v>
      </c>
    </row>
    <row r="987" spans="1:20" x14ac:dyDescent="0.3">
      <c r="A987" t="s">
        <v>1042</v>
      </c>
      <c r="B987">
        <v>46017</v>
      </c>
      <c r="C987" t="s">
        <v>54</v>
      </c>
      <c r="D987" t="s">
        <v>34</v>
      </c>
      <c r="E987" t="s">
        <v>52</v>
      </c>
      <c r="F987" t="s">
        <v>40</v>
      </c>
      <c r="G987">
        <v>79</v>
      </c>
      <c r="H987" t="s">
        <v>115</v>
      </c>
      <c r="I987" t="s">
        <v>42</v>
      </c>
      <c r="J987" t="s">
        <v>58</v>
      </c>
      <c r="K987">
        <v>13</v>
      </c>
      <c r="L987">
        <v>76329</v>
      </c>
      <c r="M987">
        <v>1500</v>
      </c>
      <c r="N987">
        <v>74829</v>
      </c>
      <c r="O987" t="s">
        <v>25</v>
      </c>
      <c r="P987">
        <v>4.9000000000000004</v>
      </c>
      <c r="Q987">
        <v>11</v>
      </c>
      <c r="R987" t="s">
        <v>1079</v>
      </c>
      <c r="S987">
        <v>12</v>
      </c>
      <c r="T987" t="str">
        <f>IF(Healthcare_Data[[#This Row],[Final_Bill]]&gt;=50000,"High",IF(Healthcare_Data[[#This Row],[Final_Bill]]&gt;=20000,"Medium","low"))</f>
        <v>High</v>
      </c>
    </row>
    <row r="988" spans="1:20" x14ac:dyDescent="0.3">
      <c r="A988" t="s">
        <v>1043</v>
      </c>
      <c r="B988">
        <v>46017</v>
      </c>
      <c r="C988" t="s">
        <v>67</v>
      </c>
      <c r="D988" t="s">
        <v>34</v>
      </c>
      <c r="E988" t="s">
        <v>20</v>
      </c>
      <c r="F988" t="s">
        <v>40</v>
      </c>
      <c r="G988">
        <v>37</v>
      </c>
      <c r="H988" t="s">
        <v>46</v>
      </c>
      <c r="I988" t="s">
        <v>72</v>
      </c>
      <c r="J988" t="s">
        <v>36</v>
      </c>
      <c r="K988">
        <v>0</v>
      </c>
      <c r="L988">
        <v>19002</v>
      </c>
      <c r="M988">
        <v>500</v>
      </c>
      <c r="N988">
        <v>18502</v>
      </c>
      <c r="O988" t="s">
        <v>59</v>
      </c>
      <c r="P988">
        <v>3.3</v>
      </c>
      <c r="Q988">
        <v>33</v>
      </c>
      <c r="R988" t="s">
        <v>1079</v>
      </c>
      <c r="S988">
        <v>12</v>
      </c>
      <c r="T988" t="str">
        <f>IF(Healthcare_Data[[#This Row],[Final_Bill]]&gt;=50000,"High",IF(Healthcare_Data[[#This Row],[Final_Bill]]&gt;=20000,"Medium","low"))</f>
        <v>low</v>
      </c>
    </row>
    <row r="989" spans="1:20" x14ac:dyDescent="0.3">
      <c r="A989" t="s">
        <v>1044</v>
      </c>
      <c r="B989">
        <v>46017</v>
      </c>
      <c r="C989" t="s">
        <v>18</v>
      </c>
      <c r="D989" t="s">
        <v>39</v>
      </c>
      <c r="E989" t="s">
        <v>52</v>
      </c>
      <c r="F989" t="s">
        <v>21</v>
      </c>
      <c r="G989">
        <v>41</v>
      </c>
      <c r="H989" t="s">
        <v>22</v>
      </c>
      <c r="I989" t="s">
        <v>23</v>
      </c>
      <c r="J989" t="s">
        <v>31</v>
      </c>
      <c r="K989">
        <v>3</v>
      </c>
      <c r="L989">
        <v>24180</v>
      </c>
      <c r="M989">
        <v>500</v>
      </c>
      <c r="N989">
        <v>23680</v>
      </c>
      <c r="O989" t="s">
        <v>25</v>
      </c>
      <c r="P989">
        <v>4.2</v>
      </c>
      <c r="Q989">
        <v>12</v>
      </c>
      <c r="R989" t="s">
        <v>1079</v>
      </c>
      <c r="S989">
        <v>12</v>
      </c>
      <c r="T989" t="str">
        <f>IF(Healthcare_Data[[#This Row],[Final_Bill]]&gt;=50000,"High",IF(Healthcare_Data[[#This Row],[Final_Bill]]&gt;=20000,"Medium","low"))</f>
        <v>Medium</v>
      </c>
    </row>
    <row r="990" spans="1:20" x14ac:dyDescent="0.3">
      <c r="A990" t="s">
        <v>1045</v>
      </c>
      <c r="B990">
        <v>46017</v>
      </c>
      <c r="C990" t="s">
        <v>38</v>
      </c>
      <c r="D990" t="s">
        <v>28</v>
      </c>
      <c r="E990" t="s">
        <v>20</v>
      </c>
      <c r="F990" t="s">
        <v>21</v>
      </c>
      <c r="G990">
        <v>58</v>
      </c>
      <c r="H990" t="s">
        <v>65</v>
      </c>
      <c r="I990" t="s">
        <v>57</v>
      </c>
      <c r="J990" t="s">
        <v>1057</v>
      </c>
      <c r="K990">
        <v>0</v>
      </c>
      <c r="L990">
        <v>19063</v>
      </c>
      <c r="M990">
        <v>0</v>
      </c>
      <c r="N990">
        <v>19063</v>
      </c>
      <c r="O990" t="s">
        <v>25</v>
      </c>
      <c r="P990">
        <v>4.8</v>
      </c>
      <c r="Q990">
        <v>78</v>
      </c>
      <c r="R990" t="s">
        <v>1079</v>
      </c>
      <c r="S990">
        <v>12</v>
      </c>
      <c r="T990" t="str">
        <f>IF(Healthcare_Data[[#This Row],[Final_Bill]]&gt;=50000,"High",IF(Healthcare_Data[[#This Row],[Final_Bill]]&gt;=20000,"Medium","low"))</f>
        <v>low</v>
      </c>
    </row>
    <row r="991" spans="1:20" x14ac:dyDescent="0.3">
      <c r="A991" t="s">
        <v>1046</v>
      </c>
      <c r="B991">
        <v>46018</v>
      </c>
      <c r="C991" t="s">
        <v>50</v>
      </c>
      <c r="D991" t="s">
        <v>51</v>
      </c>
      <c r="E991" t="s">
        <v>20</v>
      </c>
      <c r="F991" t="s">
        <v>40</v>
      </c>
      <c r="G991">
        <v>71</v>
      </c>
      <c r="H991" t="s">
        <v>65</v>
      </c>
      <c r="I991" t="s">
        <v>30</v>
      </c>
      <c r="J991" t="s">
        <v>31</v>
      </c>
      <c r="K991">
        <v>0</v>
      </c>
      <c r="L991">
        <v>18457</v>
      </c>
      <c r="M991">
        <v>1000</v>
      </c>
      <c r="N991">
        <v>17457</v>
      </c>
      <c r="O991" t="s">
        <v>25</v>
      </c>
      <c r="P991">
        <v>3.5</v>
      </c>
      <c r="Q991">
        <v>37</v>
      </c>
      <c r="R991" t="s">
        <v>1079</v>
      </c>
      <c r="S991">
        <v>12</v>
      </c>
      <c r="T991" t="str">
        <f>IF(Healthcare_Data[[#This Row],[Final_Bill]]&gt;=50000,"High",IF(Healthcare_Data[[#This Row],[Final_Bill]]&gt;=20000,"Medium","low"))</f>
        <v>low</v>
      </c>
    </row>
    <row r="992" spans="1:20" x14ac:dyDescent="0.3">
      <c r="A992" t="s">
        <v>1047</v>
      </c>
      <c r="B992">
        <v>46018</v>
      </c>
      <c r="C992" t="s">
        <v>67</v>
      </c>
      <c r="D992" t="s">
        <v>39</v>
      </c>
      <c r="E992" t="s">
        <v>52</v>
      </c>
      <c r="F992" t="s">
        <v>21</v>
      </c>
      <c r="G992">
        <v>57</v>
      </c>
      <c r="H992" t="s">
        <v>35</v>
      </c>
      <c r="I992" t="s">
        <v>57</v>
      </c>
      <c r="J992" t="s">
        <v>58</v>
      </c>
      <c r="K992">
        <v>14</v>
      </c>
      <c r="L992">
        <v>41462</v>
      </c>
      <c r="M992">
        <v>1000</v>
      </c>
      <c r="N992">
        <v>40462</v>
      </c>
      <c r="O992" t="s">
        <v>32</v>
      </c>
      <c r="P992">
        <v>3.3</v>
      </c>
      <c r="Q992">
        <v>69</v>
      </c>
      <c r="R992" t="s">
        <v>1079</v>
      </c>
      <c r="S992">
        <v>12</v>
      </c>
      <c r="T992" t="str">
        <f>IF(Healthcare_Data[[#This Row],[Final_Bill]]&gt;=50000,"High",IF(Healthcare_Data[[#This Row],[Final_Bill]]&gt;=20000,"Medium","low"))</f>
        <v>Medium</v>
      </c>
    </row>
    <row r="993" spans="1:20" x14ac:dyDescent="0.3">
      <c r="A993" t="s">
        <v>1048</v>
      </c>
      <c r="B993">
        <v>46020</v>
      </c>
      <c r="C993" t="s">
        <v>50</v>
      </c>
      <c r="D993" t="s">
        <v>19</v>
      </c>
      <c r="E993" t="s">
        <v>52</v>
      </c>
      <c r="F993" t="s">
        <v>21</v>
      </c>
      <c r="G993">
        <v>38</v>
      </c>
      <c r="H993" t="s">
        <v>22</v>
      </c>
      <c r="I993" t="s">
        <v>42</v>
      </c>
      <c r="J993" t="s">
        <v>36</v>
      </c>
      <c r="K993">
        <v>11</v>
      </c>
      <c r="L993">
        <v>24422</v>
      </c>
      <c r="M993">
        <v>1500</v>
      </c>
      <c r="N993">
        <v>22922</v>
      </c>
      <c r="O993" t="s">
        <v>25</v>
      </c>
      <c r="P993">
        <v>3.5</v>
      </c>
      <c r="Q993">
        <v>72</v>
      </c>
      <c r="R993" t="s">
        <v>1079</v>
      </c>
      <c r="S993">
        <v>12</v>
      </c>
      <c r="T993" t="str">
        <f>IF(Healthcare_Data[[#This Row],[Final_Bill]]&gt;=50000,"High",IF(Healthcare_Data[[#This Row],[Final_Bill]]&gt;=20000,"Medium","low"))</f>
        <v>Medium</v>
      </c>
    </row>
    <row r="994" spans="1:20" x14ac:dyDescent="0.3">
      <c r="A994" t="s">
        <v>1049</v>
      </c>
      <c r="B994">
        <v>46021</v>
      </c>
      <c r="C994" t="s">
        <v>27</v>
      </c>
      <c r="D994" t="s">
        <v>19</v>
      </c>
      <c r="E994" t="s">
        <v>20</v>
      </c>
      <c r="F994" t="s">
        <v>40</v>
      </c>
      <c r="G994">
        <v>80</v>
      </c>
      <c r="H994" t="s">
        <v>56</v>
      </c>
      <c r="I994" t="s">
        <v>23</v>
      </c>
      <c r="J994" t="s">
        <v>24</v>
      </c>
      <c r="K994">
        <v>0</v>
      </c>
      <c r="L994">
        <v>4696</v>
      </c>
      <c r="M994">
        <v>500</v>
      </c>
      <c r="N994">
        <v>4196</v>
      </c>
      <c r="O994" t="s">
        <v>25</v>
      </c>
      <c r="P994">
        <v>3.2</v>
      </c>
      <c r="Q994">
        <v>59</v>
      </c>
      <c r="R994" t="s">
        <v>1079</v>
      </c>
      <c r="S994">
        <v>12</v>
      </c>
      <c r="T994" t="str">
        <f>IF(Healthcare_Data[[#This Row],[Final_Bill]]&gt;=50000,"High",IF(Healthcare_Data[[#This Row],[Final_Bill]]&gt;=20000,"Medium","low"))</f>
        <v>low</v>
      </c>
    </row>
    <row r="995" spans="1:20" x14ac:dyDescent="0.3">
      <c r="A995" t="s">
        <v>1050</v>
      </c>
      <c r="B995">
        <v>46021</v>
      </c>
      <c r="C995" t="s">
        <v>67</v>
      </c>
      <c r="D995" t="s">
        <v>51</v>
      </c>
      <c r="E995" t="s">
        <v>20</v>
      </c>
      <c r="F995" t="s">
        <v>21</v>
      </c>
      <c r="G995">
        <v>29</v>
      </c>
      <c r="H995" t="s">
        <v>46</v>
      </c>
      <c r="I995" t="s">
        <v>57</v>
      </c>
      <c r="J995" t="s">
        <v>31</v>
      </c>
      <c r="K995">
        <v>0</v>
      </c>
      <c r="L995">
        <v>6265</v>
      </c>
      <c r="M995">
        <v>1000</v>
      </c>
      <c r="N995">
        <v>5265</v>
      </c>
      <c r="O995" t="s">
        <v>25</v>
      </c>
      <c r="P995">
        <v>4.3</v>
      </c>
      <c r="Q995">
        <v>83</v>
      </c>
      <c r="R995" t="s">
        <v>1079</v>
      </c>
      <c r="S995">
        <v>12</v>
      </c>
      <c r="T995" t="str">
        <f>IF(Healthcare_Data[[#This Row],[Final_Bill]]&gt;=50000,"High",IF(Healthcare_Data[[#This Row],[Final_Bill]]&gt;=20000,"Medium","low"))</f>
        <v>low</v>
      </c>
    </row>
    <row r="996" spans="1:20" x14ac:dyDescent="0.3">
      <c r="A996" t="s">
        <v>1051</v>
      </c>
      <c r="B996">
        <v>46022</v>
      </c>
      <c r="C996" t="s">
        <v>44</v>
      </c>
      <c r="D996" t="s">
        <v>28</v>
      </c>
      <c r="E996" t="s">
        <v>52</v>
      </c>
      <c r="F996" t="s">
        <v>21</v>
      </c>
      <c r="G996">
        <v>44</v>
      </c>
      <c r="H996" t="s">
        <v>56</v>
      </c>
      <c r="I996" t="s">
        <v>42</v>
      </c>
      <c r="J996" t="s">
        <v>24</v>
      </c>
      <c r="K996">
        <v>6</v>
      </c>
      <c r="L996">
        <v>42126</v>
      </c>
      <c r="M996">
        <v>1000</v>
      </c>
      <c r="N996">
        <v>41126</v>
      </c>
      <c r="O996" t="s">
        <v>32</v>
      </c>
      <c r="P996">
        <v>2.5</v>
      </c>
      <c r="Q996">
        <v>77</v>
      </c>
      <c r="R996" t="s">
        <v>1079</v>
      </c>
      <c r="S996">
        <v>12</v>
      </c>
      <c r="T996" t="str">
        <f>IF(Healthcare_Data[[#This Row],[Final_Bill]]&gt;=50000,"High",IF(Healthcare_Data[[#This Row],[Final_Bill]]&gt;=20000,"Medium","low"))</f>
        <v>Medium</v>
      </c>
    </row>
    <row r="997" spans="1:20" x14ac:dyDescent="0.3">
      <c r="A997" t="s">
        <v>1052</v>
      </c>
      <c r="B997">
        <v>46022</v>
      </c>
      <c r="C997" t="s">
        <v>18</v>
      </c>
      <c r="D997" t="s">
        <v>28</v>
      </c>
      <c r="E997" t="s">
        <v>52</v>
      </c>
      <c r="F997" t="s">
        <v>40</v>
      </c>
      <c r="G997">
        <v>41</v>
      </c>
      <c r="H997" t="s">
        <v>115</v>
      </c>
      <c r="I997" t="s">
        <v>57</v>
      </c>
      <c r="J997" t="s">
        <v>24</v>
      </c>
      <c r="K997">
        <v>12</v>
      </c>
      <c r="L997">
        <v>71091</v>
      </c>
      <c r="M997">
        <v>0</v>
      </c>
      <c r="N997">
        <v>71091</v>
      </c>
      <c r="O997" t="s">
        <v>25</v>
      </c>
      <c r="P997">
        <v>3.7</v>
      </c>
      <c r="Q997">
        <v>117</v>
      </c>
      <c r="R997" t="s">
        <v>1079</v>
      </c>
      <c r="S997">
        <v>12</v>
      </c>
      <c r="T997" t="str">
        <f>IF(Healthcare_Data[[#This Row],[Final_Bill]]&gt;=50000,"High",IF(Healthcare_Data[[#This Row],[Final_Bill]]&gt;=20000,"Medium","low"))</f>
        <v>High</v>
      </c>
    </row>
    <row r="998" spans="1:20" x14ac:dyDescent="0.3">
      <c r="A998" t="s">
        <v>1053</v>
      </c>
      <c r="B998">
        <v>46022</v>
      </c>
      <c r="C998" t="s">
        <v>54</v>
      </c>
      <c r="D998" t="s">
        <v>39</v>
      </c>
      <c r="E998" t="s">
        <v>20</v>
      </c>
      <c r="F998" t="s">
        <v>40</v>
      </c>
      <c r="G998">
        <v>69</v>
      </c>
      <c r="H998" t="s">
        <v>46</v>
      </c>
      <c r="I998" t="s">
        <v>30</v>
      </c>
      <c r="J998" t="s">
        <v>31</v>
      </c>
      <c r="K998">
        <v>0</v>
      </c>
      <c r="L998">
        <v>17860</v>
      </c>
      <c r="M998">
        <v>0</v>
      </c>
      <c r="N998">
        <v>17860</v>
      </c>
      <c r="O998" t="s">
        <v>25</v>
      </c>
      <c r="P998">
        <v>3.2</v>
      </c>
      <c r="Q998">
        <v>42</v>
      </c>
      <c r="R998" t="s">
        <v>1079</v>
      </c>
      <c r="S998">
        <v>12</v>
      </c>
      <c r="T998" t="str">
        <f>IF(Healthcare_Data[[#This Row],[Final_Bill]]&gt;=50000,"High",IF(Healthcare_Data[[#This Row],[Final_Bill]]&gt;=20000,"Medium","low"))</f>
        <v>low</v>
      </c>
    </row>
    <row r="999" spans="1:20" x14ac:dyDescent="0.3">
      <c r="A999" t="s">
        <v>1054</v>
      </c>
      <c r="B999">
        <v>46022</v>
      </c>
      <c r="C999" t="s">
        <v>67</v>
      </c>
      <c r="D999" t="s">
        <v>28</v>
      </c>
      <c r="E999" t="s">
        <v>52</v>
      </c>
      <c r="F999" t="s">
        <v>40</v>
      </c>
      <c r="G999">
        <v>30</v>
      </c>
      <c r="H999" t="s">
        <v>41</v>
      </c>
      <c r="I999" t="s">
        <v>72</v>
      </c>
      <c r="J999" t="s">
        <v>58</v>
      </c>
      <c r="K999">
        <v>14</v>
      </c>
      <c r="L999">
        <v>79005</v>
      </c>
      <c r="M999">
        <v>500</v>
      </c>
      <c r="N999">
        <v>78505</v>
      </c>
      <c r="O999" t="s">
        <v>32</v>
      </c>
      <c r="P999">
        <v>2.9</v>
      </c>
      <c r="Q999">
        <v>19</v>
      </c>
      <c r="R999" t="s">
        <v>1079</v>
      </c>
      <c r="S999">
        <v>12</v>
      </c>
      <c r="T999" t="str">
        <f>IF(Healthcare_Data[[#This Row],[Final_Bill]]&gt;=50000,"High",IF(Healthcare_Data[[#This Row],[Final_Bill]]&gt;=20000,"Medium","low"))</f>
        <v>High</v>
      </c>
    </row>
    <row r="1000" spans="1:20" x14ac:dyDescent="0.3">
      <c r="A1000" t="s">
        <v>1055</v>
      </c>
      <c r="B1000">
        <v>46022</v>
      </c>
      <c r="C1000" t="s">
        <v>50</v>
      </c>
      <c r="D1000" t="s">
        <v>19</v>
      </c>
      <c r="E1000" t="s">
        <v>20</v>
      </c>
      <c r="F1000" t="s">
        <v>40</v>
      </c>
      <c r="G1000">
        <v>66</v>
      </c>
      <c r="H1000" t="s">
        <v>35</v>
      </c>
      <c r="I1000" t="s">
        <v>30</v>
      </c>
      <c r="J1000" t="s">
        <v>58</v>
      </c>
      <c r="K1000">
        <v>0</v>
      </c>
      <c r="L1000">
        <v>8350</v>
      </c>
      <c r="M1000">
        <v>1500</v>
      </c>
      <c r="N1000">
        <v>6850</v>
      </c>
      <c r="O1000" t="s">
        <v>32</v>
      </c>
      <c r="P1000">
        <v>3.9</v>
      </c>
      <c r="Q1000">
        <v>39</v>
      </c>
      <c r="R1000" t="s">
        <v>1079</v>
      </c>
      <c r="S1000">
        <v>12</v>
      </c>
      <c r="T1000" t="str">
        <f>IF(Healthcare_Data[[#This Row],[Final_Bill]]&gt;=50000,"High",IF(Healthcare_Data[[#This Row],[Final_Bill]]&gt;=20000,"Medium","low"))</f>
        <v>low</v>
      </c>
    </row>
    <row r="1001" spans="1:20" x14ac:dyDescent="0.3">
      <c r="A1001" t="s">
        <v>1056</v>
      </c>
      <c r="B1001">
        <v>46022</v>
      </c>
      <c r="C1001" t="s">
        <v>54</v>
      </c>
      <c r="D1001" t="s">
        <v>28</v>
      </c>
      <c r="E1001" t="s">
        <v>52</v>
      </c>
      <c r="F1001" t="s">
        <v>40</v>
      </c>
      <c r="G1001">
        <v>52</v>
      </c>
      <c r="H1001" t="s">
        <v>29</v>
      </c>
      <c r="I1001" t="s">
        <v>61</v>
      </c>
      <c r="J1001" t="s">
        <v>31</v>
      </c>
      <c r="K1001">
        <v>2</v>
      </c>
      <c r="L1001">
        <v>18088</v>
      </c>
      <c r="M1001">
        <v>1000</v>
      </c>
      <c r="N1001">
        <v>17088</v>
      </c>
      <c r="O1001" t="s">
        <v>59</v>
      </c>
      <c r="P1001">
        <v>2.6</v>
      </c>
      <c r="Q1001">
        <v>12</v>
      </c>
      <c r="R1001" t="s">
        <v>1079</v>
      </c>
      <c r="S1001">
        <v>12</v>
      </c>
      <c r="T1001" t="str">
        <f>IF(Healthcare_Data[[#This Row],[Final_Bill]]&gt;=50000,"High",IF(Healthcare_Data[[#This Row],[Final_Bill]]&gt;=20000,"Medium","low"))</f>
        <v>low</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3E02-89C6-4033-8325-022CFA220E7A}">
  <dimension ref="A1:B7"/>
  <sheetViews>
    <sheetView workbookViewId="0"/>
  </sheetViews>
  <sheetFormatPr defaultRowHeight="14.4" x14ac:dyDescent="0.3"/>
  <cols>
    <col min="1" max="1" width="34.88671875" customWidth="1"/>
    <col min="2" max="2" width="47.33203125" customWidth="1"/>
    <col min="5" max="5" width="18.77734375" bestFit="1" customWidth="1"/>
    <col min="6" max="6" width="14.5546875" bestFit="1" customWidth="1"/>
  </cols>
  <sheetData>
    <row r="1" spans="1:2" x14ac:dyDescent="0.3">
      <c r="A1" t="s">
        <v>1061</v>
      </c>
      <c r="B1" t="s">
        <v>1080</v>
      </c>
    </row>
    <row r="2" spans="1:2" x14ac:dyDescent="0.3">
      <c r="A2" t="s">
        <v>1062</v>
      </c>
      <c r="B2">
        <f>COUNTA(Healthcare_Data[Patient_ID])</f>
        <v>1000</v>
      </c>
    </row>
    <row r="3" spans="1:2" x14ac:dyDescent="0.3">
      <c r="A3" t="s">
        <v>1063</v>
      </c>
      <c r="B3" s="4">
        <f>SUM(Healthcare_Data[Final_Bill])</f>
        <v>21941030</v>
      </c>
    </row>
    <row r="4" spans="1:2" x14ac:dyDescent="0.3">
      <c r="A4" t="s">
        <v>1064</v>
      </c>
      <c r="B4" s="4">
        <f>AVERAGE(Healthcare_Data[Final_Bill])</f>
        <v>21941.03</v>
      </c>
    </row>
    <row r="5" spans="1:2" x14ac:dyDescent="0.3">
      <c r="A5" t="s">
        <v>1065</v>
      </c>
      <c r="B5" s="7">
        <f>AVERAGE(Healthcare_Data[Wait_Time_Minutes])</f>
        <v>61.256999999999998</v>
      </c>
    </row>
    <row r="6" spans="1:2" x14ac:dyDescent="0.3">
      <c r="A6" t="s">
        <v>1066</v>
      </c>
      <c r="B6" s="6">
        <f>AVERAGE(Healthcare_Data[Patient_Satisfaction])</f>
        <v>3.7534010152284258</v>
      </c>
    </row>
    <row r="7" spans="1:2" x14ac:dyDescent="0.3">
      <c r="A7" t="s">
        <v>1067</v>
      </c>
      <c r="B7">
        <f>COUNTIF(Healthcare_Data[Visit_Type],"Emergency")</f>
        <v>150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61A6A-4B18-41A3-92AB-0D662EB74D71}">
  <dimension ref="A1:N45"/>
  <sheetViews>
    <sheetView workbookViewId="0">
      <selection activeCell="C4" sqref="C4"/>
    </sheetView>
  </sheetViews>
  <sheetFormatPr defaultRowHeight="14.4" x14ac:dyDescent="0.3"/>
  <cols>
    <col min="1" max="1" width="12.77734375" bestFit="1" customWidth="1"/>
    <col min="2" max="2" width="18" bestFit="1" customWidth="1"/>
    <col min="3" max="3" width="15.44140625" bestFit="1" customWidth="1"/>
    <col min="4" max="4" width="18.88671875" bestFit="1" customWidth="1"/>
    <col min="5" max="5" width="29" bestFit="1" customWidth="1"/>
    <col min="6" max="6" width="28.44140625" bestFit="1" customWidth="1"/>
    <col min="7" max="7" width="15.44140625" bestFit="1" customWidth="1"/>
    <col min="8" max="8" width="18" bestFit="1" customWidth="1"/>
    <col min="9" max="9" width="16.33203125" bestFit="1" customWidth="1"/>
    <col min="10" max="10" width="29" bestFit="1" customWidth="1"/>
    <col min="11" max="11" width="18" bestFit="1" customWidth="1"/>
    <col min="12" max="12" width="29" bestFit="1" customWidth="1"/>
    <col min="13" max="13" width="12.77734375" bestFit="1" customWidth="1"/>
    <col min="14" max="14" width="15.44140625" bestFit="1" customWidth="1"/>
    <col min="15" max="15" width="29" bestFit="1" customWidth="1"/>
    <col min="16" max="16" width="22.88671875" bestFit="1" customWidth="1"/>
    <col min="17" max="17" width="33.44140625" bestFit="1" customWidth="1"/>
    <col min="18" max="18" width="33.88671875" bestFit="1" customWidth="1"/>
    <col min="19" max="19" width="20.21875" bestFit="1" customWidth="1"/>
    <col min="20" max="20" width="24.88671875" bestFit="1" customWidth="1"/>
    <col min="21" max="26" width="10.33203125" bestFit="1" customWidth="1"/>
    <col min="27" max="27" width="18" bestFit="1" customWidth="1"/>
    <col min="28" max="28" width="15.44140625" bestFit="1" customWidth="1"/>
    <col min="29" max="29" width="29" bestFit="1" customWidth="1"/>
    <col min="30" max="30" width="19.88671875" bestFit="1" customWidth="1"/>
    <col min="31" max="31" width="28.44140625" bestFit="1" customWidth="1"/>
    <col min="32" max="340" width="10.33203125" bestFit="1" customWidth="1"/>
    <col min="341" max="341" width="11" bestFit="1" customWidth="1"/>
  </cols>
  <sheetData>
    <row r="1" spans="1:14" x14ac:dyDescent="0.3">
      <c r="A1" s="8" t="s">
        <v>1081</v>
      </c>
      <c r="B1" t="s">
        <v>1083</v>
      </c>
      <c r="D1" s="8" t="s">
        <v>1081</v>
      </c>
      <c r="E1" t="s">
        <v>1084</v>
      </c>
      <c r="G1" s="8" t="s">
        <v>1081</v>
      </c>
      <c r="H1" t="s">
        <v>1084</v>
      </c>
      <c r="J1" s="8" t="s">
        <v>1081</v>
      </c>
      <c r="K1" t="s">
        <v>1084</v>
      </c>
      <c r="M1" s="8" t="s">
        <v>1081</v>
      </c>
      <c r="N1" t="s">
        <v>1083</v>
      </c>
    </row>
    <row r="2" spans="1:14" x14ac:dyDescent="0.3">
      <c r="A2" s="9">
        <v>1</v>
      </c>
      <c r="B2" s="15"/>
      <c r="D2" s="9" t="s">
        <v>54</v>
      </c>
      <c r="E2" s="15">
        <v>150</v>
      </c>
      <c r="G2" s="9" t="s">
        <v>48</v>
      </c>
      <c r="H2" s="15">
        <v>130</v>
      </c>
      <c r="J2" s="9" t="s">
        <v>46</v>
      </c>
      <c r="K2" s="15">
        <v>130</v>
      </c>
      <c r="M2" s="9" t="s">
        <v>25</v>
      </c>
      <c r="N2" s="15">
        <v>17125229</v>
      </c>
    </row>
    <row r="3" spans="1:14" x14ac:dyDescent="0.3">
      <c r="A3" s="10" t="s">
        <v>1068</v>
      </c>
      <c r="B3" s="15">
        <v>1586640</v>
      </c>
      <c r="D3" s="9" t="s">
        <v>52</v>
      </c>
      <c r="E3" s="15">
        <v>254</v>
      </c>
      <c r="G3" s="9" t="s">
        <v>18</v>
      </c>
      <c r="H3" s="15">
        <v>120</v>
      </c>
      <c r="J3" s="9" t="s">
        <v>65</v>
      </c>
      <c r="K3" s="15">
        <v>112</v>
      </c>
      <c r="M3" s="9" t="s">
        <v>59</v>
      </c>
      <c r="N3" s="15">
        <v>1454857</v>
      </c>
    </row>
    <row r="4" spans="1:14" x14ac:dyDescent="0.3">
      <c r="A4" s="9">
        <v>2</v>
      </c>
      <c r="B4" s="15"/>
      <c r="D4" s="9" t="s">
        <v>20</v>
      </c>
      <c r="E4" s="15">
        <v>596</v>
      </c>
      <c r="G4" s="9" t="s">
        <v>54</v>
      </c>
      <c r="H4" s="15">
        <v>132</v>
      </c>
      <c r="J4" s="9" t="s">
        <v>56</v>
      </c>
      <c r="K4" s="15">
        <v>132</v>
      </c>
      <c r="M4" s="9" t="s">
        <v>32</v>
      </c>
      <c r="N4" s="15">
        <v>3360944</v>
      </c>
    </row>
    <row r="5" spans="1:14" x14ac:dyDescent="0.3">
      <c r="A5" s="10" t="s">
        <v>1069</v>
      </c>
      <c r="B5" s="15">
        <v>2082497</v>
      </c>
      <c r="D5" s="9" t="s">
        <v>1082</v>
      </c>
      <c r="E5" s="15">
        <v>1000</v>
      </c>
      <c r="G5" s="9" t="s">
        <v>44</v>
      </c>
      <c r="H5" s="15">
        <v>121</v>
      </c>
      <c r="J5" s="9" t="s">
        <v>22</v>
      </c>
      <c r="K5" s="15">
        <v>142</v>
      </c>
      <c r="M5" s="9" t="s">
        <v>1082</v>
      </c>
      <c r="N5" s="15">
        <v>21941030</v>
      </c>
    </row>
    <row r="6" spans="1:14" x14ac:dyDescent="0.3">
      <c r="A6" s="9">
        <v>3</v>
      </c>
      <c r="B6" s="15"/>
      <c r="G6" s="9" t="s">
        <v>67</v>
      </c>
      <c r="H6" s="15">
        <v>134</v>
      </c>
      <c r="J6" s="9" t="s">
        <v>29</v>
      </c>
      <c r="K6" s="15">
        <v>122</v>
      </c>
    </row>
    <row r="7" spans="1:14" x14ac:dyDescent="0.3">
      <c r="A7" s="10" t="s">
        <v>1070</v>
      </c>
      <c r="B7" s="15">
        <v>1135555</v>
      </c>
      <c r="G7" s="9" t="s">
        <v>27</v>
      </c>
      <c r="H7" s="15">
        <v>122</v>
      </c>
      <c r="J7" s="9" t="s">
        <v>41</v>
      </c>
      <c r="K7" s="15">
        <v>122</v>
      </c>
    </row>
    <row r="8" spans="1:14" x14ac:dyDescent="0.3">
      <c r="A8" s="9">
        <v>4</v>
      </c>
      <c r="B8" s="15"/>
      <c r="G8" s="9" t="s">
        <v>50</v>
      </c>
      <c r="H8" s="15">
        <v>134</v>
      </c>
      <c r="J8" s="9" t="s">
        <v>35</v>
      </c>
      <c r="K8" s="15">
        <v>130</v>
      </c>
    </row>
    <row r="9" spans="1:14" x14ac:dyDescent="0.3">
      <c r="A9" s="10" t="s">
        <v>1071</v>
      </c>
      <c r="B9" s="15">
        <v>2014882</v>
      </c>
      <c r="G9" s="9" t="s">
        <v>38</v>
      </c>
      <c r="H9" s="15">
        <v>107</v>
      </c>
      <c r="J9" s="9" t="s">
        <v>115</v>
      </c>
      <c r="K9" s="15">
        <v>110</v>
      </c>
    </row>
    <row r="10" spans="1:14" x14ac:dyDescent="0.3">
      <c r="A10" s="9">
        <v>5</v>
      </c>
      <c r="B10" s="15"/>
      <c r="G10" s="9" t="s">
        <v>1082</v>
      </c>
      <c r="H10" s="15">
        <v>1000</v>
      </c>
      <c r="J10" s="9" t="s">
        <v>1082</v>
      </c>
      <c r="K10" s="15">
        <v>1000</v>
      </c>
    </row>
    <row r="11" spans="1:14" x14ac:dyDescent="0.3">
      <c r="A11" s="10" t="s">
        <v>1072</v>
      </c>
      <c r="B11" s="15">
        <v>2216201</v>
      </c>
    </row>
    <row r="12" spans="1:14" x14ac:dyDescent="0.3">
      <c r="A12" s="9">
        <v>6</v>
      </c>
      <c r="B12" s="15"/>
    </row>
    <row r="13" spans="1:14" x14ac:dyDescent="0.3">
      <c r="A13" s="10" t="s">
        <v>1073</v>
      </c>
      <c r="B13" s="15">
        <v>1897447</v>
      </c>
      <c r="E13" s="8" t="s">
        <v>1081</v>
      </c>
      <c r="F13" t="s">
        <v>1084</v>
      </c>
      <c r="G13" t="s">
        <v>1083</v>
      </c>
      <c r="I13" s="8" t="s">
        <v>1081</v>
      </c>
      <c r="J13" t="s">
        <v>1086</v>
      </c>
    </row>
    <row r="14" spans="1:14" x14ac:dyDescent="0.3">
      <c r="A14" s="9">
        <v>7</v>
      </c>
      <c r="B14" s="15"/>
      <c r="E14" s="9" t="s">
        <v>36</v>
      </c>
      <c r="F14" s="15">
        <v>197</v>
      </c>
      <c r="G14" s="15">
        <v>4371095</v>
      </c>
      <c r="I14" s="9" t="s">
        <v>48</v>
      </c>
      <c r="J14" s="15">
        <v>66.038461538461533</v>
      </c>
    </row>
    <row r="15" spans="1:14" x14ac:dyDescent="0.3">
      <c r="A15" s="10" t="s">
        <v>1074</v>
      </c>
      <c r="B15" s="15">
        <v>1734567</v>
      </c>
      <c r="E15" s="9" t="s">
        <v>58</v>
      </c>
      <c r="F15" s="15">
        <v>186</v>
      </c>
      <c r="G15" s="15">
        <v>3876813</v>
      </c>
      <c r="I15" s="9" t="s">
        <v>18</v>
      </c>
      <c r="J15" s="15">
        <v>60.7</v>
      </c>
    </row>
    <row r="16" spans="1:14" x14ac:dyDescent="0.3">
      <c r="A16" s="9">
        <v>8</v>
      </c>
      <c r="B16" s="15"/>
      <c r="E16" s="9" t="s">
        <v>24</v>
      </c>
      <c r="F16" s="15">
        <v>411</v>
      </c>
      <c r="G16" s="15">
        <v>9209607</v>
      </c>
      <c r="I16" s="9" t="s">
        <v>54</v>
      </c>
      <c r="J16" s="15">
        <v>55.840909090909093</v>
      </c>
    </row>
    <row r="17" spans="1:10" x14ac:dyDescent="0.3">
      <c r="A17" s="10" t="s">
        <v>1075</v>
      </c>
      <c r="B17" s="15">
        <v>2342970</v>
      </c>
      <c r="E17" s="9" t="s">
        <v>31</v>
      </c>
      <c r="F17" s="15">
        <v>186</v>
      </c>
      <c r="G17" s="15">
        <v>4068434</v>
      </c>
      <c r="I17" s="9" t="s">
        <v>44</v>
      </c>
      <c r="J17" s="15">
        <v>59.32231404958678</v>
      </c>
    </row>
    <row r="18" spans="1:10" x14ac:dyDescent="0.3">
      <c r="A18" s="9">
        <v>9</v>
      </c>
      <c r="B18" s="15"/>
      <c r="E18" s="9" t="s">
        <v>1057</v>
      </c>
      <c r="F18" s="15">
        <v>20</v>
      </c>
      <c r="G18" s="15">
        <v>415081</v>
      </c>
      <c r="I18" s="9" t="s">
        <v>67</v>
      </c>
      <c r="J18" s="15">
        <v>60.835820895522389</v>
      </c>
    </row>
    <row r="19" spans="1:10" x14ac:dyDescent="0.3">
      <c r="A19" s="10" t="s">
        <v>1076</v>
      </c>
      <c r="B19" s="15">
        <v>1855057</v>
      </c>
      <c r="E19" s="9" t="s">
        <v>1082</v>
      </c>
      <c r="F19" s="15">
        <v>1000</v>
      </c>
      <c r="G19" s="15">
        <v>21941030</v>
      </c>
      <c r="I19" s="9" t="s">
        <v>27</v>
      </c>
      <c r="J19" s="15">
        <v>66.918032786885249</v>
      </c>
    </row>
    <row r="20" spans="1:10" x14ac:dyDescent="0.3">
      <c r="A20" s="9">
        <v>10</v>
      </c>
      <c r="B20" s="15"/>
      <c r="I20" s="9" t="s">
        <v>50</v>
      </c>
      <c r="J20" s="15">
        <v>60.940298507462686</v>
      </c>
    </row>
    <row r="21" spans="1:10" x14ac:dyDescent="0.3">
      <c r="A21" s="10" t="s">
        <v>1077</v>
      </c>
      <c r="B21" s="15">
        <v>1689058</v>
      </c>
      <c r="I21" s="9" t="s">
        <v>38</v>
      </c>
      <c r="J21" s="15">
        <v>59.411214953271028</v>
      </c>
    </row>
    <row r="22" spans="1:10" x14ac:dyDescent="0.3">
      <c r="A22" s="9">
        <v>11</v>
      </c>
      <c r="B22" s="15"/>
      <c r="I22" s="9" t="s">
        <v>1082</v>
      </c>
      <c r="J22" s="15">
        <v>61.256999999999998</v>
      </c>
    </row>
    <row r="23" spans="1:10" x14ac:dyDescent="0.3">
      <c r="A23" s="10" t="s">
        <v>1078</v>
      </c>
      <c r="B23" s="15">
        <v>1297601</v>
      </c>
    </row>
    <row r="24" spans="1:10" x14ac:dyDescent="0.3">
      <c r="A24" s="9">
        <v>12</v>
      </c>
      <c r="B24" s="15"/>
    </row>
    <row r="25" spans="1:10" x14ac:dyDescent="0.3">
      <c r="A25" s="10" t="s">
        <v>1079</v>
      </c>
      <c r="B25" s="15">
        <v>2088555</v>
      </c>
    </row>
    <row r="26" spans="1:10" x14ac:dyDescent="0.3">
      <c r="A26" s="9" t="s">
        <v>1082</v>
      </c>
      <c r="B26" s="15">
        <v>21941030</v>
      </c>
    </row>
    <row r="41" spans="1:6" x14ac:dyDescent="0.3">
      <c r="A41" s="8" t="s">
        <v>1081</v>
      </c>
      <c r="B41" t="s">
        <v>1084</v>
      </c>
      <c r="C41" t="s">
        <v>1083</v>
      </c>
      <c r="D41" t="s">
        <v>1088</v>
      </c>
      <c r="E41" t="s">
        <v>1086</v>
      </c>
      <c r="F41" t="s">
        <v>1087</v>
      </c>
    </row>
    <row r="42" spans="1:6" x14ac:dyDescent="0.3">
      <c r="A42" s="9" t="s">
        <v>54</v>
      </c>
      <c r="B42" s="15">
        <v>150</v>
      </c>
      <c r="C42" s="15">
        <v>3785082</v>
      </c>
      <c r="D42" s="15">
        <v>25233.88</v>
      </c>
      <c r="E42" s="15">
        <v>64.28</v>
      </c>
      <c r="F42" s="15">
        <v>3.7513513513513508</v>
      </c>
    </row>
    <row r="43" spans="1:6" x14ac:dyDescent="0.3">
      <c r="A43" s="9" t="s">
        <v>52</v>
      </c>
      <c r="B43" s="15">
        <v>254</v>
      </c>
      <c r="C43" s="15">
        <v>12029310</v>
      </c>
      <c r="D43" s="15">
        <v>47359.488188976378</v>
      </c>
      <c r="E43" s="15">
        <v>58.606299212598422</v>
      </c>
      <c r="F43" s="15">
        <v>3.6761904761904765</v>
      </c>
    </row>
    <row r="44" spans="1:6" x14ac:dyDescent="0.3">
      <c r="A44" s="9" t="s">
        <v>20</v>
      </c>
      <c r="B44" s="15">
        <v>596</v>
      </c>
      <c r="C44" s="15">
        <v>6126638</v>
      </c>
      <c r="D44" s="15">
        <v>10279.593959731543</v>
      </c>
      <c r="E44" s="15">
        <v>61.625838926174495</v>
      </c>
      <c r="F44" s="15">
        <v>3.7871794871794902</v>
      </c>
    </row>
    <row r="45" spans="1:6" x14ac:dyDescent="0.3">
      <c r="A45" s="9" t="s">
        <v>1082</v>
      </c>
      <c r="B45" s="15">
        <v>1000</v>
      </c>
      <c r="C45" s="4">
        <v>21941030</v>
      </c>
      <c r="D45" s="4">
        <v>21941.03</v>
      </c>
      <c r="E45" s="7">
        <v>61.256999999999998</v>
      </c>
      <c r="F45" s="6">
        <v>3.7534010152284258</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6BE75-CC8B-4E1B-BBDA-7FD5828EA82F}">
  <dimension ref="A1:AG18"/>
  <sheetViews>
    <sheetView showGridLines="0" showRowColHeaders="0" tabSelected="1" showRuler="0" zoomScale="70" zoomScaleNormal="70" workbookViewId="0">
      <selection activeCell="AO40" sqref="AO40"/>
      <extLst>
        <ext xmlns:xlsdti="http://schemas.microsoft.com/office/spreadsheetml/2023/showDataTypeIcons" uri="{77bfe23e-c014-4d31-8a63-9c772dbf06b6}">
          <xlsdti:showDataTypeIcons visible="0"/>
        </ext>
      </extLst>
    </sheetView>
  </sheetViews>
  <sheetFormatPr defaultRowHeight="14.4" x14ac:dyDescent="0.3"/>
  <sheetData>
    <row r="1" spans="1:33" ht="14.4" customHeight="1" x14ac:dyDescent="0.3">
      <c r="A1" s="13" t="s">
        <v>1085</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row>
    <row r="2" spans="1:33" ht="14.4" customHeight="1" x14ac:dyDescent="0.3">
      <c r="A2" s="13"/>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row>
    <row r="3" spans="1:33" x14ac:dyDescent="0.3">
      <c r="AF3" s="12"/>
      <c r="AG3" s="12"/>
    </row>
    <row r="18" spans="4:4" x14ac:dyDescent="0.3">
      <c r="D18" s="11"/>
    </row>
  </sheetData>
  <mergeCells count="1">
    <mergeCell ref="A1:AG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B5ADB183-1089-4E8A-B2EA-1674FF27FA2E}">
  <ds:schemaRefs/>
</ds:datastoreItem>
</file>

<file path=customXml/itemProps2.xml><?xml version="1.0" encoding="utf-8"?>
<ds:datastoreItem xmlns:ds="http://schemas.openxmlformats.org/officeDocument/2006/customXml" ds:itemID="{58D046E3-0C6A-492A-973C-B4C18FA66879}">
  <ds:schemaRefs/>
</ds:datastoreItem>
</file>

<file path=customXml/itemProps3.xml><?xml version="1.0" encoding="utf-8"?>
<ds:datastoreItem xmlns:ds="http://schemas.openxmlformats.org/officeDocument/2006/customXml" ds:itemID="{ED181161-3BC0-492A-9ADD-FDF826A32EEE}">
  <ds:schemaRefs/>
</ds:datastoreItem>
</file>

<file path=customXml/itemProps4.xml><?xml version="1.0" encoding="utf-8"?>
<ds:datastoreItem xmlns:ds="http://schemas.openxmlformats.org/officeDocument/2006/customXml" ds:itemID="{84D1B11E-27BD-49DE-89B9-1927C7A70B85}">
  <ds:schemaRefs/>
</ds:datastoreItem>
</file>

<file path=customXml/itemProps5.xml><?xml version="1.0" encoding="utf-8"?>
<ds:datastoreItem xmlns:ds="http://schemas.openxmlformats.org/officeDocument/2006/customXml" ds:itemID="{DD295D8C-33EC-493C-BB55-5EA8FA5492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Data_Cleaning</vt:lpstr>
      <vt:lpstr>KPI_Analysis</vt:lpstr>
      <vt:lpstr>Pivot tables </vt:lpstr>
      <vt:lpstr>Healthcare_Dashboard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Manaswini Bingi</cp:lastModifiedBy>
  <dcterms:created xsi:type="dcterms:W3CDTF">2026-09-25T09:42:05Z</dcterms:created>
  <dcterms:modified xsi:type="dcterms:W3CDTF">2026-09-28T09:06:05Z</dcterms:modified>
</cp:coreProperties>
</file>